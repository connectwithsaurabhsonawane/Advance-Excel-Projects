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hidePivotFieldList="1"/>
  <mc:AlternateContent xmlns:mc="http://schemas.openxmlformats.org/markup-compatibility/2006">
    <mc:Choice Requires="x15">
      <x15ac:absPath xmlns:x15ac="http://schemas.microsoft.com/office/spreadsheetml/2010/11/ac" url="D:\PW DataAnalyticsFinalNotes\1 - Excel Final\Excel Projects\5) Charts and Visualization\"/>
    </mc:Choice>
  </mc:AlternateContent>
  <xr:revisionPtr revIDLastSave="0" documentId="13_ncr:1_{5F6D9882-C92E-4754-8B54-010FC9EFC8AF}" xr6:coauthVersionLast="47" xr6:coauthVersionMax="47" xr10:uidLastSave="{00000000-0000-0000-0000-000000000000}"/>
  <bookViews>
    <workbookView xWindow="-108" yWindow="-108" windowWidth="23256" windowHeight="12456" xr2:uid="{00000000-000D-0000-FFFF-FFFF00000000}"/>
  </bookViews>
  <sheets>
    <sheet name="Dataset - Texttile" sheetId="1" r:id="rId1"/>
    <sheet name="Pivot Table" sheetId="2" r:id="rId2"/>
    <sheet name="Charts" sheetId="3" r:id="rId3"/>
  </sheets>
  <definedNames>
    <definedName name="_xlchart.v5.0" hidden="1">'Pivot Table'!$S$11</definedName>
    <definedName name="_xlchart.v5.1" hidden="1">'Pivot Table'!$Q$12:$Q$16</definedName>
    <definedName name="_xlchart.v5.10" hidden="1">'Pivot Table'!$Q$11</definedName>
    <definedName name="_xlchart.v5.11" hidden="1">'Pivot Table'!$Q$12:$Q$16</definedName>
    <definedName name="_xlchart.v5.12" hidden="1">'Pivot Table'!$R$10</definedName>
    <definedName name="_xlchart.v5.13" hidden="1">'Pivot Table'!$R$11</definedName>
    <definedName name="_xlchart.v5.14" hidden="1">'Pivot Table'!$R$12:$R$16</definedName>
    <definedName name="_xlchart.v5.15" hidden="1">'Pivot Table'!$S$11</definedName>
    <definedName name="_xlchart.v5.16" hidden="1">'Pivot Table'!$Q$12:$Q$16</definedName>
    <definedName name="_xlchart.v5.17" hidden="1">'Pivot Table'!$R$10</definedName>
    <definedName name="_xlchart.v5.18" hidden="1">'Pivot Table'!$R$11</definedName>
    <definedName name="_xlchart.v5.19" hidden="1">'Pivot Table'!$R$12:$R$16</definedName>
    <definedName name="_xlchart.v5.2" hidden="1">'Pivot Table'!$R$10</definedName>
    <definedName name="_xlchart.v5.3" hidden="1">'Pivot Table'!$R$11</definedName>
    <definedName name="_xlchart.v5.4" hidden="1">'Pivot Table'!$R$12:$R$16</definedName>
    <definedName name="_xlchart.v5.5" hidden="1">'Pivot Table'!$S$11</definedName>
    <definedName name="_xlchart.v5.6" hidden="1">'Pivot Table'!$Q$12:$Q$16</definedName>
    <definedName name="_xlchart.v5.7" hidden="1">'Pivot Table'!$R$10</definedName>
    <definedName name="_xlchart.v5.8" hidden="1">'Pivot Table'!$R$11</definedName>
    <definedName name="_xlchart.v5.9" hidden="1">'Pivot Table'!$R$12:$R$16</definedName>
    <definedName name="Slicer_Product_Category">#N/A</definedName>
    <definedName name="Slicer_Product_Type">#N/A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<sst xmlns="http://schemas.openxmlformats.org/spreadsheetml/2006/main" count="1386" uniqueCount="83">
  <si>
    <t>Date</t>
  </si>
  <si>
    <t>Region</t>
  </si>
  <si>
    <t>Plant</t>
  </si>
  <si>
    <t>Product_Category</t>
  </si>
  <si>
    <t>Product_Type</t>
  </si>
  <si>
    <t>Units_Produced</t>
  </si>
  <si>
    <t>Units_Sold</t>
  </si>
  <si>
    <t>Revenue_USD</t>
  </si>
  <si>
    <t>Cost_USD</t>
  </si>
  <si>
    <t>Profit_USD</t>
  </si>
  <si>
    <t>Employees</t>
  </si>
  <si>
    <t>Downtime_Hours</t>
  </si>
  <si>
    <t>Export_Flag</t>
  </si>
  <si>
    <t>Customer_Name</t>
  </si>
  <si>
    <t>Inventory_Level</t>
  </si>
  <si>
    <t>North America</t>
  </si>
  <si>
    <t>Plant B</t>
  </si>
  <si>
    <t>Wool</t>
  </si>
  <si>
    <t>Garment</t>
  </si>
  <si>
    <t>Export</t>
  </si>
  <si>
    <t>Customer_12</t>
  </si>
  <si>
    <t>Cotton</t>
  </si>
  <si>
    <t>Yarn</t>
  </si>
  <si>
    <t>Domestic</t>
  </si>
  <si>
    <t>Customer_17</t>
  </si>
  <si>
    <t>Europe</t>
  </si>
  <si>
    <t>Plant D</t>
  </si>
  <si>
    <t>Customer_9</t>
  </si>
  <si>
    <t>Polyester</t>
  </si>
  <si>
    <t>Customer_28</t>
  </si>
  <si>
    <t>South America</t>
  </si>
  <si>
    <t>Plant A</t>
  </si>
  <si>
    <t>Customer_29</t>
  </si>
  <si>
    <t>Customer_23</t>
  </si>
  <si>
    <t>Africa</t>
  </si>
  <si>
    <t>Denim</t>
  </si>
  <si>
    <t>Fabric</t>
  </si>
  <si>
    <t>Customer_27</t>
  </si>
  <si>
    <t>Plant C</t>
  </si>
  <si>
    <t>Customer_1</t>
  </si>
  <si>
    <t>Linen</t>
  </si>
  <si>
    <t>Customer_15</t>
  </si>
  <si>
    <t>Customer_7</t>
  </si>
  <si>
    <t>Customer_20</t>
  </si>
  <si>
    <t>Asia</t>
  </si>
  <si>
    <t>Silk</t>
  </si>
  <si>
    <t>Customer_5</t>
  </si>
  <si>
    <t>Customer_4</t>
  </si>
  <si>
    <t>Customer_16</t>
  </si>
  <si>
    <t>Customer_14</t>
  </si>
  <si>
    <t>Customer_8</t>
  </si>
  <si>
    <t>Customer_21</t>
  </si>
  <si>
    <t>Customer_18</t>
  </si>
  <si>
    <t>Customer_13</t>
  </si>
  <si>
    <t>Customer_11</t>
  </si>
  <si>
    <t>Customer_30</t>
  </si>
  <si>
    <t>Customer_25</t>
  </si>
  <si>
    <t>Customer_2</t>
  </si>
  <si>
    <t>Customer_19</t>
  </si>
  <si>
    <t>Customer_6</t>
  </si>
  <si>
    <t>Customer_26</t>
  </si>
  <si>
    <t>Customer_22</t>
  </si>
  <si>
    <t>Customer_10</t>
  </si>
  <si>
    <t>Customer_3</t>
  </si>
  <si>
    <t>Customer_24</t>
  </si>
  <si>
    <t>Grand Total</t>
  </si>
  <si>
    <t>Jan</t>
  </si>
  <si>
    <t>Feb</t>
  </si>
  <si>
    <t>Mar</t>
  </si>
  <si>
    <t>Apr</t>
  </si>
  <si>
    <t>May</t>
  </si>
  <si>
    <t>Jun</t>
  </si>
  <si>
    <t>Jul</t>
  </si>
  <si>
    <t>Aug</t>
  </si>
  <si>
    <t>Column Labels</t>
  </si>
  <si>
    <t>Sum of Units_Produced</t>
  </si>
  <si>
    <t>Month</t>
  </si>
  <si>
    <t>Sum of Revenue_USD</t>
  </si>
  <si>
    <t>Count of Export_Flag</t>
  </si>
  <si>
    <t>Export Flag</t>
  </si>
  <si>
    <t>Sum of Profit_USD</t>
  </si>
  <si>
    <t>Sum of Downtime_Hours</t>
  </si>
  <si>
    <t>Average of Units_Produced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</si>
</sst>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yyyy/mm/dd\ "/>
    <numFmt numFmtId="168" formatCode="_-[$$-409]* #,##0.00_ ;_-[$$-409]* \-#,##0.00\ ;_-[$$-409]* &quot;-&quot;??_ ;_-@_ "/>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166"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8" fontId="0" fillId="0" borderId="0" xfId="0" applyNumberFormat="1"/>
    <xf numFmtId="0" fontId="0" fillId="2" borderId="0" xfId="0" applyFill="1"/>
  </cellXfs>
  <cellStyles count="1">
    <cellStyle name="Normal" xfId="0" builtinId="0"/>
  </cellStyles>
  <dxfs count="27">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6" formatCode="yyyy/mm/dd\ "/>
    </dxf>
    <dxf>
      <border outline="0">
        <bottom style="thin">
          <color auto="1"/>
        </bottom>
      </border>
    </dxf>
    <dxf>
      <border outline="0">
        <top style="thin">
          <color auto="1"/>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Textile Industry Production - Charts and Visualization.xlsx]Pivot Table!PivotTable1</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Units  Production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Table'!$B$1:$B$2</c:f>
              <c:strCache>
                <c:ptCount val="1"/>
                <c:pt idx="0">
                  <c:v>Fabric</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Table'!$A$3:$A$11</c:f>
              <c:strCache>
                <c:ptCount val="8"/>
                <c:pt idx="0">
                  <c:v>Jan</c:v>
                </c:pt>
                <c:pt idx="1">
                  <c:v>Feb</c:v>
                </c:pt>
                <c:pt idx="2">
                  <c:v>Mar</c:v>
                </c:pt>
                <c:pt idx="3">
                  <c:v>Apr</c:v>
                </c:pt>
                <c:pt idx="4">
                  <c:v>May</c:v>
                </c:pt>
                <c:pt idx="5">
                  <c:v>Jun</c:v>
                </c:pt>
                <c:pt idx="6">
                  <c:v>Jul</c:v>
                </c:pt>
                <c:pt idx="7">
                  <c:v>Aug</c:v>
                </c:pt>
              </c:strCache>
            </c:strRef>
          </c:cat>
          <c:val>
            <c:numRef>
              <c:f>'Pivot Table'!$B$3:$B$11</c:f>
              <c:numCache>
                <c:formatCode>_-[$$-409]* #,##0.00_ ;_-[$$-409]* \-#,##0.00\ ;_-[$$-409]* "-"??_ ;_-@_ </c:formatCode>
                <c:ptCount val="8"/>
                <c:pt idx="0">
                  <c:v>20813</c:v>
                </c:pt>
                <c:pt idx="1">
                  <c:v>17993</c:v>
                </c:pt>
                <c:pt idx="2">
                  <c:v>14688</c:v>
                </c:pt>
                <c:pt idx="3">
                  <c:v>14334</c:v>
                </c:pt>
                <c:pt idx="4">
                  <c:v>11530</c:v>
                </c:pt>
                <c:pt idx="5">
                  <c:v>19547</c:v>
                </c:pt>
                <c:pt idx="6">
                  <c:v>19400</c:v>
                </c:pt>
              </c:numCache>
            </c:numRef>
          </c:val>
          <c:smooth val="0"/>
          <c:extLst>
            <c:ext xmlns:c16="http://schemas.microsoft.com/office/drawing/2014/chart" uri="{C3380CC4-5D6E-409C-BE32-E72D297353CC}">
              <c16:uniqueId val="{00000000-7B46-4662-9EB8-153FCDEFA8FF}"/>
            </c:ext>
          </c:extLst>
        </c:ser>
        <c:ser>
          <c:idx val="1"/>
          <c:order val="1"/>
          <c:tx>
            <c:strRef>
              <c:f>'Pivot Table'!$C$1:$C$2</c:f>
              <c:strCache>
                <c:ptCount val="1"/>
                <c:pt idx="0">
                  <c:v>Garment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Table'!$A$3:$A$11</c:f>
              <c:strCache>
                <c:ptCount val="8"/>
                <c:pt idx="0">
                  <c:v>Jan</c:v>
                </c:pt>
                <c:pt idx="1">
                  <c:v>Feb</c:v>
                </c:pt>
                <c:pt idx="2">
                  <c:v>Mar</c:v>
                </c:pt>
                <c:pt idx="3">
                  <c:v>Apr</c:v>
                </c:pt>
                <c:pt idx="4">
                  <c:v>May</c:v>
                </c:pt>
                <c:pt idx="5">
                  <c:v>Jun</c:v>
                </c:pt>
                <c:pt idx="6">
                  <c:v>Jul</c:v>
                </c:pt>
                <c:pt idx="7">
                  <c:v>Aug</c:v>
                </c:pt>
              </c:strCache>
            </c:strRef>
          </c:cat>
          <c:val>
            <c:numRef>
              <c:f>'Pivot Table'!$C$3:$C$11</c:f>
              <c:numCache>
                <c:formatCode>_-[$$-409]* #,##0.00_ ;_-[$$-409]* \-#,##0.00\ ;_-[$$-409]* "-"??_ ;_-@_ </c:formatCode>
                <c:ptCount val="8"/>
                <c:pt idx="0">
                  <c:v>10388</c:v>
                </c:pt>
                <c:pt idx="1">
                  <c:v>17418</c:v>
                </c:pt>
                <c:pt idx="2">
                  <c:v>26655</c:v>
                </c:pt>
                <c:pt idx="3">
                  <c:v>11226</c:v>
                </c:pt>
                <c:pt idx="4">
                  <c:v>27645</c:v>
                </c:pt>
                <c:pt idx="5">
                  <c:v>3949</c:v>
                </c:pt>
                <c:pt idx="6">
                  <c:v>16686</c:v>
                </c:pt>
                <c:pt idx="7">
                  <c:v>788</c:v>
                </c:pt>
              </c:numCache>
            </c:numRef>
          </c:val>
          <c:smooth val="0"/>
          <c:extLst>
            <c:ext xmlns:c16="http://schemas.microsoft.com/office/drawing/2014/chart" uri="{C3380CC4-5D6E-409C-BE32-E72D297353CC}">
              <c16:uniqueId val="{00000004-7B46-4662-9EB8-153FCDEFA8FF}"/>
            </c:ext>
          </c:extLst>
        </c:ser>
        <c:ser>
          <c:idx val="2"/>
          <c:order val="2"/>
          <c:tx>
            <c:strRef>
              <c:f>'Pivot Table'!$D$1:$D$2</c:f>
              <c:strCache>
                <c:ptCount val="1"/>
                <c:pt idx="0">
                  <c:v>Yarn</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 Table'!$A$3:$A$11</c:f>
              <c:strCache>
                <c:ptCount val="8"/>
                <c:pt idx="0">
                  <c:v>Jan</c:v>
                </c:pt>
                <c:pt idx="1">
                  <c:v>Feb</c:v>
                </c:pt>
                <c:pt idx="2">
                  <c:v>Mar</c:v>
                </c:pt>
                <c:pt idx="3">
                  <c:v>Apr</c:v>
                </c:pt>
                <c:pt idx="4">
                  <c:v>May</c:v>
                </c:pt>
                <c:pt idx="5">
                  <c:v>Jun</c:v>
                </c:pt>
                <c:pt idx="6">
                  <c:v>Jul</c:v>
                </c:pt>
                <c:pt idx="7">
                  <c:v>Aug</c:v>
                </c:pt>
              </c:strCache>
            </c:strRef>
          </c:cat>
          <c:val>
            <c:numRef>
              <c:f>'Pivot Table'!$D$3:$D$11</c:f>
              <c:numCache>
                <c:formatCode>_-[$$-409]* #,##0.00_ ;_-[$$-409]* \-#,##0.00\ ;_-[$$-409]* "-"??_ ;_-@_ </c:formatCode>
                <c:ptCount val="8"/>
                <c:pt idx="0">
                  <c:v>23153</c:v>
                </c:pt>
                <c:pt idx="1">
                  <c:v>12850</c:v>
                </c:pt>
                <c:pt idx="2">
                  <c:v>14324</c:v>
                </c:pt>
                <c:pt idx="3">
                  <c:v>21998</c:v>
                </c:pt>
                <c:pt idx="4">
                  <c:v>13574</c:v>
                </c:pt>
                <c:pt idx="5">
                  <c:v>21401</c:v>
                </c:pt>
                <c:pt idx="6">
                  <c:v>24770</c:v>
                </c:pt>
                <c:pt idx="7">
                  <c:v>5036</c:v>
                </c:pt>
              </c:numCache>
            </c:numRef>
          </c:val>
          <c:smooth val="0"/>
          <c:extLst>
            <c:ext xmlns:c16="http://schemas.microsoft.com/office/drawing/2014/chart" uri="{C3380CC4-5D6E-409C-BE32-E72D297353CC}">
              <c16:uniqueId val="{00000005-7B46-4662-9EB8-153FCDEFA8FF}"/>
            </c:ext>
          </c:extLst>
        </c:ser>
        <c:dLbls>
          <c:showLegendKey val="0"/>
          <c:showVal val="0"/>
          <c:showCatName val="0"/>
          <c:showSerName val="0"/>
          <c:showPercent val="0"/>
          <c:showBubbleSize val="0"/>
        </c:dLbls>
        <c:marker val="1"/>
        <c:smooth val="0"/>
        <c:axId val="1394748431"/>
        <c:axId val="1394745551"/>
      </c:lineChart>
      <c:catAx>
        <c:axId val="13947484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4745551"/>
        <c:crosses val="autoZero"/>
        <c:auto val="1"/>
        <c:lblAlgn val="ctr"/>
        <c:lblOffset val="100"/>
        <c:noMultiLvlLbl val="0"/>
      </c:catAx>
      <c:valAx>
        <c:axId val="13947455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474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Textile Industry Production - Charts and Visualization.xlsx]Pivot Table!PivotTable2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Table'!$H$2:$H$8</c:f>
              <c:strCache>
                <c:ptCount val="6"/>
                <c:pt idx="0">
                  <c:v>Cotton</c:v>
                </c:pt>
                <c:pt idx="1">
                  <c:v>Denim</c:v>
                </c:pt>
                <c:pt idx="2">
                  <c:v>Linen</c:v>
                </c:pt>
                <c:pt idx="3">
                  <c:v>Polyester</c:v>
                </c:pt>
                <c:pt idx="4">
                  <c:v>Silk</c:v>
                </c:pt>
                <c:pt idx="5">
                  <c:v>Wool</c:v>
                </c:pt>
              </c:strCache>
            </c:strRef>
          </c:cat>
          <c:val>
            <c:numRef>
              <c:f>'Pivot Table'!$I$2:$I$8</c:f>
              <c:numCache>
                <c:formatCode>_-[$$-409]* #,##0.00_ ;_-[$$-409]* \-#,##0.00\ ;_-[$$-409]* "-"??_ ;_-@_ </c:formatCode>
                <c:ptCount val="6"/>
                <c:pt idx="0">
                  <c:v>883366.5900000002</c:v>
                </c:pt>
                <c:pt idx="1">
                  <c:v>848728.96000000008</c:v>
                </c:pt>
                <c:pt idx="2">
                  <c:v>581175.79999999993</c:v>
                </c:pt>
                <c:pt idx="3">
                  <c:v>1060450</c:v>
                </c:pt>
                <c:pt idx="4">
                  <c:v>690598.08000000007</c:v>
                </c:pt>
                <c:pt idx="5">
                  <c:v>854132.82</c:v>
                </c:pt>
              </c:numCache>
            </c:numRef>
          </c:val>
          <c:extLst>
            <c:ext xmlns:c16="http://schemas.microsoft.com/office/drawing/2014/chart" uri="{C3380CC4-5D6E-409C-BE32-E72D297353CC}">
              <c16:uniqueId val="{00000000-301A-42A3-9518-AEFD6D6CF18F}"/>
            </c:ext>
          </c:extLst>
        </c:ser>
        <c:dLbls>
          <c:showLegendKey val="0"/>
          <c:showVal val="0"/>
          <c:showCatName val="0"/>
          <c:showSerName val="0"/>
          <c:showPercent val="0"/>
          <c:showBubbleSize val="0"/>
        </c:dLbls>
        <c:gapWidth val="100"/>
        <c:overlap val="-24"/>
        <c:axId val="30951855"/>
        <c:axId val="30952335"/>
      </c:barChart>
      <c:catAx>
        <c:axId val="30951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952335"/>
        <c:crosses val="autoZero"/>
        <c:auto val="1"/>
        <c:lblAlgn val="ctr"/>
        <c:lblOffset val="100"/>
        <c:noMultiLvlLbl val="0"/>
      </c:catAx>
      <c:valAx>
        <c:axId val="30952335"/>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95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Textile Industry Production - Charts and Visualization.xlsx]Pivot Table!PivotTable3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Export</a:t>
            </a:r>
            <a:r>
              <a:rPr lang="en-US" baseline="0"/>
              <a:t> Flag Percentage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Table'!$L$1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3F-43C9-86B1-209BCF2781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3F-43C9-86B1-209BCF2781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Table'!$K$2:$K$4</c:f>
              <c:strCache>
                <c:ptCount val="2"/>
                <c:pt idx="0">
                  <c:v>Domestic</c:v>
                </c:pt>
                <c:pt idx="1">
                  <c:v>Export</c:v>
                </c:pt>
              </c:strCache>
            </c:strRef>
          </c:cat>
          <c:val>
            <c:numRef>
              <c:f>'Pivot Table'!$L$2:$L$4</c:f>
              <c:numCache>
                <c:formatCode>General</c:formatCode>
                <c:ptCount val="2"/>
                <c:pt idx="0">
                  <c:v>162</c:v>
                </c:pt>
                <c:pt idx="1">
                  <c:v>54</c:v>
                </c:pt>
              </c:numCache>
            </c:numRef>
          </c:val>
          <c:extLst>
            <c:ext xmlns:c16="http://schemas.microsoft.com/office/drawing/2014/chart" uri="{C3380CC4-5D6E-409C-BE32-E72D297353CC}">
              <c16:uniqueId val="{00000004-323F-43C9-86B1-209BCF27819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Textile Industry Production - Charts and Visualization.xlsx]Pivot Table!PivotTable4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Table'!$L$8</c:f>
              <c:strCache>
                <c:ptCount val="1"/>
                <c:pt idx="0">
                  <c:v>Total</c:v>
                </c:pt>
              </c:strCache>
            </c:strRef>
          </c:tx>
          <c:spPr>
            <a:solidFill>
              <a:schemeClr val="accent1"/>
            </a:solidFill>
            <a:ln>
              <a:noFill/>
            </a:ln>
            <a:effectLst/>
          </c:spPr>
          <c:invertIfNegative val="0"/>
          <c:cat>
            <c:strRef>
              <c:f>'Pivot Table'!$K$9:$K$19</c:f>
              <c:strCache>
                <c:ptCount val="10"/>
                <c:pt idx="0">
                  <c:v>Customer_4</c:v>
                </c:pt>
                <c:pt idx="1">
                  <c:v>Customer_25</c:v>
                </c:pt>
                <c:pt idx="2">
                  <c:v>Customer_2</c:v>
                </c:pt>
                <c:pt idx="3">
                  <c:v>Customer_5</c:v>
                </c:pt>
                <c:pt idx="4">
                  <c:v>Customer_17</c:v>
                </c:pt>
                <c:pt idx="5">
                  <c:v>Customer_23</c:v>
                </c:pt>
                <c:pt idx="6">
                  <c:v>Customer_30</c:v>
                </c:pt>
                <c:pt idx="7">
                  <c:v>Customer_9</c:v>
                </c:pt>
                <c:pt idx="8">
                  <c:v>Customer_21</c:v>
                </c:pt>
                <c:pt idx="9">
                  <c:v>Customer_1</c:v>
                </c:pt>
              </c:strCache>
            </c:strRef>
          </c:cat>
          <c:val>
            <c:numRef>
              <c:f>'Pivot Table'!$L$9:$L$19</c:f>
              <c:numCache>
                <c:formatCode>_-[$$-409]* #,##0.00_ ;_-[$$-409]* \-#,##0.00\ ;_-[$$-409]* "-"??_ ;_-@_ </c:formatCode>
                <c:ptCount val="10"/>
                <c:pt idx="0">
                  <c:v>177882.84999999998</c:v>
                </c:pt>
                <c:pt idx="1">
                  <c:v>186770.56000000003</c:v>
                </c:pt>
                <c:pt idx="2">
                  <c:v>192215.99</c:v>
                </c:pt>
                <c:pt idx="3">
                  <c:v>209007.33000000002</c:v>
                </c:pt>
                <c:pt idx="4">
                  <c:v>210767.94</c:v>
                </c:pt>
                <c:pt idx="5">
                  <c:v>226350.78</c:v>
                </c:pt>
                <c:pt idx="6">
                  <c:v>227411.31</c:v>
                </c:pt>
                <c:pt idx="7">
                  <c:v>234312.75</c:v>
                </c:pt>
                <c:pt idx="8">
                  <c:v>285696.94</c:v>
                </c:pt>
                <c:pt idx="9">
                  <c:v>291675.55999999994</c:v>
                </c:pt>
              </c:numCache>
            </c:numRef>
          </c:val>
          <c:extLst>
            <c:ext xmlns:c16="http://schemas.microsoft.com/office/drawing/2014/chart" uri="{C3380CC4-5D6E-409C-BE32-E72D297353CC}">
              <c16:uniqueId val="{00000000-C142-4315-A420-8FFE5C37C628}"/>
            </c:ext>
          </c:extLst>
        </c:ser>
        <c:dLbls>
          <c:showLegendKey val="0"/>
          <c:showVal val="0"/>
          <c:showCatName val="0"/>
          <c:showSerName val="0"/>
          <c:showPercent val="0"/>
          <c:showBubbleSize val="0"/>
        </c:dLbls>
        <c:gapWidth val="182"/>
        <c:axId val="46942479"/>
        <c:axId val="46944879"/>
      </c:barChart>
      <c:catAx>
        <c:axId val="4694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44879"/>
        <c:crosses val="autoZero"/>
        <c:auto val="1"/>
        <c:lblAlgn val="ctr"/>
        <c:lblOffset val="100"/>
        <c:noMultiLvlLbl val="0"/>
      </c:catAx>
      <c:valAx>
        <c:axId val="46944879"/>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4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Textile Industry Production - Charts and Visualization.xlsx]Pivot Table!PivotTable5</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Profit Earned By Product Category</a:t>
            </a:r>
          </a:p>
        </c:rich>
      </c:tx>
      <c:layout>
        <c:manualLayout>
          <c:xMode val="edge"/>
          <c:yMode val="edge"/>
          <c:x val="0.24832750072907553"/>
          <c:y val="4.16666666666666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Table'!$N$2:$N$8</c:f>
              <c:strCache>
                <c:ptCount val="6"/>
                <c:pt idx="0">
                  <c:v>Cotton</c:v>
                </c:pt>
                <c:pt idx="1">
                  <c:v>Denim</c:v>
                </c:pt>
                <c:pt idx="2">
                  <c:v>Linen</c:v>
                </c:pt>
                <c:pt idx="3">
                  <c:v>Polyester</c:v>
                </c:pt>
                <c:pt idx="4">
                  <c:v>Silk</c:v>
                </c:pt>
                <c:pt idx="5">
                  <c:v>Wool</c:v>
                </c:pt>
              </c:strCache>
            </c:strRef>
          </c:cat>
          <c:val>
            <c:numRef>
              <c:f>'Pivot Table'!$O$2:$O$8</c:f>
              <c:numCache>
                <c:formatCode>_-[$$-409]* #,##0.00_ ;_-[$$-409]* \-#,##0.00\ ;_-[$$-409]* "-"??_ ;_-@_ </c:formatCode>
                <c:ptCount val="6"/>
                <c:pt idx="0">
                  <c:v>223479.59</c:v>
                </c:pt>
                <c:pt idx="1">
                  <c:v>197663.93000000002</c:v>
                </c:pt>
                <c:pt idx="2">
                  <c:v>152969.92000000004</c:v>
                </c:pt>
                <c:pt idx="3">
                  <c:v>253965.34</c:v>
                </c:pt>
                <c:pt idx="4">
                  <c:v>181995.19</c:v>
                </c:pt>
                <c:pt idx="5">
                  <c:v>186906.65000000008</c:v>
                </c:pt>
              </c:numCache>
            </c:numRef>
          </c:val>
          <c:extLst>
            <c:ext xmlns:c16="http://schemas.microsoft.com/office/drawing/2014/chart" uri="{C3380CC4-5D6E-409C-BE32-E72D297353CC}">
              <c16:uniqueId val="{00000000-D6C2-4669-95BA-3429FF3ED665}"/>
            </c:ext>
          </c:extLst>
        </c:ser>
        <c:dLbls>
          <c:showLegendKey val="0"/>
          <c:showVal val="0"/>
          <c:showCatName val="0"/>
          <c:showSerName val="0"/>
          <c:showPercent val="0"/>
          <c:showBubbleSize val="0"/>
        </c:dLbls>
        <c:gapWidth val="100"/>
        <c:overlap val="-24"/>
        <c:axId val="31275551"/>
        <c:axId val="31276991"/>
      </c:barChart>
      <c:catAx>
        <c:axId val="312755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276991"/>
        <c:crosses val="autoZero"/>
        <c:auto val="1"/>
        <c:lblAlgn val="ctr"/>
        <c:lblOffset val="100"/>
        <c:noMultiLvlLbl val="0"/>
      </c:catAx>
      <c:valAx>
        <c:axId val="31276991"/>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27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Textile Industry Production - Charts and Visualization.xlsx]Pivot Table!PivotTable6</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pieChart>
        <c:varyColors val="1"/>
        <c:ser>
          <c:idx val="0"/>
          <c:order val="0"/>
          <c:tx>
            <c:strRef>
              <c:f>'Pivot Table'!$R$1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A5E-43C2-84CE-2AE0C42A4725}"/>
              </c:ext>
            </c:extLst>
          </c:dPt>
          <c:dPt>
            <c:idx val="1"/>
            <c:bubble3D val="0"/>
            <c:spPr>
              <a:solidFill>
                <a:schemeClr val="accent2"/>
              </a:solidFill>
              <a:ln>
                <a:noFill/>
              </a:ln>
              <a:effectLst/>
            </c:spPr>
            <c:extLst>
              <c:ext xmlns:c16="http://schemas.microsoft.com/office/drawing/2014/chart" uri="{C3380CC4-5D6E-409C-BE32-E72D297353CC}">
                <c16:uniqueId val="{00000003-5A5E-43C2-84CE-2AE0C42A4725}"/>
              </c:ext>
            </c:extLst>
          </c:dPt>
          <c:dPt>
            <c:idx val="2"/>
            <c:bubble3D val="0"/>
            <c:spPr>
              <a:solidFill>
                <a:schemeClr val="accent3"/>
              </a:solidFill>
              <a:ln>
                <a:noFill/>
              </a:ln>
              <a:effectLst/>
            </c:spPr>
            <c:extLst>
              <c:ext xmlns:c16="http://schemas.microsoft.com/office/drawing/2014/chart" uri="{C3380CC4-5D6E-409C-BE32-E72D297353CC}">
                <c16:uniqueId val="{00000005-5A5E-43C2-84CE-2AE0C42A4725}"/>
              </c:ext>
            </c:extLst>
          </c:dPt>
          <c:dPt>
            <c:idx val="3"/>
            <c:bubble3D val="0"/>
            <c:spPr>
              <a:solidFill>
                <a:schemeClr val="accent4"/>
              </a:solidFill>
              <a:ln>
                <a:noFill/>
              </a:ln>
              <a:effectLst/>
            </c:spPr>
            <c:extLst>
              <c:ext xmlns:c16="http://schemas.microsoft.com/office/drawing/2014/chart" uri="{C3380CC4-5D6E-409C-BE32-E72D297353CC}">
                <c16:uniqueId val="{00000007-5A5E-43C2-84CE-2AE0C42A4725}"/>
              </c:ext>
            </c:extLst>
          </c:dPt>
          <c:dPt>
            <c:idx val="4"/>
            <c:bubble3D val="0"/>
            <c:spPr>
              <a:solidFill>
                <a:schemeClr val="accent5"/>
              </a:solidFill>
              <a:ln>
                <a:noFill/>
              </a:ln>
              <a:effectLst/>
            </c:spPr>
            <c:extLst>
              <c:ext xmlns:c16="http://schemas.microsoft.com/office/drawing/2014/chart" uri="{C3380CC4-5D6E-409C-BE32-E72D297353CC}">
                <c16:uniqueId val="{00000009-5A5E-43C2-84CE-2AE0C42A47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Table'!$Q$2:$Q$7</c:f>
              <c:strCache>
                <c:ptCount val="5"/>
                <c:pt idx="0">
                  <c:v>Africa</c:v>
                </c:pt>
                <c:pt idx="1">
                  <c:v>Asia</c:v>
                </c:pt>
                <c:pt idx="2">
                  <c:v>Europe</c:v>
                </c:pt>
                <c:pt idx="3">
                  <c:v>North America</c:v>
                </c:pt>
                <c:pt idx="4">
                  <c:v>South America</c:v>
                </c:pt>
              </c:strCache>
            </c:strRef>
          </c:cat>
          <c:val>
            <c:numRef>
              <c:f>'Pivot Table'!$R$2:$R$7</c:f>
              <c:numCache>
                <c:formatCode>_-[$$-409]* #,##0.00_ ;_-[$$-409]* \-#,##0.00\ ;_-[$$-409]* "-"??_ ;_-@_ </c:formatCode>
                <c:ptCount val="5"/>
                <c:pt idx="0">
                  <c:v>1192917.6800000002</c:v>
                </c:pt>
                <c:pt idx="1">
                  <c:v>811187.84000000008</c:v>
                </c:pt>
                <c:pt idx="2">
                  <c:v>888924.16000000003</c:v>
                </c:pt>
                <c:pt idx="3">
                  <c:v>1075255.7</c:v>
                </c:pt>
                <c:pt idx="4">
                  <c:v>950166.87</c:v>
                </c:pt>
              </c:numCache>
            </c:numRef>
          </c:val>
          <c:extLst>
            <c:ext xmlns:c16="http://schemas.microsoft.com/office/drawing/2014/chart" uri="{C3380CC4-5D6E-409C-BE32-E72D297353CC}">
              <c16:uniqueId val="{0000000A-5A5E-43C2-84CE-2AE0C42A472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Textile Industry Production - Charts and Visualization.xlsx]Pivot Table!PivotTable7</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Production and Downtime Total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Table'!$R$14</c:f>
              <c:strCache>
                <c:ptCount val="1"/>
                <c:pt idx="0">
                  <c:v>Sum of Units_Produced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Table'!$Q$15:$Q$19</c:f>
              <c:strCache>
                <c:ptCount val="4"/>
                <c:pt idx="0">
                  <c:v>Plant A</c:v>
                </c:pt>
                <c:pt idx="1">
                  <c:v>Plant B</c:v>
                </c:pt>
                <c:pt idx="2">
                  <c:v>Plant C</c:v>
                </c:pt>
                <c:pt idx="3">
                  <c:v>Plant D</c:v>
                </c:pt>
              </c:strCache>
            </c:strRef>
          </c:cat>
          <c:val>
            <c:numRef>
              <c:f>'Pivot Table'!$R$15:$R$19</c:f>
              <c:numCache>
                <c:formatCode>_-[$$-409]* #,##0.00_ ;_-[$$-409]* \-#,##0.00\ ;_-[$$-409]* "-"??_ ;_-@_ </c:formatCode>
                <c:ptCount val="4"/>
                <c:pt idx="0">
                  <c:v>97514</c:v>
                </c:pt>
                <c:pt idx="1">
                  <c:v>97273</c:v>
                </c:pt>
                <c:pt idx="2">
                  <c:v>82078</c:v>
                </c:pt>
                <c:pt idx="3">
                  <c:v>93301</c:v>
                </c:pt>
              </c:numCache>
            </c:numRef>
          </c:val>
          <c:extLst>
            <c:ext xmlns:c16="http://schemas.microsoft.com/office/drawing/2014/chart" uri="{C3380CC4-5D6E-409C-BE32-E72D297353CC}">
              <c16:uniqueId val="{00000000-4914-415F-84A4-941486C5951A}"/>
            </c:ext>
          </c:extLst>
        </c:ser>
        <c:dLbls>
          <c:showLegendKey val="0"/>
          <c:showVal val="0"/>
          <c:showCatName val="0"/>
          <c:showSerName val="0"/>
          <c:showPercent val="0"/>
          <c:showBubbleSize val="0"/>
        </c:dLbls>
        <c:gapWidth val="219"/>
        <c:overlap val="-27"/>
        <c:axId val="1394745071"/>
        <c:axId val="1394748431"/>
      </c:barChart>
      <c:lineChart>
        <c:grouping val="standard"/>
        <c:varyColors val="0"/>
        <c:ser>
          <c:idx val="1"/>
          <c:order val="1"/>
          <c:tx>
            <c:strRef>
              <c:f>'Pivot Table'!$S$14</c:f>
              <c:strCache>
                <c:ptCount val="1"/>
                <c:pt idx="0">
                  <c:v>Sum of Downtime_Hours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Table'!$Q$15:$Q$19</c:f>
              <c:strCache>
                <c:ptCount val="4"/>
                <c:pt idx="0">
                  <c:v>Plant A</c:v>
                </c:pt>
                <c:pt idx="1">
                  <c:v>Plant B</c:v>
                </c:pt>
                <c:pt idx="2">
                  <c:v>Plant C</c:v>
                </c:pt>
                <c:pt idx="3">
                  <c:v>Plant D</c:v>
                </c:pt>
              </c:strCache>
            </c:strRef>
          </c:cat>
          <c:val>
            <c:numRef>
              <c:f>'Pivot Table'!$S$15:$S$19</c:f>
              <c:numCache>
                <c:formatCode>_-[$$-409]* #,##0.00_ ;_-[$$-409]* \-#,##0.00\ ;_-[$$-409]* "-"??_ ;_-@_ </c:formatCode>
                <c:ptCount val="4"/>
                <c:pt idx="0">
                  <c:v>3378.2999999999997</c:v>
                </c:pt>
                <c:pt idx="1">
                  <c:v>3026.1000000000008</c:v>
                </c:pt>
                <c:pt idx="2">
                  <c:v>2844.2000000000003</c:v>
                </c:pt>
                <c:pt idx="3">
                  <c:v>2634.599999999999</c:v>
                </c:pt>
              </c:numCache>
            </c:numRef>
          </c:val>
          <c:smooth val="0"/>
          <c:extLst>
            <c:ext xmlns:c16="http://schemas.microsoft.com/office/drawing/2014/chart" uri="{C3380CC4-5D6E-409C-BE32-E72D297353CC}">
              <c16:uniqueId val="{00000001-4914-415F-84A4-941486C5951A}"/>
            </c:ext>
          </c:extLst>
        </c:ser>
        <c:dLbls>
          <c:showLegendKey val="0"/>
          <c:showVal val="0"/>
          <c:showCatName val="0"/>
          <c:showSerName val="0"/>
          <c:showPercent val="0"/>
          <c:showBubbleSize val="0"/>
        </c:dLbls>
        <c:marker val="1"/>
        <c:smooth val="0"/>
        <c:axId val="1394745071"/>
        <c:axId val="1394748431"/>
      </c:lineChart>
      <c:catAx>
        <c:axId val="13947450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4748431"/>
        <c:crosses val="autoZero"/>
        <c:auto val="1"/>
        <c:lblAlgn val="ctr"/>
        <c:lblOffset val="100"/>
        <c:noMultiLvlLbl val="0"/>
      </c:catAx>
      <c:valAx>
        <c:axId val="1394748431"/>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474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Textile Industry Production - Charts and Visualization.xlsx]Pivot Table!PivotTable8</c:name>
    <c:fmtId val="3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 Units Produced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Table'!$U$1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Table'!$T$2:$T$6</c:f>
              <c:strCache>
                <c:ptCount val="4"/>
                <c:pt idx="0">
                  <c:v>Plant A</c:v>
                </c:pt>
                <c:pt idx="1">
                  <c:v>Plant B</c:v>
                </c:pt>
                <c:pt idx="2">
                  <c:v>Plant C</c:v>
                </c:pt>
                <c:pt idx="3">
                  <c:v>Plant D</c:v>
                </c:pt>
              </c:strCache>
            </c:strRef>
          </c:cat>
          <c:val>
            <c:numRef>
              <c:f>'Pivot Table'!$U$2:$U$6</c:f>
              <c:numCache>
                <c:formatCode>_-[$$-409]* #,##0.00_ ;_-[$$-409]* \-#,##0.00\ ;_-[$$-409]* "-"??_ ;_-@_ </c:formatCode>
                <c:ptCount val="4"/>
                <c:pt idx="0">
                  <c:v>1681.2758620689656</c:v>
                </c:pt>
                <c:pt idx="1">
                  <c:v>1677.1206896551723</c:v>
                </c:pt>
                <c:pt idx="2">
                  <c:v>1709.9583333333333</c:v>
                </c:pt>
                <c:pt idx="3">
                  <c:v>1794.25</c:v>
                </c:pt>
              </c:numCache>
            </c:numRef>
          </c:val>
          <c:smooth val="0"/>
          <c:extLst>
            <c:ext xmlns:c16="http://schemas.microsoft.com/office/drawing/2014/chart" uri="{C3380CC4-5D6E-409C-BE32-E72D297353CC}">
              <c16:uniqueId val="{00000000-9649-4FF6-AD9F-74D7F50028D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32867279"/>
        <c:axId val="1732850959"/>
      </c:lineChart>
      <c:catAx>
        <c:axId val="173286727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32850959"/>
        <c:crosses val="autoZero"/>
        <c:auto val="1"/>
        <c:lblAlgn val="ctr"/>
        <c:lblOffset val="100"/>
        <c:noMultiLvlLbl val="0"/>
      </c:catAx>
      <c:valAx>
        <c:axId val="1732850959"/>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3286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0</xdr:colOff>
      <xdr:row>15</xdr:row>
      <xdr:rowOff>0</xdr:rowOff>
    </xdr:to>
    <xdr:graphicFrame macro="">
      <xdr:nvGraphicFramePr>
        <xdr:cNvPr id="2" name="Chart 1">
          <a:extLst>
            <a:ext uri="{FF2B5EF4-FFF2-40B4-BE49-F238E27FC236}">
              <a16:creationId xmlns:a16="http://schemas.microsoft.com/office/drawing/2014/main" id="{57DCE6A4-5AEA-408D-BB8B-868676FBB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0</xdr:row>
      <xdr:rowOff>0</xdr:rowOff>
    </xdr:from>
    <xdr:to>
      <xdr:col>13</xdr:col>
      <xdr:colOff>0</xdr:colOff>
      <xdr:row>15</xdr:row>
      <xdr:rowOff>15240</xdr:rowOff>
    </xdr:to>
    <mc:AlternateContent xmlns:mc="http://schemas.openxmlformats.org/markup-compatibility/2006">
      <mc:Choice xmlns:a14="http://schemas.microsoft.com/office/drawing/2010/main" Requires="a14">
        <xdr:graphicFrame macro="">
          <xdr:nvGraphicFramePr>
            <xdr:cNvPr id="3" name="Product_Type">
              <a:extLst>
                <a:ext uri="{FF2B5EF4-FFF2-40B4-BE49-F238E27FC236}">
                  <a16:creationId xmlns:a16="http://schemas.microsoft.com/office/drawing/2014/main" id="{4EE2AD47-434D-F088-3F45-75D603CF0D1D}"/>
                </a:ext>
              </a:extLst>
            </xdr:cNvPr>
            <xdr:cNvGraphicFramePr/>
          </xdr:nvGraphicFramePr>
          <xdr:xfrm>
            <a:off x="0" y="0"/>
            <a:ext cx="0" cy="0"/>
          </xdr:xfrm>
          <a:graphic>
            <a:graphicData uri="http://schemas.microsoft.com/office/drawing/2010/slicer">
              <sle:slicer xmlns:sle="http://schemas.microsoft.com/office/drawing/2010/slicer" name="Product_Type"/>
            </a:graphicData>
          </a:graphic>
        </xdr:graphicFrame>
      </mc:Choice>
      <mc:Fallback>
        <xdr:sp macro="" textlink="">
          <xdr:nvSpPr>
            <xdr:cNvPr id="0" name=""/>
            <xdr:cNvSpPr>
              <a:spLocks noTextEdit="1"/>
            </xdr:cNvSpPr>
          </xdr:nvSpPr>
          <xdr:spPr>
            <a:xfrm>
              <a:off x="6096000" y="0"/>
              <a:ext cx="1828800" cy="2758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0</xdr:row>
      <xdr:rowOff>0</xdr:rowOff>
    </xdr:from>
    <xdr:to>
      <xdr:col>20</xdr:col>
      <xdr:colOff>533400</xdr:colOff>
      <xdr:row>15</xdr:row>
      <xdr:rowOff>0</xdr:rowOff>
    </xdr:to>
    <xdr:graphicFrame macro="">
      <xdr:nvGraphicFramePr>
        <xdr:cNvPr id="4" name="Chart 3">
          <a:extLst>
            <a:ext uri="{FF2B5EF4-FFF2-40B4-BE49-F238E27FC236}">
              <a16:creationId xmlns:a16="http://schemas.microsoft.com/office/drawing/2014/main" id="{E452E7B3-E115-404A-AE6C-C07E6F6DE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541020</xdr:colOff>
      <xdr:row>0</xdr:row>
      <xdr:rowOff>15240</xdr:rowOff>
    </xdr:from>
    <xdr:to>
      <xdr:col>23</xdr:col>
      <xdr:colOff>541020</xdr:colOff>
      <xdr:row>15</xdr:row>
      <xdr:rowOff>0</xdr:rowOff>
    </xdr:to>
    <mc:AlternateContent xmlns:mc="http://schemas.openxmlformats.org/markup-compatibility/2006">
      <mc:Choice xmlns:a14="http://schemas.microsoft.com/office/drawing/2010/main" Requires="a14">
        <xdr:graphicFrame macro="">
          <xdr:nvGraphicFramePr>
            <xdr:cNvPr id="5" name="Product_Category">
              <a:extLst>
                <a:ext uri="{FF2B5EF4-FFF2-40B4-BE49-F238E27FC236}">
                  <a16:creationId xmlns:a16="http://schemas.microsoft.com/office/drawing/2014/main" id="{300A46EE-A87D-D6F2-B53A-D793B239465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2733020" y="15240"/>
              <a:ext cx="1828800" cy="2727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14</xdr:row>
      <xdr:rowOff>175260</xdr:rowOff>
    </xdr:from>
    <xdr:to>
      <xdr:col>10</xdr:col>
      <xdr:colOff>0</xdr:colOff>
      <xdr:row>29</xdr:row>
      <xdr:rowOff>175260</xdr:rowOff>
    </xdr:to>
    <xdr:graphicFrame macro="">
      <xdr:nvGraphicFramePr>
        <xdr:cNvPr id="6" name="Chart 5">
          <a:extLst>
            <a:ext uri="{FF2B5EF4-FFF2-40B4-BE49-F238E27FC236}">
              <a16:creationId xmlns:a16="http://schemas.microsoft.com/office/drawing/2014/main" id="{87746D33-68E3-4E29-A462-8988B9F1B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15</xdr:row>
      <xdr:rowOff>0</xdr:rowOff>
    </xdr:from>
    <xdr:to>
      <xdr:col>23</xdr:col>
      <xdr:colOff>541020</xdr:colOff>
      <xdr:row>29</xdr:row>
      <xdr:rowOff>175260</xdr:rowOff>
    </xdr:to>
    <xdr:graphicFrame macro="">
      <xdr:nvGraphicFramePr>
        <xdr:cNvPr id="7" name="Chart 6">
          <a:extLst>
            <a:ext uri="{FF2B5EF4-FFF2-40B4-BE49-F238E27FC236}">
              <a16:creationId xmlns:a16="http://schemas.microsoft.com/office/drawing/2014/main" id="{72FDE228-9FDE-4EFF-9DDF-D510EE9F1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30</xdr:row>
      <xdr:rowOff>7620</xdr:rowOff>
    </xdr:from>
    <xdr:to>
      <xdr:col>9</xdr:col>
      <xdr:colOff>586740</xdr:colOff>
      <xdr:row>45</xdr:row>
      <xdr:rowOff>7620</xdr:rowOff>
    </xdr:to>
    <xdr:graphicFrame macro="">
      <xdr:nvGraphicFramePr>
        <xdr:cNvPr id="8" name="Chart 7">
          <a:extLst>
            <a:ext uri="{FF2B5EF4-FFF2-40B4-BE49-F238E27FC236}">
              <a16:creationId xmlns:a16="http://schemas.microsoft.com/office/drawing/2014/main" id="{4912B849-6DA6-4E1C-9D7F-1BA2278D1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594360</xdr:colOff>
      <xdr:row>30</xdr:row>
      <xdr:rowOff>0</xdr:rowOff>
    </xdr:from>
    <xdr:to>
      <xdr:col>13</xdr:col>
      <xdr:colOff>15240</xdr:colOff>
      <xdr:row>45</xdr:row>
      <xdr:rowOff>7620</xdr:rowOff>
    </xdr:to>
    <mc:AlternateContent xmlns:mc="http://schemas.openxmlformats.org/markup-compatibility/2006">
      <mc:Choice xmlns:a14="http://schemas.microsoft.com/office/drawing/2010/main" Requires="a14">
        <xdr:graphicFrame macro="">
          <xdr:nvGraphicFramePr>
            <xdr:cNvPr id="9" name="Product_Category 1">
              <a:extLst>
                <a:ext uri="{FF2B5EF4-FFF2-40B4-BE49-F238E27FC236}">
                  <a16:creationId xmlns:a16="http://schemas.microsoft.com/office/drawing/2014/main" id="{3F52FF3E-6391-1870-ABB5-536369F83D21}"/>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6080760" y="5486400"/>
              <a:ext cx="1859280" cy="2750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22860</xdr:colOff>
      <xdr:row>30</xdr:row>
      <xdr:rowOff>15240</xdr:rowOff>
    </xdr:from>
    <xdr:to>
      <xdr:col>23</xdr:col>
      <xdr:colOff>533400</xdr:colOff>
      <xdr:row>45</xdr:row>
      <xdr:rowOff>15240</xdr:rowOff>
    </xdr:to>
    <xdr:graphicFrame macro="">
      <xdr:nvGraphicFramePr>
        <xdr:cNvPr id="10" name="Chart 9">
          <a:extLst>
            <a:ext uri="{FF2B5EF4-FFF2-40B4-BE49-F238E27FC236}">
              <a16:creationId xmlns:a16="http://schemas.microsoft.com/office/drawing/2014/main" id="{418AB8D1-44F5-44EA-A152-A48F34C98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45</xdr:row>
      <xdr:rowOff>7620</xdr:rowOff>
    </xdr:from>
    <xdr:to>
      <xdr:col>13</xdr:col>
      <xdr:colOff>15240</xdr:colOff>
      <xdr:row>60</xdr:row>
      <xdr:rowOff>7620</xdr:rowOff>
    </xdr:to>
    <xdr:graphicFrame macro="">
      <xdr:nvGraphicFramePr>
        <xdr:cNvPr id="11" name="Chart 10">
          <a:extLst>
            <a:ext uri="{FF2B5EF4-FFF2-40B4-BE49-F238E27FC236}">
              <a16:creationId xmlns:a16="http://schemas.microsoft.com/office/drawing/2014/main" id="{144AF9F3-A4A0-42F3-BF81-A77F7A0DE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335280</xdr:colOff>
      <xdr:row>45</xdr:row>
      <xdr:rowOff>22860</xdr:rowOff>
    </xdr:from>
    <xdr:to>
      <xdr:col>23</xdr:col>
      <xdr:colOff>518160</xdr:colOff>
      <xdr:row>60</xdr:row>
      <xdr:rowOff>15240</xdr:rowOff>
    </xdr:to>
    <xdr:graphicFrame macro="">
      <xdr:nvGraphicFramePr>
        <xdr:cNvPr id="12" name="Chart 11">
          <a:extLst>
            <a:ext uri="{FF2B5EF4-FFF2-40B4-BE49-F238E27FC236}">
              <a16:creationId xmlns:a16="http://schemas.microsoft.com/office/drawing/2014/main" id="{CFD26577-D541-4B8D-9BE7-D41E2C0E3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6.649352777778" createdVersion="8" refreshedVersion="8" minRefreshableVersion="3" recordCount="216" xr:uid="{5B897790-9F1C-45A9-9CD3-B1890B69AEAF}">
  <cacheSource type="worksheet">
    <worksheetSource name="Table1"/>
  </cacheSource>
  <cacheFields count="17">
    <cacheField name="Date" numFmtId="166">
      <sharedItems containsSemiMixedTypes="0" containsNonDate="0" containsDate="1" containsString="0" minDate="2022-01-01T00:00:00" maxDate="2022-08-05T00:00:00" count="216">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sharedItems>
      <fieldGroup par="16"/>
    </cacheField>
    <cacheField name="Region" numFmtId="0">
      <sharedItems count="5">
        <s v="North America"/>
        <s v="Europe"/>
        <s v="South America"/>
        <s v="Africa"/>
        <s v="Asia"/>
      </sharedItems>
    </cacheField>
    <cacheField name="Plant" numFmtId="0">
      <sharedItems count="4">
        <s v="Plant B"/>
        <s v="Plant D"/>
        <s v="Plant A"/>
        <s v="Plant C"/>
      </sharedItems>
    </cacheField>
    <cacheField name="Product_Category" numFmtId="0">
      <sharedItems count="6">
        <s v="Wool"/>
        <s v="Cotton"/>
        <s v="Polyester"/>
        <s v="Denim"/>
        <s v="Linen"/>
        <s v="Silk"/>
      </sharedItems>
    </cacheField>
    <cacheField name="Product_Type" numFmtId="0">
      <sharedItems count="3">
        <s v="Garment"/>
        <s v="Yarn"/>
        <s v="Fabric"/>
      </sharedItems>
    </cacheField>
    <cacheField name="Units_Produced" numFmtId="0">
      <sharedItems containsSemiMixedTypes="0" containsString="0" containsNumber="1" containsInteger="1" minValue="501" maxValue="2990"/>
    </cacheField>
    <cacheField name="Units_Sold" numFmtId="0">
      <sharedItems containsSemiMixedTypes="0" containsString="0" containsNumber="1" containsInteger="1" minValue="363" maxValue="2919"/>
    </cacheField>
    <cacheField name="Revenue_USD" numFmtId="0">
      <sharedItems containsSemiMixedTypes="0" containsString="0" containsNumber="1" minValue="3750.26" maxValue="55765.85"/>
    </cacheField>
    <cacheField name="Cost_USD" numFmtId="0">
      <sharedItems containsSemiMixedTypes="0" containsString="0" containsNumber="1" minValue="2329.9699999999998" maxValue="46983.8"/>
    </cacheField>
    <cacheField name="Profit_USD" numFmtId="0">
      <sharedItems containsSemiMixedTypes="0" containsString="0" containsNumber="1" minValue="511.6" maxValue="17440.05"/>
    </cacheField>
    <cacheField name="Employees" numFmtId="0">
      <sharedItems containsSemiMixedTypes="0" containsString="0" containsNumber="1" containsInteger="1" minValue="81" maxValue="297"/>
    </cacheField>
    <cacheField name="Downtime_Hours" numFmtId="0">
      <sharedItems containsSemiMixedTypes="0" containsString="0" containsNumber="1" minValue="10.3" maxValue="99.9"/>
    </cacheField>
    <cacheField name="Export_Flag" numFmtId="0">
      <sharedItems count="2">
        <s v="Export"/>
        <s v="Domestic"/>
      </sharedItems>
    </cacheField>
    <cacheField name="Customer_Name" numFmtId="0">
      <sharedItems count="30">
        <s v="Customer_12"/>
        <s v="Customer_17"/>
        <s v="Customer_9"/>
        <s v="Customer_28"/>
        <s v="Customer_29"/>
        <s v="Customer_23"/>
        <s v="Customer_27"/>
        <s v="Customer_1"/>
        <s v="Customer_15"/>
        <s v="Customer_7"/>
        <s v="Customer_20"/>
        <s v="Customer_5"/>
        <s v="Customer_4"/>
        <s v="Customer_16"/>
        <s v="Customer_14"/>
        <s v="Customer_8"/>
        <s v="Customer_21"/>
        <s v="Customer_18"/>
        <s v="Customer_13"/>
        <s v="Customer_11"/>
        <s v="Customer_30"/>
        <s v="Customer_25"/>
        <s v="Customer_2"/>
        <s v="Customer_19"/>
        <s v="Customer_6"/>
        <s v="Customer_26"/>
        <s v="Customer_22"/>
        <s v="Customer_10"/>
        <s v="Customer_3"/>
        <s v="Customer_24"/>
      </sharedItems>
    </cacheField>
    <cacheField name="Inventory_Level" numFmtId="0">
      <sharedItems containsSemiMixedTypes="0" containsString="0" containsNumber="1" containsInteger="1" minValue="51" maxValue="496"/>
    </cacheField>
    <cacheField name="Days (Date)" numFmtId="0" databaseField="0">
      <fieldGroup base="0">
        <rangePr groupBy="days" startDate="2022-01-01T00:00:00" endDate="2022-08-05T00:00:00"/>
        <groupItems count="368">
          <s v="&lt;01-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5-08-2022"/>
        </groupItems>
      </fieldGroup>
    </cacheField>
    <cacheField name="Months (Date)" numFmtId="0" databaseField="0">
      <fieldGroup base="0">
        <rangePr groupBy="months" startDate="2022-01-01T00:00:00" endDate="2022-08-05T00:00:00"/>
        <groupItems count="14">
          <s v="&lt;01-01-2022"/>
          <s v="Jan"/>
          <s v="Feb"/>
          <s v="Mar"/>
          <s v="Apr"/>
          <s v="May"/>
          <s v="Jun"/>
          <s v="Jul"/>
          <s v="Aug"/>
          <s v="Sep"/>
          <s v="Oct"/>
          <s v="Nov"/>
          <s v="Dec"/>
          <s v="&gt;05-08-2022"/>
        </groupItems>
      </fieldGroup>
    </cacheField>
  </cacheFields>
  <extLst>
    <ext xmlns:x14="http://schemas.microsoft.com/office/spreadsheetml/2009/9/main" uri="{725AE2AE-9491-48be-B2B4-4EB974FC3084}">
      <x14:pivotCacheDefinition pivotCacheId="879074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
  <r>
    <x v="0"/>
    <x v="0"/>
    <x v="0"/>
    <x v="0"/>
    <x v="0"/>
    <n v="830"/>
    <n v="743"/>
    <n v="8919.35"/>
    <n v="5733.89"/>
    <n v="3185.45"/>
    <n v="210"/>
    <n v="11.9"/>
    <x v="0"/>
    <x v="0"/>
    <n v="463"/>
  </r>
  <r>
    <x v="1"/>
    <x v="0"/>
    <x v="0"/>
    <x v="1"/>
    <x v="1"/>
    <n v="2933"/>
    <n v="2742"/>
    <n v="54583.73"/>
    <n v="42861.57"/>
    <n v="11722.16"/>
    <n v="137"/>
    <n v="57.2"/>
    <x v="1"/>
    <x v="1"/>
    <n v="108"/>
  </r>
  <r>
    <x v="2"/>
    <x v="1"/>
    <x v="1"/>
    <x v="1"/>
    <x v="1"/>
    <n v="1062"/>
    <n v="955"/>
    <n v="13533.13"/>
    <n v="10525.04"/>
    <n v="3008.08"/>
    <n v="210"/>
    <n v="87.4"/>
    <x v="1"/>
    <x v="2"/>
    <n v="216"/>
  </r>
  <r>
    <x v="3"/>
    <x v="1"/>
    <x v="1"/>
    <x v="2"/>
    <x v="1"/>
    <n v="2935"/>
    <n v="2847"/>
    <n v="55765.85"/>
    <n v="46983.8"/>
    <n v="8782.0499999999993"/>
    <n v="88"/>
    <n v="11.4"/>
    <x v="1"/>
    <x v="3"/>
    <n v="416"/>
  </r>
  <r>
    <x v="4"/>
    <x v="2"/>
    <x v="2"/>
    <x v="2"/>
    <x v="1"/>
    <n v="2455"/>
    <n v="2406"/>
    <n v="38376.339999999997"/>
    <n v="26614.51"/>
    <n v="11761.84"/>
    <n v="213"/>
    <n v="28.7"/>
    <x v="1"/>
    <x v="4"/>
    <n v="240"/>
  </r>
  <r>
    <x v="5"/>
    <x v="2"/>
    <x v="2"/>
    <x v="1"/>
    <x v="1"/>
    <n v="2079"/>
    <n v="1918"/>
    <n v="24438.78"/>
    <n v="21457.19"/>
    <n v="2981.59"/>
    <n v="174"/>
    <n v="93"/>
    <x v="1"/>
    <x v="5"/>
    <n v="301"/>
  </r>
  <r>
    <x v="6"/>
    <x v="3"/>
    <x v="1"/>
    <x v="0"/>
    <x v="1"/>
    <n v="2764"/>
    <n v="2577"/>
    <n v="37398.33"/>
    <n v="24020.1"/>
    <n v="13378.23"/>
    <n v="94"/>
    <n v="24.9"/>
    <x v="1"/>
    <x v="2"/>
    <n v="393"/>
  </r>
  <r>
    <x v="7"/>
    <x v="3"/>
    <x v="1"/>
    <x v="3"/>
    <x v="2"/>
    <n v="2527"/>
    <n v="2392"/>
    <n v="19294.509999999998"/>
    <n v="16296.88"/>
    <n v="2997.62"/>
    <n v="160"/>
    <n v="74"/>
    <x v="0"/>
    <x v="6"/>
    <n v="310"/>
  </r>
  <r>
    <x v="8"/>
    <x v="1"/>
    <x v="3"/>
    <x v="3"/>
    <x v="1"/>
    <n v="1002"/>
    <n v="852"/>
    <n v="13654.23"/>
    <n v="10920.34"/>
    <n v="2733.9"/>
    <n v="251"/>
    <n v="67.400000000000006"/>
    <x v="0"/>
    <x v="7"/>
    <n v="276"/>
  </r>
  <r>
    <x v="9"/>
    <x v="1"/>
    <x v="3"/>
    <x v="4"/>
    <x v="2"/>
    <n v="1985"/>
    <n v="1855"/>
    <n v="31775.08"/>
    <n v="24415.43"/>
    <n v="7359.64"/>
    <n v="221"/>
    <n v="54.4"/>
    <x v="1"/>
    <x v="8"/>
    <n v="395"/>
  </r>
  <r>
    <x v="10"/>
    <x v="1"/>
    <x v="0"/>
    <x v="1"/>
    <x v="0"/>
    <n v="1063"/>
    <n v="968"/>
    <n v="15823.11"/>
    <n v="10155.27"/>
    <n v="5667.85"/>
    <n v="222"/>
    <n v="78"/>
    <x v="1"/>
    <x v="9"/>
    <n v="236"/>
  </r>
  <r>
    <x v="11"/>
    <x v="1"/>
    <x v="0"/>
    <x v="2"/>
    <x v="0"/>
    <n v="2319"/>
    <n v="2254"/>
    <n v="34919.53"/>
    <n v="24048.73"/>
    <n v="10870.79"/>
    <n v="213"/>
    <n v="51.1"/>
    <x v="1"/>
    <x v="10"/>
    <n v="335"/>
  </r>
  <r>
    <x v="12"/>
    <x v="1"/>
    <x v="2"/>
    <x v="3"/>
    <x v="2"/>
    <n v="1900"/>
    <n v="1874"/>
    <n v="24596.799999999999"/>
    <n v="20794.240000000002"/>
    <n v="3802.56"/>
    <n v="82"/>
    <n v="10.6"/>
    <x v="1"/>
    <x v="2"/>
    <n v="367"/>
  </r>
  <r>
    <x v="13"/>
    <x v="1"/>
    <x v="2"/>
    <x v="4"/>
    <x v="2"/>
    <n v="1757"/>
    <n v="1586"/>
    <n v="17334.2"/>
    <n v="11275.68"/>
    <n v="6058.52"/>
    <n v="239"/>
    <n v="56.7"/>
    <x v="0"/>
    <x v="1"/>
    <n v="367"/>
  </r>
  <r>
    <x v="14"/>
    <x v="4"/>
    <x v="1"/>
    <x v="5"/>
    <x v="1"/>
    <n v="2136"/>
    <n v="2024"/>
    <n v="40425.120000000003"/>
    <n v="27490.47"/>
    <n v="12934.65"/>
    <n v="81"/>
    <n v="55.2"/>
    <x v="1"/>
    <x v="11"/>
    <n v="273"/>
  </r>
  <r>
    <x v="15"/>
    <x v="4"/>
    <x v="1"/>
    <x v="1"/>
    <x v="2"/>
    <n v="2932"/>
    <n v="2786"/>
    <n v="45045.34"/>
    <n v="34202.050000000003"/>
    <n v="10843.3"/>
    <n v="297"/>
    <n v="98.7"/>
    <x v="1"/>
    <x v="12"/>
    <n v="488"/>
  </r>
  <r>
    <x v="16"/>
    <x v="0"/>
    <x v="3"/>
    <x v="4"/>
    <x v="2"/>
    <n v="697"/>
    <n v="559"/>
    <n v="9948.6299999999992"/>
    <n v="8351.91"/>
    <n v="1596.72"/>
    <n v="280"/>
    <n v="38.9"/>
    <x v="1"/>
    <x v="4"/>
    <n v="308"/>
  </r>
  <r>
    <x v="17"/>
    <x v="0"/>
    <x v="3"/>
    <x v="0"/>
    <x v="0"/>
    <n v="2455"/>
    <n v="2309"/>
    <n v="38176.53"/>
    <n v="32177.1"/>
    <n v="5999.43"/>
    <n v="227"/>
    <n v="68.099999999999994"/>
    <x v="1"/>
    <x v="7"/>
    <n v="473"/>
  </r>
  <r>
    <x v="18"/>
    <x v="4"/>
    <x v="2"/>
    <x v="3"/>
    <x v="0"/>
    <n v="1938"/>
    <n v="1897"/>
    <n v="21047.78"/>
    <n v="16796.03"/>
    <n v="4251.75"/>
    <n v="169"/>
    <n v="98.4"/>
    <x v="1"/>
    <x v="1"/>
    <n v="51"/>
  </r>
  <r>
    <x v="19"/>
    <x v="4"/>
    <x v="2"/>
    <x v="2"/>
    <x v="2"/>
    <n v="1827"/>
    <n v="1688"/>
    <n v="24812.79"/>
    <n v="21457.88"/>
    <n v="3354.92"/>
    <n v="88"/>
    <n v="35.1"/>
    <x v="0"/>
    <x v="13"/>
    <n v="180"/>
  </r>
  <r>
    <x v="20"/>
    <x v="2"/>
    <x v="0"/>
    <x v="2"/>
    <x v="1"/>
    <n v="603"/>
    <n v="520"/>
    <n v="7783.48"/>
    <n v="5539.39"/>
    <n v="2244.1"/>
    <n v="296"/>
    <n v="69.7"/>
    <x v="1"/>
    <x v="14"/>
    <n v="387"/>
  </r>
  <r>
    <x v="21"/>
    <x v="2"/>
    <x v="0"/>
    <x v="4"/>
    <x v="1"/>
    <n v="1456"/>
    <n v="1288"/>
    <n v="13023.1"/>
    <n v="7884.48"/>
    <n v="5138.62"/>
    <n v="221"/>
    <n v="39.299999999999997"/>
    <x v="0"/>
    <x v="15"/>
    <n v="184"/>
  </r>
  <r>
    <x v="22"/>
    <x v="0"/>
    <x v="3"/>
    <x v="2"/>
    <x v="1"/>
    <n v="1545"/>
    <n v="1388"/>
    <n v="27310.46"/>
    <n v="19606.98"/>
    <n v="7703.48"/>
    <n v="261"/>
    <n v="91.5"/>
    <x v="1"/>
    <x v="16"/>
    <n v="335"/>
  </r>
  <r>
    <x v="23"/>
    <x v="0"/>
    <x v="3"/>
    <x v="4"/>
    <x v="2"/>
    <n v="2831"/>
    <n v="2721"/>
    <n v="37849.69"/>
    <n v="24926.78"/>
    <n v="12922.91"/>
    <n v="140"/>
    <n v="54.9"/>
    <x v="1"/>
    <x v="1"/>
    <n v="66"/>
  </r>
  <r>
    <x v="24"/>
    <x v="3"/>
    <x v="3"/>
    <x v="2"/>
    <x v="2"/>
    <n v="801"/>
    <n v="621"/>
    <n v="9232.7199999999993"/>
    <n v="8254.9699999999993"/>
    <n v="977.75"/>
    <n v="195"/>
    <n v="36.5"/>
    <x v="1"/>
    <x v="5"/>
    <n v="210"/>
  </r>
  <r>
    <x v="25"/>
    <x v="3"/>
    <x v="3"/>
    <x v="4"/>
    <x v="0"/>
    <n v="627"/>
    <n v="610"/>
    <n v="8955.7900000000009"/>
    <n v="7888.67"/>
    <n v="1067.1099999999999"/>
    <n v="137"/>
    <n v="93.7"/>
    <x v="1"/>
    <x v="17"/>
    <n v="337"/>
  </r>
  <r>
    <x v="26"/>
    <x v="1"/>
    <x v="2"/>
    <x v="3"/>
    <x v="2"/>
    <n v="745"/>
    <n v="570"/>
    <n v="8341.2900000000009"/>
    <n v="5746.76"/>
    <n v="2594.5300000000002"/>
    <n v="105"/>
    <n v="82.9"/>
    <x v="0"/>
    <x v="18"/>
    <n v="365"/>
  </r>
  <r>
    <x v="27"/>
    <x v="1"/>
    <x v="2"/>
    <x v="1"/>
    <x v="1"/>
    <n v="535"/>
    <n v="363"/>
    <n v="3750.26"/>
    <n v="2329.9699999999998"/>
    <n v="1420.29"/>
    <n v="223"/>
    <n v="14.6"/>
    <x v="0"/>
    <x v="8"/>
    <n v="141"/>
  </r>
  <r>
    <x v="28"/>
    <x v="1"/>
    <x v="0"/>
    <x v="4"/>
    <x v="1"/>
    <n v="1648"/>
    <n v="1499"/>
    <n v="22619.91"/>
    <n v="13778.92"/>
    <n v="8840.99"/>
    <n v="259"/>
    <n v="13.5"/>
    <x v="1"/>
    <x v="19"/>
    <n v="493"/>
  </r>
  <r>
    <x v="29"/>
    <x v="1"/>
    <x v="0"/>
    <x v="0"/>
    <x v="2"/>
    <n v="2811"/>
    <n v="2759"/>
    <n v="31062.240000000002"/>
    <n v="27632.21"/>
    <n v="3430.03"/>
    <n v="182"/>
    <n v="17.7"/>
    <x v="1"/>
    <x v="10"/>
    <n v="399"/>
  </r>
  <r>
    <x v="30"/>
    <x v="2"/>
    <x v="0"/>
    <x v="1"/>
    <x v="0"/>
    <n v="1156"/>
    <n v="1037"/>
    <n v="11666.24"/>
    <n v="8536.09"/>
    <n v="3130.15"/>
    <n v="262"/>
    <n v="32.6"/>
    <x v="1"/>
    <x v="20"/>
    <n v="328"/>
  </r>
  <r>
    <x v="31"/>
    <x v="2"/>
    <x v="0"/>
    <x v="5"/>
    <x v="0"/>
    <n v="2431"/>
    <n v="2303"/>
    <n v="23213.16"/>
    <n v="15017.32"/>
    <n v="8195.85"/>
    <n v="113"/>
    <n v="31.6"/>
    <x v="1"/>
    <x v="21"/>
    <n v="286"/>
  </r>
  <r>
    <x v="32"/>
    <x v="3"/>
    <x v="2"/>
    <x v="2"/>
    <x v="1"/>
    <n v="2794"/>
    <n v="2600"/>
    <n v="28529.21"/>
    <n v="20164.21"/>
    <n v="8365"/>
    <n v="165"/>
    <n v="11.3"/>
    <x v="1"/>
    <x v="11"/>
    <n v="96"/>
  </r>
  <r>
    <x v="33"/>
    <x v="3"/>
    <x v="2"/>
    <x v="3"/>
    <x v="2"/>
    <n v="2641"/>
    <n v="2452"/>
    <n v="40320.43"/>
    <n v="29927.919999999998"/>
    <n v="10392.5"/>
    <n v="297"/>
    <n v="78.7"/>
    <x v="0"/>
    <x v="12"/>
    <n v="338"/>
  </r>
  <r>
    <x v="34"/>
    <x v="3"/>
    <x v="1"/>
    <x v="5"/>
    <x v="1"/>
    <n v="2989"/>
    <n v="2894"/>
    <n v="52896.18"/>
    <n v="42190.42"/>
    <n v="10705.76"/>
    <n v="83"/>
    <n v="65.400000000000006"/>
    <x v="0"/>
    <x v="22"/>
    <n v="433"/>
  </r>
  <r>
    <x v="35"/>
    <x v="3"/>
    <x v="1"/>
    <x v="0"/>
    <x v="0"/>
    <n v="1351"/>
    <n v="1200"/>
    <n v="19351.22"/>
    <n v="14939.34"/>
    <n v="4411.88"/>
    <n v="112"/>
    <n v="51.2"/>
    <x v="1"/>
    <x v="11"/>
    <n v="317"/>
  </r>
  <r>
    <x v="36"/>
    <x v="1"/>
    <x v="0"/>
    <x v="3"/>
    <x v="0"/>
    <n v="1253"/>
    <n v="1219"/>
    <n v="14675.12"/>
    <n v="11691.91"/>
    <n v="2983.2"/>
    <n v="172"/>
    <n v="86"/>
    <x v="1"/>
    <x v="22"/>
    <n v="164"/>
  </r>
  <r>
    <x v="37"/>
    <x v="1"/>
    <x v="0"/>
    <x v="2"/>
    <x v="2"/>
    <n v="1325"/>
    <n v="1212"/>
    <n v="18843.34"/>
    <n v="16266.36"/>
    <n v="2576.9899999999998"/>
    <n v="243"/>
    <n v="47.6"/>
    <x v="0"/>
    <x v="12"/>
    <n v="443"/>
  </r>
  <r>
    <x v="38"/>
    <x v="3"/>
    <x v="1"/>
    <x v="0"/>
    <x v="1"/>
    <n v="1508"/>
    <n v="1413"/>
    <n v="17082.66"/>
    <n v="15019.54"/>
    <n v="2063.12"/>
    <n v="116"/>
    <n v="31.5"/>
    <x v="1"/>
    <x v="5"/>
    <n v="266"/>
  </r>
  <r>
    <x v="39"/>
    <x v="3"/>
    <x v="1"/>
    <x v="2"/>
    <x v="0"/>
    <n v="1372"/>
    <n v="1343"/>
    <n v="25289.54"/>
    <n v="19007.009999999998"/>
    <n v="6282.54"/>
    <n v="191"/>
    <n v="45.1"/>
    <x v="1"/>
    <x v="23"/>
    <n v="226"/>
  </r>
  <r>
    <x v="40"/>
    <x v="2"/>
    <x v="2"/>
    <x v="3"/>
    <x v="2"/>
    <n v="2319"/>
    <n v="2192"/>
    <n v="30228.23"/>
    <n v="22607.93"/>
    <n v="7620.3"/>
    <n v="223"/>
    <n v="50.4"/>
    <x v="1"/>
    <x v="21"/>
    <n v="485"/>
  </r>
  <r>
    <x v="41"/>
    <x v="2"/>
    <x v="2"/>
    <x v="2"/>
    <x v="0"/>
    <n v="1992"/>
    <n v="1940"/>
    <n v="33947.96"/>
    <n v="28410.55"/>
    <n v="5537.41"/>
    <n v="188"/>
    <n v="93.8"/>
    <x v="0"/>
    <x v="14"/>
    <n v="272"/>
  </r>
  <r>
    <x v="42"/>
    <x v="3"/>
    <x v="1"/>
    <x v="1"/>
    <x v="2"/>
    <n v="1453"/>
    <n v="1309"/>
    <n v="12060.43"/>
    <n v="7540.57"/>
    <n v="4519.8599999999997"/>
    <n v="220"/>
    <n v="30"/>
    <x v="1"/>
    <x v="6"/>
    <n v="171"/>
  </r>
  <r>
    <x v="43"/>
    <x v="3"/>
    <x v="1"/>
    <x v="0"/>
    <x v="1"/>
    <n v="2040"/>
    <n v="2012"/>
    <n v="18144.32"/>
    <n v="16257.16"/>
    <n v="1887.16"/>
    <n v="188"/>
    <n v="43.4"/>
    <x v="0"/>
    <x v="9"/>
    <n v="266"/>
  </r>
  <r>
    <x v="44"/>
    <x v="3"/>
    <x v="3"/>
    <x v="4"/>
    <x v="2"/>
    <n v="1705"/>
    <n v="1539"/>
    <n v="20146.53"/>
    <n v="17565.89"/>
    <n v="2580.64"/>
    <n v="118"/>
    <n v="49.1"/>
    <x v="1"/>
    <x v="17"/>
    <n v="269"/>
  </r>
  <r>
    <x v="45"/>
    <x v="3"/>
    <x v="3"/>
    <x v="1"/>
    <x v="1"/>
    <n v="1581"/>
    <n v="1434"/>
    <n v="13516.62"/>
    <n v="8586.5400000000009"/>
    <n v="4930.08"/>
    <n v="184"/>
    <n v="77"/>
    <x v="1"/>
    <x v="3"/>
    <n v="239"/>
  </r>
  <r>
    <x v="46"/>
    <x v="4"/>
    <x v="2"/>
    <x v="5"/>
    <x v="2"/>
    <n v="633"/>
    <n v="576"/>
    <n v="4692.01"/>
    <n v="4180.41"/>
    <n v="511.6"/>
    <n v="140"/>
    <n v="39"/>
    <x v="1"/>
    <x v="16"/>
    <n v="252"/>
  </r>
  <r>
    <x v="47"/>
    <x v="4"/>
    <x v="2"/>
    <x v="2"/>
    <x v="2"/>
    <n v="2199"/>
    <n v="2053"/>
    <n v="40303.74"/>
    <n v="30507.08"/>
    <n v="9796.66"/>
    <n v="128"/>
    <n v="72.599999999999994"/>
    <x v="1"/>
    <x v="16"/>
    <n v="103"/>
  </r>
  <r>
    <x v="48"/>
    <x v="4"/>
    <x v="2"/>
    <x v="1"/>
    <x v="2"/>
    <n v="1531"/>
    <n v="1410"/>
    <n v="14463.01"/>
    <n v="10689.75"/>
    <n v="3773.26"/>
    <n v="265"/>
    <n v="30.6"/>
    <x v="1"/>
    <x v="11"/>
    <n v="90"/>
  </r>
  <r>
    <x v="49"/>
    <x v="4"/>
    <x v="2"/>
    <x v="3"/>
    <x v="0"/>
    <n v="1724"/>
    <n v="1564"/>
    <n v="20229.53"/>
    <n v="15795.91"/>
    <n v="4433.6099999999997"/>
    <n v="236"/>
    <n v="22"/>
    <x v="1"/>
    <x v="24"/>
    <n v="131"/>
  </r>
  <r>
    <x v="50"/>
    <x v="0"/>
    <x v="1"/>
    <x v="3"/>
    <x v="1"/>
    <n v="1376"/>
    <n v="1372"/>
    <n v="11410.11"/>
    <n v="8134.71"/>
    <n v="3275.4"/>
    <n v="144"/>
    <n v="53.2"/>
    <x v="0"/>
    <x v="19"/>
    <n v="390"/>
  </r>
  <r>
    <x v="51"/>
    <x v="0"/>
    <x v="1"/>
    <x v="5"/>
    <x v="1"/>
    <n v="562"/>
    <n v="477"/>
    <n v="8562.14"/>
    <n v="6599.05"/>
    <n v="1963.09"/>
    <n v="240"/>
    <n v="52.2"/>
    <x v="1"/>
    <x v="7"/>
    <n v="454"/>
  </r>
  <r>
    <x v="52"/>
    <x v="2"/>
    <x v="3"/>
    <x v="0"/>
    <x v="0"/>
    <n v="1960"/>
    <n v="1938"/>
    <n v="33387.57"/>
    <n v="29495.57"/>
    <n v="3892"/>
    <n v="281"/>
    <n v="44"/>
    <x v="1"/>
    <x v="2"/>
    <n v="415"/>
  </r>
  <r>
    <x v="53"/>
    <x v="2"/>
    <x v="3"/>
    <x v="2"/>
    <x v="2"/>
    <n v="550"/>
    <n v="378"/>
    <n v="5773.61"/>
    <n v="3860.19"/>
    <n v="1913.42"/>
    <n v="192"/>
    <n v="78.099999999999994"/>
    <x v="1"/>
    <x v="15"/>
    <n v="88"/>
  </r>
  <r>
    <x v="54"/>
    <x v="0"/>
    <x v="2"/>
    <x v="3"/>
    <x v="2"/>
    <n v="1262"/>
    <n v="1206"/>
    <n v="18185.84"/>
    <n v="13530.52"/>
    <n v="4655.32"/>
    <n v="230"/>
    <n v="78"/>
    <x v="1"/>
    <x v="22"/>
    <n v="124"/>
  </r>
  <r>
    <x v="55"/>
    <x v="0"/>
    <x v="2"/>
    <x v="4"/>
    <x v="0"/>
    <n v="2650"/>
    <n v="2485"/>
    <n v="38286.800000000003"/>
    <n v="34233.72"/>
    <n v="4053.09"/>
    <n v="129"/>
    <n v="63.1"/>
    <x v="1"/>
    <x v="6"/>
    <n v="484"/>
  </r>
  <r>
    <x v="56"/>
    <x v="1"/>
    <x v="3"/>
    <x v="5"/>
    <x v="0"/>
    <n v="1519"/>
    <n v="1490"/>
    <n v="23042.91"/>
    <n v="19787.16"/>
    <n v="3255.75"/>
    <n v="212"/>
    <n v="81.7"/>
    <x v="1"/>
    <x v="1"/>
    <n v="379"/>
  </r>
  <r>
    <x v="57"/>
    <x v="1"/>
    <x v="3"/>
    <x v="3"/>
    <x v="2"/>
    <n v="2375"/>
    <n v="2307"/>
    <n v="45587.22"/>
    <n v="34089.46"/>
    <n v="11497.76"/>
    <n v="284"/>
    <n v="28.8"/>
    <x v="1"/>
    <x v="19"/>
    <n v="420"/>
  </r>
  <r>
    <x v="58"/>
    <x v="4"/>
    <x v="1"/>
    <x v="2"/>
    <x v="0"/>
    <n v="1166"/>
    <n v="1074"/>
    <n v="21133.45"/>
    <n v="16496.36"/>
    <n v="4637.09"/>
    <n v="130"/>
    <n v="13.7"/>
    <x v="1"/>
    <x v="3"/>
    <n v="219"/>
  </r>
  <r>
    <x v="59"/>
    <x v="4"/>
    <x v="1"/>
    <x v="3"/>
    <x v="2"/>
    <n v="1928"/>
    <n v="1859"/>
    <n v="17563.150000000001"/>
    <n v="12965.7"/>
    <n v="4597.4399999999996"/>
    <n v="169"/>
    <n v="90.5"/>
    <x v="1"/>
    <x v="25"/>
    <n v="350"/>
  </r>
  <r>
    <x v="60"/>
    <x v="4"/>
    <x v="1"/>
    <x v="2"/>
    <x v="1"/>
    <n v="1780"/>
    <n v="1773"/>
    <n v="30103.97"/>
    <n v="19728.830000000002"/>
    <n v="10375.14"/>
    <n v="286"/>
    <n v="58.3"/>
    <x v="0"/>
    <x v="14"/>
    <n v="77"/>
  </r>
  <r>
    <x v="61"/>
    <x v="4"/>
    <x v="1"/>
    <x v="0"/>
    <x v="0"/>
    <n v="2625"/>
    <n v="2496"/>
    <n v="42356.25"/>
    <n v="25879.88"/>
    <n v="16476.37"/>
    <n v="135"/>
    <n v="22"/>
    <x v="1"/>
    <x v="5"/>
    <n v="287"/>
  </r>
  <r>
    <x v="62"/>
    <x v="0"/>
    <x v="0"/>
    <x v="1"/>
    <x v="0"/>
    <n v="2406"/>
    <n v="2392"/>
    <n v="22146.16"/>
    <n v="18186.91"/>
    <n v="3959.26"/>
    <n v="107"/>
    <n v="11.8"/>
    <x v="1"/>
    <x v="9"/>
    <n v="135"/>
  </r>
  <r>
    <x v="63"/>
    <x v="0"/>
    <x v="0"/>
    <x v="5"/>
    <x v="1"/>
    <n v="625"/>
    <n v="582"/>
    <n v="6284.78"/>
    <n v="4417.4399999999996"/>
    <n v="1867.35"/>
    <n v="104"/>
    <n v="71.099999999999994"/>
    <x v="0"/>
    <x v="18"/>
    <n v="195"/>
  </r>
  <r>
    <x v="64"/>
    <x v="2"/>
    <x v="2"/>
    <x v="0"/>
    <x v="0"/>
    <n v="2972"/>
    <n v="2872"/>
    <n v="35489.269999999997"/>
    <n v="28170.5"/>
    <n v="7318.77"/>
    <n v="266"/>
    <n v="42"/>
    <x v="0"/>
    <x v="11"/>
    <n v="426"/>
  </r>
  <r>
    <x v="65"/>
    <x v="2"/>
    <x v="2"/>
    <x v="4"/>
    <x v="2"/>
    <n v="1960"/>
    <n v="1811"/>
    <n v="19384.93"/>
    <n v="13755.68"/>
    <n v="5629.25"/>
    <n v="191"/>
    <n v="24.5"/>
    <x v="1"/>
    <x v="20"/>
    <n v="399"/>
  </r>
  <r>
    <x v="66"/>
    <x v="0"/>
    <x v="0"/>
    <x v="1"/>
    <x v="1"/>
    <n v="967"/>
    <n v="893"/>
    <n v="16418.77"/>
    <n v="13875.86"/>
    <n v="2542.91"/>
    <n v="192"/>
    <n v="54.2"/>
    <x v="0"/>
    <x v="20"/>
    <n v="490"/>
  </r>
  <r>
    <x v="67"/>
    <x v="0"/>
    <x v="0"/>
    <x v="2"/>
    <x v="1"/>
    <n v="1346"/>
    <n v="1211"/>
    <n v="16614.23"/>
    <n v="14148.26"/>
    <n v="2465.9699999999998"/>
    <n v="212"/>
    <n v="26.8"/>
    <x v="1"/>
    <x v="23"/>
    <n v="261"/>
  </r>
  <r>
    <x v="68"/>
    <x v="4"/>
    <x v="2"/>
    <x v="2"/>
    <x v="1"/>
    <n v="1153"/>
    <n v="1090"/>
    <n v="9861.76"/>
    <n v="7414.38"/>
    <n v="2447.38"/>
    <n v="179"/>
    <n v="38.9"/>
    <x v="1"/>
    <x v="24"/>
    <n v="227"/>
  </r>
  <r>
    <x v="69"/>
    <x v="4"/>
    <x v="2"/>
    <x v="4"/>
    <x v="1"/>
    <n v="760"/>
    <n v="610"/>
    <n v="8898.11"/>
    <n v="5877.37"/>
    <n v="3020.74"/>
    <n v="247"/>
    <n v="82.9"/>
    <x v="1"/>
    <x v="11"/>
    <n v="378"/>
  </r>
  <r>
    <x v="70"/>
    <x v="4"/>
    <x v="1"/>
    <x v="0"/>
    <x v="0"/>
    <n v="1618"/>
    <n v="1570"/>
    <n v="28587.71"/>
    <n v="23550.33"/>
    <n v="5037.37"/>
    <n v="257"/>
    <n v="21.2"/>
    <x v="0"/>
    <x v="2"/>
    <n v="467"/>
  </r>
  <r>
    <x v="71"/>
    <x v="4"/>
    <x v="1"/>
    <x v="3"/>
    <x v="0"/>
    <n v="2070"/>
    <n v="2070"/>
    <n v="34969.440000000002"/>
    <n v="27008.36"/>
    <n v="7961.07"/>
    <n v="143"/>
    <n v="80.3"/>
    <x v="0"/>
    <x v="11"/>
    <n v="319"/>
  </r>
  <r>
    <x v="72"/>
    <x v="3"/>
    <x v="3"/>
    <x v="1"/>
    <x v="1"/>
    <n v="631"/>
    <n v="543"/>
    <n v="10059.84"/>
    <n v="7220.28"/>
    <n v="2839.56"/>
    <n v="119"/>
    <n v="50.7"/>
    <x v="0"/>
    <x v="23"/>
    <n v="174"/>
  </r>
  <r>
    <x v="73"/>
    <x v="3"/>
    <x v="3"/>
    <x v="2"/>
    <x v="1"/>
    <n v="2388"/>
    <n v="2366"/>
    <n v="31384.84"/>
    <n v="24268.2"/>
    <n v="7116.64"/>
    <n v="224"/>
    <n v="91"/>
    <x v="1"/>
    <x v="14"/>
    <n v="358"/>
  </r>
  <r>
    <x v="74"/>
    <x v="0"/>
    <x v="2"/>
    <x v="1"/>
    <x v="1"/>
    <n v="1971"/>
    <n v="1957"/>
    <n v="36289.730000000003"/>
    <n v="27167.47"/>
    <n v="9122.25"/>
    <n v="234"/>
    <n v="81"/>
    <x v="1"/>
    <x v="7"/>
    <n v="460"/>
  </r>
  <r>
    <x v="75"/>
    <x v="0"/>
    <x v="2"/>
    <x v="2"/>
    <x v="0"/>
    <n v="2836"/>
    <n v="2641"/>
    <n v="39188.94"/>
    <n v="32477.35"/>
    <n v="6711.59"/>
    <n v="202"/>
    <n v="77.900000000000006"/>
    <x v="1"/>
    <x v="18"/>
    <n v="208"/>
  </r>
  <r>
    <x v="76"/>
    <x v="2"/>
    <x v="0"/>
    <x v="2"/>
    <x v="2"/>
    <n v="2594"/>
    <n v="2527"/>
    <n v="42117.59"/>
    <n v="34368.410000000003"/>
    <n v="7749.17"/>
    <n v="174"/>
    <n v="63.9"/>
    <x v="1"/>
    <x v="25"/>
    <n v="348"/>
  </r>
  <r>
    <x v="77"/>
    <x v="2"/>
    <x v="0"/>
    <x v="1"/>
    <x v="0"/>
    <n v="2616"/>
    <n v="2469"/>
    <n v="25132.38"/>
    <n v="21928.880000000001"/>
    <n v="3203.49"/>
    <n v="117"/>
    <n v="30.5"/>
    <x v="1"/>
    <x v="25"/>
    <n v="351"/>
  </r>
  <r>
    <x v="78"/>
    <x v="1"/>
    <x v="1"/>
    <x v="4"/>
    <x v="2"/>
    <n v="2363"/>
    <n v="2237"/>
    <n v="21990.76"/>
    <n v="16996.36"/>
    <n v="4994.3999999999996"/>
    <n v="201"/>
    <n v="16.2"/>
    <x v="1"/>
    <x v="14"/>
    <n v="345"/>
  </r>
  <r>
    <x v="79"/>
    <x v="1"/>
    <x v="1"/>
    <x v="2"/>
    <x v="2"/>
    <n v="1930"/>
    <n v="1930"/>
    <n v="18062.59"/>
    <n v="16174.19"/>
    <n v="1888.4"/>
    <n v="189"/>
    <n v="26.8"/>
    <x v="0"/>
    <x v="7"/>
    <n v="368"/>
  </r>
  <r>
    <x v="80"/>
    <x v="0"/>
    <x v="2"/>
    <x v="5"/>
    <x v="2"/>
    <n v="616"/>
    <n v="463"/>
    <n v="5556.92"/>
    <n v="3997.93"/>
    <n v="1558.99"/>
    <n v="104"/>
    <n v="87.7"/>
    <x v="0"/>
    <x v="9"/>
    <n v="259"/>
  </r>
  <r>
    <x v="81"/>
    <x v="0"/>
    <x v="2"/>
    <x v="2"/>
    <x v="0"/>
    <n v="917"/>
    <n v="827"/>
    <n v="11103.81"/>
    <n v="7410.48"/>
    <n v="3693.33"/>
    <n v="187"/>
    <n v="92.1"/>
    <x v="1"/>
    <x v="21"/>
    <n v="229"/>
  </r>
  <r>
    <x v="82"/>
    <x v="3"/>
    <x v="0"/>
    <x v="2"/>
    <x v="1"/>
    <n v="2703"/>
    <n v="2590"/>
    <n v="41342.74"/>
    <n v="27013.79"/>
    <n v="14328.95"/>
    <n v="163"/>
    <n v="51.3"/>
    <x v="1"/>
    <x v="26"/>
    <n v="112"/>
  </r>
  <r>
    <x v="83"/>
    <x v="3"/>
    <x v="0"/>
    <x v="0"/>
    <x v="2"/>
    <n v="1883"/>
    <n v="1835"/>
    <n v="21277.1"/>
    <n v="14744.63"/>
    <n v="6532.47"/>
    <n v="294"/>
    <n v="48.4"/>
    <x v="0"/>
    <x v="20"/>
    <n v="81"/>
  </r>
  <r>
    <x v="84"/>
    <x v="3"/>
    <x v="1"/>
    <x v="3"/>
    <x v="0"/>
    <n v="693"/>
    <n v="581"/>
    <n v="7442.12"/>
    <n v="5714.75"/>
    <n v="1727.37"/>
    <n v="142"/>
    <n v="19.3"/>
    <x v="1"/>
    <x v="5"/>
    <n v="408"/>
  </r>
  <r>
    <x v="85"/>
    <x v="3"/>
    <x v="1"/>
    <x v="0"/>
    <x v="0"/>
    <n v="1299"/>
    <n v="1290"/>
    <n v="14511.13"/>
    <n v="11510.22"/>
    <n v="3000.9"/>
    <n v="203"/>
    <n v="82.1"/>
    <x v="0"/>
    <x v="17"/>
    <n v="440"/>
  </r>
  <r>
    <x v="86"/>
    <x v="3"/>
    <x v="3"/>
    <x v="4"/>
    <x v="0"/>
    <n v="2990"/>
    <n v="2919"/>
    <n v="26998.720000000001"/>
    <n v="22678.240000000002"/>
    <n v="4320.47"/>
    <n v="146"/>
    <n v="89.9"/>
    <x v="1"/>
    <x v="15"/>
    <n v="467"/>
  </r>
  <r>
    <x v="87"/>
    <x v="3"/>
    <x v="3"/>
    <x v="2"/>
    <x v="0"/>
    <n v="2643"/>
    <n v="2556"/>
    <n v="42601.37"/>
    <n v="36496.980000000003"/>
    <n v="6104.4"/>
    <n v="223"/>
    <n v="45.7"/>
    <x v="1"/>
    <x v="16"/>
    <n v="447"/>
  </r>
  <r>
    <x v="88"/>
    <x v="1"/>
    <x v="2"/>
    <x v="3"/>
    <x v="2"/>
    <n v="1414"/>
    <n v="1379"/>
    <n v="21671.13"/>
    <n v="17579.27"/>
    <n v="4091.86"/>
    <n v="208"/>
    <n v="83.6"/>
    <x v="1"/>
    <x v="27"/>
    <n v="435"/>
  </r>
  <r>
    <x v="89"/>
    <x v="1"/>
    <x v="2"/>
    <x v="0"/>
    <x v="0"/>
    <n v="970"/>
    <n v="852"/>
    <n v="9556.68"/>
    <n v="7523.45"/>
    <n v="2033.24"/>
    <n v="245"/>
    <n v="79.599999999999994"/>
    <x v="1"/>
    <x v="16"/>
    <n v="477"/>
  </r>
  <r>
    <x v="90"/>
    <x v="2"/>
    <x v="2"/>
    <x v="3"/>
    <x v="0"/>
    <n v="627"/>
    <n v="514"/>
    <n v="4250.59"/>
    <n v="2892.97"/>
    <n v="1357.63"/>
    <n v="119"/>
    <n v="72.900000000000006"/>
    <x v="1"/>
    <x v="2"/>
    <n v="295"/>
  </r>
  <r>
    <x v="91"/>
    <x v="2"/>
    <x v="2"/>
    <x v="0"/>
    <x v="1"/>
    <n v="2551"/>
    <n v="2398"/>
    <n v="34311.26"/>
    <n v="22353.919999999998"/>
    <n v="11957.34"/>
    <n v="294"/>
    <n v="71.5"/>
    <x v="0"/>
    <x v="16"/>
    <n v="91"/>
  </r>
  <r>
    <x v="92"/>
    <x v="2"/>
    <x v="1"/>
    <x v="4"/>
    <x v="1"/>
    <n v="1901"/>
    <n v="1826"/>
    <n v="19131.099999999999"/>
    <n v="11541.77"/>
    <n v="7589.33"/>
    <n v="292"/>
    <n v="33.700000000000003"/>
    <x v="1"/>
    <x v="6"/>
    <n v="217"/>
  </r>
  <r>
    <x v="93"/>
    <x v="2"/>
    <x v="1"/>
    <x v="5"/>
    <x v="1"/>
    <n v="2815"/>
    <n v="2763"/>
    <n v="27918.61"/>
    <n v="24409.9"/>
    <n v="3508.71"/>
    <n v="233"/>
    <n v="46.4"/>
    <x v="0"/>
    <x v="14"/>
    <n v="113"/>
  </r>
  <r>
    <x v="94"/>
    <x v="1"/>
    <x v="0"/>
    <x v="2"/>
    <x v="0"/>
    <n v="1293"/>
    <n v="1265"/>
    <n v="16029.51"/>
    <n v="11005.99"/>
    <n v="5023.5200000000004"/>
    <n v="243"/>
    <n v="74.7"/>
    <x v="1"/>
    <x v="28"/>
    <n v="359"/>
  </r>
  <r>
    <x v="95"/>
    <x v="1"/>
    <x v="0"/>
    <x v="3"/>
    <x v="1"/>
    <n v="554"/>
    <n v="444"/>
    <n v="8635.3799999999992"/>
    <n v="5530.96"/>
    <n v="3104.41"/>
    <n v="135"/>
    <n v="29.3"/>
    <x v="1"/>
    <x v="10"/>
    <n v="276"/>
  </r>
  <r>
    <x v="96"/>
    <x v="0"/>
    <x v="0"/>
    <x v="3"/>
    <x v="1"/>
    <n v="2024"/>
    <n v="1952"/>
    <n v="17376.03"/>
    <n v="14221.52"/>
    <n v="3154.5"/>
    <n v="296"/>
    <n v="73.400000000000006"/>
    <x v="1"/>
    <x v="21"/>
    <n v="88"/>
  </r>
  <r>
    <x v="97"/>
    <x v="0"/>
    <x v="0"/>
    <x v="0"/>
    <x v="0"/>
    <n v="630"/>
    <n v="523"/>
    <n v="8543.92"/>
    <n v="5823.9"/>
    <n v="2720.01"/>
    <n v="177"/>
    <n v="19.3"/>
    <x v="1"/>
    <x v="6"/>
    <n v="354"/>
  </r>
  <r>
    <x v="98"/>
    <x v="3"/>
    <x v="2"/>
    <x v="4"/>
    <x v="0"/>
    <n v="511"/>
    <n v="450"/>
    <n v="8774.1200000000008"/>
    <n v="7260.74"/>
    <n v="1513.38"/>
    <n v="228"/>
    <n v="78.3"/>
    <x v="0"/>
    <x v="13"/>
    <n v="247"/>
  </r>
  <r>
    <x v="99"/>
    <x v="3"/>
    <x v="2"/>
    <x v="0"/>
    <x v="2"/>
    <n v="1612"/>
    <n v="1601"/>
    <n v="17057.88"/>
    <n v="15288.98"/>
    <n v="1768.89"/>
    <n v="188"/>
    <n v="70.3"/>
    <x v="1"/>
    <x v="13"/>
    <n v="248"/>
  </r>
  <r>
    <x v="100"/>
    <x v="4"/>
    <x v="3"/>
    <x v="5"/>
    <x v="1"/>
    <n v="834"/>
    <n v="718"/>
    <n v="12042.5"/>
    <n v="7921.31"/>
    <n v="4121.1899999999996"/>
    <n v="151"/>
    <n v="97.4"/>
    <x v="0"/>
    <x v="17"/>
    <n v="272"/>
  </r>
  <r>
    <x v="101"/>
    <x v="4"/>
    <x v="3"/>
    <x v="1"/>
    <x v="1"/>
    <n v="2919"/>
    <n v="2753"/>
    <n v="37060.129999999997"/>
    <n v="28044.52"/>
    <n v="9015.6"/>
    <n v="182"/>
    <n v="13.3"/>
    <x v="1"/>
    <x v="28"/>
    <n v="157"/>
  </r>
  <r>
    <x v="102"/>
    <x v="0"/>
    <x v="3"/>
    <x v="3"/>
    <x v="0"/>
    <n v="863"/>
    <n v="825"/>
    <n v="9721.3700000000008"/>
    <n v="7406.2"/>
    <n v="2315.17"/>
    <n v="172"/>
    <n v="69.5"/>
    <x v="0"/>
    <x v="7"/>
    <n v="65"/>
  </r>
  <r>
    <x v="103"/>
    <x v="0"/>
    <x v="3"/>
    <x v="1"/>
    <x v="2"/>
    <n v="1949"/>
    <n v="1842"/>
    <n v="19885.34"/>
    <n v="12076.77"/>
    <n v="7808.57"/>
    <n v="249"/>
    <n v="99.1"/>
    <x v="1"/>
    <x v="18"/>
    <n v="190"/>
  </r>
  <r>
    <x v="104"/>
    <x v="1"/>
    <x v="0"/>
    <x v="1"/>
    <x v="2"/>
    <n v="1457"/>
    <n v="1396"/>
    <n v="19206.88"/>
    <n v="15139.85"/>
    <n v="4067.02"/>
    <n v="263"/>
    <n v="34.5"/>
    <x v="1"/>
    <x v="20"/>
    <n v="458"/>
  </r>
  <r>
    <x v="105"/>
    <x v="1"/>
    <x v="0"/>
    <x v="0"/>
    <x v="0"/>
    <n v="839"/>
    <n v="707"/>
    <n v="11868.59"/>
    <n v="7133.07"/>
    <n v="4735.5200000000004"/>
    <n v="252"/>
    <n v="41.9"/>
    <x v="1"/>
    <x v="12"/>
    <n v="195"/>
  </r>
  <r>
    <x v="106"/>
    <x v="3"/>
    <x v="2"/>
    <x v="5"/>
    <x v="2"/>
    <n v="898"/>
    <n v="850"/>
    <n v="10794.63"/>
    <n v="6879.75"/>
    <n v="3914.87"/>
    <n v="266"/>
    <n v="95.5"/>
    <x v="0"/>
    <x v="19"/>
    <n v="429"/>
  </r>
  <r>
    <x v="107"/>
    <x v="3"/>
    <x v="2"/>
    <x v="0"/>
    <x v="1"/>
    <n v="1306"/>
    <n v="1123"/>
    <n v="20899.47"/>
    <n v="16306.59"/>
    <n v="4592.88"/>
    <n v="141"/>
    <n v="65.2"/>
    <x v="1"/>
    <x v="10"/>
    <n v="309"/>
  </r>
  <r>
    <x v="108"/>
    <x v="3"/>
    <x v="0"/>
    <x v="3"/>
    <x v="1"/>
    <n v="1324"/>
    <n v="1156"/>
    <n v="11834.27"/>
    <n v="9868.31"/>
    <n v="1965.96"/>
    <n v="85"/>
    <n v="82.1"/>
    <x v="1"/>
    <x v="5"/>
    <n v="226"/>
  </r>
  <r>
    <x v="109"/>
    <x v="3"/>
    <x v="0"/>
    <x v="1"/>
    <x v="2"/>
    <n v="1543"/>
    <n v="1422"/>
    <n v="20335.14"/>
    <n v="13788.65"/>
    <n v="6546.49"/>
    <n v="242"/>
    <n v="78.2"/>
    <x v="1"/>
    <x v="29"/>
    <n v="52"/>
  </r>
  <r>
    <x v="110"/>
    <x v="0"/>
    <x v="1"/>
    <x v="2"/>
    <x v="2"/>
    <n v="2876"/>
    <n v="2809"/>
    <n v="42025.55"/>
    <n v="26368.76"/>
    <n v="15656.78"/>
    <n v="184"/>
    <n v="45.2"/>
    <x v="1"/>
    <x v="4"/>
    <n v="186"/>
  </r>
  <r>
    <x v="111"/>
    <x v="0"/>
    <x v="1"/>
    <x v="5"/>
    <x v="0"/>
    <n v="1420"/>
    <n v="1345"/>
    <n v="11331.72"/>
    <n v="7917.65"/>
    <n v="3414.07"/>
    <n v="104"/>
    <n v="59.6"/>
    <x v="1"/>
    <x v="29"/>
    <n v="173"/>
  </r>
  <r>
    <x v="112"/>
    <x v="0"/>
    <x v="2"/>
    <x v="5"/>
    <x v="2"/>
    <n v="1295"/>
    <n v="1099"/>
    <n v="21867.58"/>
    <n v="13524.11"/>
    <n v="8343.4599999999991"/>
    <n v="124"/>
    <n v="53.3"/>
    <x v="1"/>
    <x v="25"/>
    <n v="372"/>
  </r>
  <r>
    <x v="113"/>
    <x v="0"/>
    <x v="2"/>
    <x v="1"/>
    <x v="1"/>
    <n v="2587"/>
    <n v="2497"/>
    <n v="45879.66"/>
    <n v="37629.26"/>
    <n v="8250.4"/>
    <n v="295"/>
    <n v="81.8"/>
    <x v="1"/>
    <x v="7"/>
    <n v="108"/>
  </r>
  <r>
    <x v="114"/>
    <x v="0"/>
    <x v="0"/>
    <x v="0"/>
    <x v="0"/>
    <n v="2969"/>
    <n v="2782"/>
    <n v="27550.87"/>
    <n v="23811.15"/>
    <n v="3739.72"/>
    <n v="137"/>
    <n v="51.9"/>
    <x v="0"/>
    <x v="27"/>
    <n v="443"/>
  </r>
  <r>
    <x v="115"/>
    <x v="0"/>
    <x v="0"/>
    <x v="5"/>
    <x v="0"/>
    <n v="2074"/>
    <n v="1916"/>
    <n v="15353.75"/>
    <n v="11774.1"/>
    <n v="3579.66"/>
    <n v="156"/>
    <n v="55.7"/>
    <x v="1"/>
    <x v="18"/>
    <n v="95"/>
  </r>
  <r>
    <x v="116"/>
    <x v="0"/>
    <x v="1"/>
    <x v="0"/>
    <x v="2"/>
    <n v="1174"/>
    <n v="1105"/>
    <n v="12597.13"/>
    <n v="7627.92"/>
    <n v="4969.21"/>
    <n v="142"/>
    <n v="45.3"/>
    <x v="1"/>
    <x v="11"/>
    <n v="327"/>
  </r>
  <r>
    <x v="117"/>
    <x v="0"/>
    <x v="1"/>
    <x v="2"/>
    <x v="1"/>
    <n v="1230"/>
    <n v="1039"/>
    <n v="17141.490000000002"/>
    <n v="10631.24"/>
    <n v="6510.25"/>
    <n v="217"/>
    <n v="52.6"/>
    <x v="1"/>
    <x v="29"/>
    <n v="259"/>
  </r>
  <r>
    <x v="118"/>
    <x v="1"/>
    <x v="2"/>
    <x v="2"/>
    <x v="2"/>
    <n v="1530"/>
    <n v="1502"/>
    <n v="12414.75"/>
    <n v="8654.1200000000008"/>
    <n v="3760.64"/>
    <n v="158"/>
    <n v="83.7"/>
    <x v="1"/>
    <x v="5"/>
    <n v="75"/>
  </r>
  <r>
    <x v="119"/>
    <x v="1"/>
    <x v="2"/>
    <x v="1"/>
    <x v="1"/>
    <n v="1953"/>
    <n v="1925"/>
    <n v="37213.410000000003"/>
    <n v="23468.94"/>
    <n v="13744.47"/>
    <n v="118"/>
    <n v="57.4"/>
    <x v="0"/>
    <x v="19"/>
    <n v="421"/>
  </r>
  <r>
    <x v="120"/>
    <x v="2"/>
    <x v="3"/>
    <x v="2"/>
    <x v="1"/>
    <n v="1488"/>
    <n v="1468"/>
    <n v="27766.18"/>
    <n v="23801.4"/>
    <n v="3964.79"/>
    <n v="163"/>
    <n v="45.8"/>
    <x v="1"/>
    <x v="28"/>
    <n v="306"/>
  </r>
  <r>
    <x v="121"/>
    <x v="2"/>
    <x v="3"/>
    <x v="1"/>
    <x v="1"/>
    <n v="1433"/>
    <n v="1419"/>
    <n v="24052.11"/>
    <n v="15876.99"/>
    <n v="8175.13"/>
    <n v="104"/>
    <n v="74.3"/>
    <x v="1"/>
    <x v="0"/>
    <n v="257"/>
  </r>
  <r>
    <x v="122"/>
    <x v="0"/>
    <x v="2"/>
    <x v="2"/>
    <x v="0"/>
    <n v="1550"/>
    <n v="1377"/>
    <n v="19779.580000000002"/>
    <n v="11973.74"/>
    <n v="7805.84"/>
    <n v="172"/>
    <n v="21.8"/>
    <x v="1"/>
    <x v="3"/>
    <n v="427"/>
  </r>
  <r>
    <x v="123"/>
    <x v="0"/>
    <x v="2"/>
    <x v="5"/>
    <x v="0"/>
    <n v="1026"/>
    <n v="874"/>
    <n v="7004.92"/>
    <n v="5460.32"/>
    <n v="1544.6"/>
    <n v="205"/>
    <n v="71.7"/>
    <x v="1"/>
    <x v="24"/>
    <n v="481"/>
  </r>
  <r>
    <x v="124"/>
    <x v="4"/>
    <x v="0"/>
    <x v="3"/>
    <x v="0"/>
    <n v="1587"/>
    <n v="1516"/>
    <n v="20579.98"/>
    <n v="16549.12"/>
    <n v="4030.86"/>
    <n v="161"/>
    <n v="53.2"/>
    <x v="1"/>
    <x v="19"/>
    <n v="350"/>
  </r>
  <r>
    <x v="125"/>
    <x v="4"/>
    <x v="0"/>
    <x v="5"/>
    <x v="2"/>
    <n v="2543"/>
    <n v="2442"/>
    <n v="46138.720000000001"/>
    <n v="37708.51"/>
    <n v="8430.2099999999991"/>
    <n v="258"/>
    <n v="19.399999999999999"/>
    <x v="1"/>
    <x v="21"/>
    <n v="95"/>
  </r>
  <r>
    <x v="126"/>
    <x v="2"/>
    <x v="2"/>
    <x v="4"/>
    <x v="2"/>
    <n v="501"/>
    <n v="469"/>
    <n v="8718.9"/>
    <n v="5447.15"/>
    <n v="3271.74"/>
    <n v="156"/>
    <n v="17.100000000000001"/>
    <x v="1"/>
    <x v="22"/>
    <n v="215"/>
  </r>
  <r>
    <x v="127"/>
    <x v="2"/>
    <x v="2"/>
    <x v="5"/>
    <x v="0"/>
    <n v="589"/>
    <n v="416"/>
    <n v="6788.42"/>
    <n v="5745.94"/>
    <n v="1042.48"/>
    <n v="185"/>
    <n v="25.1"/>
    <x v="1"/>
    <x v="19"/>
    <n v="366"/>
  </r>
  <r>
    <x v="128"/>
    <x v="0"/>
    <x v="0"/>
    <x v="0"/>
    <x v="0"/>
    <n v="1939"/>
    <n v="1899"/>
    <n v="31350.07"/>
    <n v="27001.53"/>
    <n v="4348.55"/>
    <n v="257"/>
    <n v="66.3"/>
    <x v="0"/>
    <x v="8"/>
    <n v="300"/>
  </r>
  <r>
    <x v="129"/>
    <x v="0"/>
    <x v="0"/>
    <x v="3"/>
    <x v="0"/>
    <n v="2554"/>
    <n v="2471"/>
    <n v="36165.599999999999"/>
    <n v="28181.78"/>
    <n v="7983.82"/>
    <n v="101"/>
    <n v="50.7"/>
    <x v="1"/>
    <x v="2"/>
    <n v="237"/>
  </r>
  <r>
    <x v="130"/>
    <x v="1"/>
    <x v="3"/>
    <x v="1"/>
    <x v="0"/>
    <n v="2060"/>
    <n v="2016"/>
    <n v="31024.03"/>
    <n v="21676.65"/>
    <n v="9347.3799999999992"/>
    <n v="179"/>
    <n v="77"/>
    <x v="0"/>
    <x v="16"/>
    <n v="232"/>
  </r>
  <r>
    <x v="131"/>
    <x v="1"/>
    <x v="3"/>
    <x v="4"/>
    <x v="0"/>
    <n v="2489"/>
    <n v="2344"/>
    <n v="37126.980000000003"/>
    <n v="25977.54"/>
    <n v="11149.44"/>
    <n v="135"/>
    <n v="97.7"/>
    <x v="1"/>
    <x v="27"/>
    <n v="292"/>
  </r>
  <r>
    <x v="132"/>
    <x v="4"/>
    <x v="0"/>
    <x v="3"/>
    <x v="1"/>
    <n v="1456"/>
    <n v="1433"/>
    <n v="18780.78"/>
    <n v="13217.55"/>
    <n v="5563.23"/>
    <n v="187"/>
    <n v="79.099999999999994"/>
    <x v="1"/>
    <x v="17"/>
    <n v="226"/>
  </r>
  <r>
    <x v="133"/>
    <x v="4"/>
    <x v="0"/>
    <x v="5"/>
    <x v="0"/>
    <n v="1107"/>
    <n v="1003"/>
    <n v="13303.18"/>
    <n v="10876.37"/>
    <n v="2426.8000000000002"/>
    <n v="145"/>
    <n v="63.8"/>
    <x v="0"/>
    <x v="9"/>
    <n v="475"/>
  </r>
  <r>
    <x v="134"/>
    <x v="0"/>
    <x v="1"/>
    <x v="3"/>
    <x v="0"/>
    <n v="1029"/>
    <n v="990"/>
    <n v="17851.66"/>
    <n v="11973.78"/>
    <n v="5877.88"/>
    <n v="105"/>
    <n v="74.400000000000006"/>
    <x v="0"/>
    <x v="5"/>
    <n v="347"/>
  </r>
  <r>
    <x v="135"/>
    <x v="0"/>
    <x v="1"/>
    <x v="0"/>
    <x v="1"/>
    <n v="2881"/>
    <n v="2880"/>
    <n v="29294.560000000001"/>
    <n v="25085.39"/>
    <n v="4209.17"/>
    <n v="120"/>
    <n v="32.299999999999997"/>
    <x v="0"/>
    <x v="8"/>
    <n v="63"/>
  </r>
  <r>
    <x v="136"/>
    <x v="4"/>
    <x v="2"/>
    <x v="3"/>
    <x v="0"/>
    <n v="2540"/>
    <n v="2513"/>
    <n v="27888.27"/>
    <n v="22227.54"/>
    <n v="5660.73"/>
    <n v="272"/>
    <n v="79.599999999999994"/>
    <x v="1"/>
    <x v="18"/>
    <n v="456"/>
  </r>
  <r>
    <x v="137"/>
    <x v="4"/>
    <x v="2"/>
    <x v="1"/>
    <x v="0"/>
    <n v="2834"/>
    <n v="2696"/>
    <n v="50157.78"/>
    <n v="36745.949999999997"/>
    <n v="13411.82"/>
    <n v="159"/>
    <n v="56.8"/>
    <x v="1"/>
    <x v="20"/>
    <n v="410"/>
  </r>
  <r>
    <x v="138"/>
    <x v="0"/>
    <x v="3"/>
    <x v="3"/>
    <x v="2"/>
    <n v="2456"/>
    <n v="2282"/>
    <n v="36433.620000000003"/>
    <n v="27047.93"/>
    <n v="9385.69"/>
    <n v="199"/>
    <n v="82.5"/>
    <x v="1"/>
    <x v="8"/>
    <n v="439"/>
  </r>
  <r>
    <x v="139"/>
    <x v="0"/>
    <x v="3"/>
    <x v="5"/>
    <x v="0"/>
    <n v="1456"/>
    <n v="1309"/>
    <n v="14709.23"/>
    <n v="9077.4500000000007"/>
    <n v="5631.78"/>
    <n v="116"/>
    <n v="94.3"/>
    <x v="1"/>
    <x v="5"/>
    <n v="84"/>
  </r>
  <r>
    <x v="140"/>
    <x v="3"/>
    <x v="0"/>
    <x v="2"/>
    <x v="0"/>
    <n v="1729"/>
    <n v="1718"/>
    <n v="16802.240000000002"/>
    <n v="15054.63"/>
    <n v="1747.62"/>
    <n v="295"/>
    <n v="71.7"/>
    <x v="1"/>
    <x v="21"/>
    <n v="355"/>
  </r>
  <r>
    <x v="141"/>
    <x v="3"/>
    <x v="0"/>
    <x v="3"/>
    <x v="2"/>
    <n v="1708"/>
    <n v="1670"/>
    <n v="22472.99"/>
    <n v="16959.89"/>
    <n v="5513.1"/>
    <n v="257"/>
    <n v="40.799999999999997"/>
    <x v="1"/>
    <x v="5"/>
    <n v="433"/>
  </r>
  <r>
    <x v="142"/>
    <x v="3"/>
    <x v="1"/>
    <x v="1"/>
    <x v="1"/>
    <n v="1864"/>
    <n v="1736"/>
    <n v="29112.639999999999"/>
    <n v="18831.490000000002"/>
    <n v="10281.15"/>
    <n v="181"/>
    <n v="88.1"/>
    <x v="1"/>
    <x v="22"/>
    <n v="242"/>
  </r>
  <r>
    <x v="143"/>
    <x v="3"/>
    <x v="1"/>
    <x v="3"/>
    <x v="0"/>
    <n v="1642"/>
    <n v="1472"/>
    <n v="23844.89"/>
    <n v="17863.46"/>
    <n v="5981.43"/>
    <n v="224"/>
    <n v="84.8"/>
    <x v="0"/>
    <x v="1"/>
    <n v="125"/>
  </r>
  <r>
    <x v="144"/>
    <x v="2"/>
    <x v="1"/>
    <x v="4"/>
    <x v="1"/>
    <n v="1827"/>
    <n v="1759"/>
    <n v="26255.23"/>
    <n v="18498.7"/>
    <n v="7756.53"/>
    <n v="273"/>
    <n v="99.9"/>
    <x v="1"/>
    <x v="2"/>
    <n v="210"/>
  </r>
  <r>
    <x v="145"/>
    <x v="2"/>
    <x v="1"/>
    <x v="2"/>
    <x v="2"/>
    <n v="1612"/>
    <n v="1437"/>
    <n v="24470.86"/>
    <n v="15346.77"/>
    <n v="9124.1"/>
    <n v="238"/>
    <n v="76.5"/>
    <x v="0"/>
    <x v="4"/>
    <n v="151"/>
  </r>
  <r>
    <x v="146"/>
    <x v="2"/>
    <x v="0"/>
    <x v="1"/>
    <x v="2"/>
    <n v="1500"/>
    <n v="1478"/>
    <n v="19549.509999999998"/>
    <n v="16526.18"/>
    <n v="3023.33"/>
    <n v="167"/>
    <n v="36.700000000000003"/>
    <x v="1"/>
    <x v="16"/>
    <n v="192"/>
  </r>
  <r>
    <x v="147"/>
    <x v="2"/>
    <x v="0"/>
    <x v="4"/>
    <x v="2"/>
    <n v="1210"/>
    <n v="1068"/>
    <n v="17457.11"/>
    <n v="12509.19"/>
    <n v="4947.91"/>
    <n v="296"/>
    <n v="63.7"/>
    <x v="1"/>
    <x v="28"/>
    <n v="477"/>
  </r>
  <r>
    <x v="148"/>
    <x v="1"/>
    <x v="2"/>
    <x v="1"/>
    <x v="1"/>
    <n v="1461"/>
    <n v="1288"/>
    <n v="18038.88"/>
    <n v="13758.42"/>
    <n v="4280.46"/>
    <n v="151"/>
    <n v="56.7"/>
    <x v="1"/>
    <x v="16"/>
    <n v="270"/>
  </r>
  <r>
    <x v="149"/>
    <x v="1"/>
    <x v="2"/>
    <x v="4"/>
    <x v="1"/>
    <n v="1164"/>
    <n v="1153"/>
    <n v="11285.45"/>
    <n v="8554.23"/>
    <n v="2731.22"/>
    <n v="286"/>
    <n v="58"/>
    <x v="1"/>
    <x v="13"/>
    <n v="392"/>
  </r>
  <r>
    <x v="150"/>
    <x v="2"/>
    <x v="2"/>
    <x v="2"/>
    <x v="0"/>
    <n v="1514"/>
    <n v="1435"/>
    <n v="22629.51"/>
    <n v="19674.310000000001"/>
    <n v="2955.21"/>
    <n v="104"/>
    <n v="68.900000000000006"/>
    <x v="1"/>
    <x v="12"/>
    <n v="326"/>
  </r>
  <r>
    <x v="151"/>
    <x v="2"/>
    <x v="2"/>
    <x v="4"/>
    <x v="2"/>
    <n v="969"/>
    <n v="951"/>
    <n v="8765.41"/>
    <n v="6536.91"/>
    <n v="2228.5100000000002"/>
    <n v="196"/>
    <n v="35.6"/>
    <x v="1"/>
    <x v="8"/>
    <n v="205"/>
  </r>
  <r>
    <x v="152"/>
    <x v="0"/>
    <x v="3"/>
    <x v="1"/>
    <x v="2"/>
    <n v="2637"/>
    <n v="2549"/>
    <n v="36373.65"/>
    <n v="23168.81"/>
    <n v="13204.84"/>
    <n v="187"/>
    <n v="26.3"/>
    <x v="1"/>
    <x v="9"/>
    <n v="496"/>
  </r>
  <r>
    <x v="153"/>
    <x v="0"/>
    <x v="3"/>
    <x v="5"/>
    <x v="2"/>
    <n v="944"/>
    <n v="903"/>
    <n v="17168.77"/>
    <n v="12487.84"/>
    <n v="4680.92"/>
    <n v="197"/>
    <n v="82.5"/>
    <x v="1"/>
    <x v="29"/>
    <n v="222"/>
  </r>
  <r>
    <x v="154"/>
    <x v="1"/>
    <x v="1"/>
    <x v="1"/>
    <x v="2"/>
    <n v="1743"/>
    <n v="1607"/>
    <n v="28162.560000000001"/>
    <n v="22360.560000000001"/>
    <n v="5802"/>
    <n v="295"/>
    <n v="47"/>
    <x v="0"/>
    <x v="15"/>
    <n v="201"/>
  </r>
  <r>
    <x v="155"/>
    <x v="1"/>
    <x v="1"/>
    <x v="0"/>
    <x v="2"/>
    <n v="1358"/>
    <n v="1322"/>
    <n v="15367.89"/>
    <n v="12595.33"/>
    <n v="2772.56"/>
    <n v="179"/>
    <n v="48.1"/>
    <x v="1"/>
    <x v="17"/>
    <n v="452"/>
  </r>
  <r>
    <x v="156"/>
    <x v="1"/>
    <x v="3"/>
    <x v="0"/>
    <x v="0"/>
    <n v="1161"/>
    <n v="986"/>
    <n v="11582.8"/>
    <n v="7749.75"/>
    <n v="3833.05"/>
    <n v="278"/>
    <n v="59.2"/>
    <x v="1"/>
    <x v="14"/>
    <n v="126"/>
  </r>
  <r>
    <x v="157"/>
    <x v="1"/>
    <x v="3"/>
    <x v="3"/>
    <x v="2"/>
    <n v="940"/>
    <n v="788"/>
    <n v="15644.5"/>
    <n v="10027.06"/>
    <n v="5617.44"/>
    <n v="164"/>
    <n v="70.8"/>
    <x v="1"/>
    <x v="4"/>
    <n v="216"/>
  </r>
  <r>
    <x v="158"/>
    <x v="4"/>
    <x v="2"/>
    <x v="0"/>
    <x v="1"/>
    <n v="1625"/>
    <n v="1584"/>
    <n v="29884.22"/>
    <n v="24857.3"/>
    <n v="5026.92"/>
    <n v="115"/>
    <n v="17.7"/>
    <x v="0"/>
    <x v="28"/>
    <n v="122"/>
  </r>
  <r>
    <x v="159"/>
    <x v="4"/>
    <x v="2"/>
    <x v="3"/>
    <x v="2"/>
    <n v="2414"/>
    <n v="2345"/>
    <n v="28749.599999999999"/>
    <n v="17848.53"/>
    <n v="10901.07"/>
    <n v="128"/>
    <n v="84.9"/>
    <x v="1"/>
    <x v="0"/>
    <n v="76"/>
  </r>
  <r>
    <x v="160"/>
    <x v="3"/>
    <x v="0"/>
    <x v="1"/>
    <x v="2"/>
    <n v="557"/>
    <n v="555"/>
    <n v="5707.56"/>
    <n v="3514.16"/>
    <n v="2193.41"/>
    <n v="251"/>
    <n v="69.599999999999994"/>
    <x v="1"/>
    <x v="22"/>
    <n v="335"/>
  </r>
  <r>
    <x v="161"/>
    <x v="3"/>
    <x v="0"/>
    <x v="0"/>
    <x v="1"/>
    <n v="1965"/>
    <n v="1930"/>
    <n v="37712.18"/>
    <n v="29811.03"/>
    <n v="7901.15"/>
    <n v="126"/>
    <n v="28.1"/>
    <x v="1"/>
    <x v="20"/>
    <n v="207"/>
  </r>
  <r>
    <x v="162"/>
    <x v="2"/>
    <x v="1"/>
    <x v="3"/>
    <x v="1"/>
    <n v="736"/>
    <n v="714"/>
    <n v="9133.34"/>
    <n v="5897.62"/>
    <n v="3235.72"/>
    <n v="84"/>
    <n v="76.3"/>
    <x v="0"/>
    <x v="7"/>
    <n v="170"/>
  </r>
  <r>
    <x v="163"/>
    <x v="2"/>
    <x v="1"/>
    <x v="2"/>
    <x v="1"/>
    <n v="648"/>
    <n v="565"/>
    <n v="8747.91"/>
    <n v="5482.64"/>
    <n v="3265.27"/>
    <n v="111"/>
    <n v="21.5"/>
    <x v="0"/>
    <x v="24"/>
    <n v="275"/>
  </r>
  <r>
    <x v="164"/>
    <x v="3"/>
    <x v="0"/>
    <x v="4"/>
    <x v="2"/>
    <n v="2101"/>
    <n v="1997"/>
    <n v="18076.27"/>
    <n v="15926.77"/>
    <n v="2149.5"/>
    <n v="280"/>
    <n v="55.9"/>
    <x v="0"/>
    <x v="20"/>
    <n v="456"/>
  </r>
  <r>
    <x v="165"/>
    <x v="3"/>
    <x v="0"/>
    <x v="2"/>
    <x v="1"/>
    <n v="810"/>
    <n v="805"/>
    <n v="15321.33"/>
    <n v="11477.04"/>
    <n v="3844.29"/>
    <n v="165"/>
    <n v="61"/>
    <x v="1"/>
    <x v="0"/>
    <n v="288"/>
  </r>
  <r>
    <x v="166"/>
    <x v="4"/>
    <x v="3"/>
    <x v="0"/>
    <x v="1"/>
    <n v="2193"/>
    <n v="2060"/>
    <n v="19972.39"/>
    <n v="13253.58"/>
    <n v="6718.82"/>
    <n v="93"/>
    <n v="17.3"/>
    <x v="1"/>
    <x v="22"/>
    <n v="396"/>
  </r>
  <r>
    <x v="167"/>
    <x v="4"/>
    <x v="3"/>
    <x v="4"/>
    <x v="1"/>
    <n v="2311"/>
    <n v="2302"/>
    <n v="41136.199999999997"/>
    <n v="26317.19"/>
    <n v="14819.01"/>
    <n v="133"/>
    <n v="38.200000000000003"/>
    <x v="1"/>
    <x v="7"/>
    <n v="159"/>
  </r>
  <r>
    <x v="168"/>
    <x v="3"/>
    <x v="2"/>
    <x v="3"/>
    <x v="2"/>
    <n v="2176"/>
    <n v="2060"/>
    <n v="19489.95"/>
    <n v="14490.2"/>
    <n v="4999.75"/>
    <n v="275"/>
    <n v="22.2"/>
    <x v="0"/>
    <x v="3"/>
    <n v="61"/>
  </r>
  <r>
    <x v="169"/>
    <x v="3"/>
    <x v="2"/>
    <x v="2"/>
    <x v="2"/>
    <n v="1042"/>
    <n v="965"/>
    <n v="17865.3"/>
    <n v="12207.82"/>
    <n v="5657.48"/>
    <n v="270"/>
    <n v="67.7"/>
    <x v="1"/>
    <x v="20"/>
    <n v="179"/>
  </r>
  <r>
    <x v="170"/>
    <x v="2"/>
    <x v="3"/>
    <x v="0"/>
    <x v="1"/>
    <n v="2892"/>
    <n v="2763"/>
    <n v="38171.449999999997"/>
    <n v="31540.16"/>
    <n v="6631.29"/>
    <n v="238"/>
    <n v="72.599999999999994"/>
    <x v="0"/>
    <x v="23"/>
    <n v="442"/>
  </r>
  <r>
    <x v="171"/>
    <x v="2"/>
    <x v="3"/>
    <x v="2"/>
    <x v="0"/>
    <n v="648"/>
    <n v="576"/>
    <n v="10018"/>
    <n v="6808.39"/>
    <n v="3209.6"/>
    <n v="86"/>
    <n v="72.3"/>
    <x v="1"/>
    <x v="12"/>
    <n v="309"/>
  </r>
  <r>
    <x v="172"/>
    <x v="4"/>
    <x v="0"/>
    <x v="5"/>
    <x v="1"/>
    <n v="2008"/>
    <n v="1893"/>
    <n v="24339.4"/>
    <n v="19379.580000000002"/>
    <n v="4959.82"/>
    <n v="86"/>
    <n v="57.3"/>
    <x v="1"/>
    <x v="9"/>
    <n v="278"/>
  </r>
  <r>
    <x v="173"/>
    <x v="4"/>
    <x v="0"/>
    <x v="2"/>
    <x v="2"/>
    <n v="1009"/>
    <n v="827"/>
    <n v="10745.91"/>
    <n v="7999.29"/>
    <n v="2746.62"/>
    <n v="158"/>
    <n v="62.4"/>
    <x v="1"/>
    <x v="29"/>
    <n v="472"/>
  </r>
  <r>
    <x v="174"/>
    <x v="3"/>
    <x v="0"/>
    <x v="4"/>
    <x v="1"/>
    <n v="2520"/>
    <n v="2348"/>
    <n v="19985.23"/>
    <n v="14217.95"/>
    <n v="5767.29"/>
    <n v="267"/>
    <n v="68.099999999999994"/>
    <x v="1"/>
    <x v="5"/>
    <n v="166"/>
  </r>
  <r>
    <x v="175"/>
    <x v="3"/>
    <x v="0"/>
    <x v="5"/>
    <x v="1"/>
    <n v="2231"/>
    <n v="2198"/>
    <n v="26147.65"/>
    <n v="21472.639999999999"/>
    <n v="4675.01"/>
    <n v="259"/>
    <n v="87.4"/>
    <x v="1"/>
    <x v="27"/>
    <n v="446"/>
  </r>
  <r>
    <x v="176"/>
    <x v="4"/>
    <x v="3"/>
    <x v="2"/>
    <x v="2"/>
    <n v="1071"/>
    <n v="1024"/>
    <n v="11321.39"/>
    <n v="9648.7900000000009"/>
    <n v="1672.61"/>
    <n v="137"/>
    <n v="32.799999999999997"/>
    <x v="0"/>
    <x v="3"/>
    <n v="252"/>
  </r>
  <r>
    <x v="177"/>
    <x v="4"/>
    <x v="3"/>
    <x v="5"/>
    <x v="0"/>
    <n v="1275"/>
    <n v="1089"/>
    <n v="14594.23"/>
    <n v="9750.25"/>
    <n v="4843.9799999999996"/>
    <n v="224"/>
    <n v="16"/>
    <x v="1"/>
    <x v="23"/>
    <n v="118"/>
  </r>
  <r>
    <x v="178"/>
    <x v="2"/>
    <x v="1"/>
    <x v="5"/>
    <x v="2"/>
    <n v="586"/>
    <n v="544"/>
    <n v="8654.18"/>
    <n v="7275.05"/>
    <n v="1379.14"/>
    <n v="231"/>
    <n v="13.2"/>
    <x v="1"/>
    <x v="15"/>
    <n v="363"/>
  </r>
  <r>
    <x v="179"/>
    <x v="2"/>
    <x v="1"/>
    <x v="2"/>
    <x v="0"/>
    <n v="865"/>
    <n v="727"/>
    <n v="14284.82"/>
    <n v="12609.14"/>
    <n v="1675.69"/>
    <n v="107"/>
    <n v="41.9"/>
    <x v="1"/>
    <x v="11"/>
    <n v="399"/>
  </r>
  <r>
    <x v="180"/>
    <x v="2"/>
    <x v="2"/>
    <x v="5"/>
    <x v="1"/>
    <n v="1462"/>
    <n v="1414"/>
    <n v="15645.86"/>
    <n v="10611.24"/>
    <n v="5034.62"/>
    <n v="184"/>
    <n v="68"/>
    <x v="1"/>
    <x v="20"/>
    <n v="304"/>
  </r>
  <r>
    <x v="181"/>
    <x v="2"/>
    <x v="2"/>
    <x v="0"/>
    <x v="1"/>
    <n v="2301"/>
    <n v="2153"/>
    <n v="20459.53"/>
    <n v="15187.13"/>
    <n v="5272.41"/>
    <n v="81"/>
    <n v="64.2"/>
    <x v="1"/>
    <x v="13"/>
    <n v="337"/>
  </r>
  <r>
    <x v="182"/>
    <x v="2"/>
    <x v="3"/>
    <x v="0"/>
    <x v="1"/>
    <n v="2730"/>
    <n v="2578"/>
    <n v="32255.72"/>
    <n v="24676.51"/>
    <n v="7579.2"/>
    <n v="296"/>
    <n v="24.7"/>
    <x v="1"/>
    <x v="10"/>
    <n v="262"/>
  </r>
  <r>
    <x v="183"/>
    <x v="2"/>
    <x v="3"/>
    <x v="1"/>
    <x v="0"/>
    <n v="1185"/>
    <n v="1073"/>
    <n v="16899.46"/>
    <n v="11589.18"/>
    <n v="5310.28"/>
    <n v="111"/>
    <n v="38.5"/>
    <x v="0"/>
    <x v="0"/>
    <n v="282"/>
  </r>
  <r>
    <x v="184"/>
    <x v="1"/>
    <x v="1"/>
    <x v="5"/>
    <x v="1"/>
    <n v="2785"/>
    <n v="2651"/>
    <n v="26953.08"/>
    <n v="16607.34"/>
    <n v="10345.74"/>
    <n v="165"/>
    <n v="77.8"/>
    <x v="1"/>
    <x v="3"/>
    <n v="334"/>
  </r>
  <r>
    <x v="185"/>
    <x v="1"/>
    <x v="1"/>
    <x v="0"/>
    <x v="2"/>
    <n v="1269"/>
    <n v="1241"/>
    <n v="20133.46"/>
    <n v="12634.98"/>
    <n v="7498.48"/>
    <n v="129"/>
    <n v="29.2"/>
    <x v="1"/>
    <x v="29"/>
    <n v="93"/>
  </r>
  <r>
    <x v="186"/>
    <x v="3"/>
    <x v="3"/>
    <x v="2"/>
    <x v="1"/>
    <n v="2566"/>
    <n v="2544"/>
    <n v="41382.29"/>
    <n v="35671.410000000003"/>
    <n v="5710.89"/>
    <n v="190"/>
    <n v="88.9"/>
    <x v="1"/>
    <x v="15"/>
    <n v="411"/>
  </r>
  <r>
    <x v="187"/>
    <x v="3"/>
    <x v="3"/>
    <x v="3"/>
    <x v="1"/>
    <n v="2676"/>
    <n v="2569"/>
    <n v="42947.360000000001"/>
    <n v="38547.1"/>
    <n v="4400.26"/>
    <n v="183"/>
    <n v="27.5"/>
    <x v="0"/>
    <x v="22"/>
    <n v="59"/>
  </r>
  <r>
    <x v="188"/>
    <x v="3"/>
    <x v="1"/>
    <x v="0"/>
    <x v="2"/>
    <n v="1916"/>
    <n v="1753"/>
    <n v="14134.01"/>
    <n v="11707.16"/>
    <n v="2426.85"/>
    <n v="133"/>
    <n v="84.9"/>
    <x v="1"/>
    <x v="21"/>
    <n v="467"/>
  </r>
  <r>
    <x v="189"/>
    <x v="3"/>
    <x v="1"/>
    <x v="1"/>
    <x v="2"/>
    <n v="2278"/>
    <n v="2209"/>
    <n v="40910.26"/>
    <n v="36774.239999999998"/>
    <n v="4136.01"/>
    <n v="211"/>
    <n v="44.7"/>
    <x v="1"/>
    <x v="27"/>
    <n v="73"/>
  </r>
  <r>
    <x v="190"/>
    <x v="0"/>
    <x v="0"/>
    <x v="5"/>
    <x v="0"/>
    <n v="2952"/>
    <n v="2915"/>
    <n v="29157.64"/>
    <n v="19080.64"/>
    <n v="10077"/>
    <n v="252"/>
    <n v="18.399999999999999"/>
    <x v="1"/>
    <x v="12"/>
    <n v="270"/>
  </r>
  <r>
    <x v="191"/>
    <x v="0"/>
    <x v="0"/>
    <x v="0"/>
    <x v="1"/>
    <n v="835"/>
    <n v="650"/>
    <n v="9579.58"/>
    <n v="7359.01"/>
    <n v="2220.5700000000002"/>
    <n v="103"/>
    <n v="70.900000000000006"/>
    <x v="0"/>
    <x v="3"/>
    <n v="109"/>
  </r>
  <r>
    <x v="192"/>
    <x v="0"/>
    <x v="0"/>
    <x v="1"/>
    <x v="1"/>
    <n v="1640"/>
    <n v="1482"/>
    <n v="26530.12"/>
    <n v="20059.13"/>
    <n v="6470.99"/>
    <n v="252"/>
    <n v="23.3"/>
    <x v="1"/>
    <x v="5"/>
    <n v="195"/>
  </r>
  <r>
    <x v="193"/>
    <x v="0"/>
    <x v="0"/>
    <x v="5"/>
    <x v="0"/>
    <n v="2151"/>
    <n v="2039"/>
    <n v="30949.38"/>
    <n v="25400.12"/>
    <n v="5549.26"/>
    <n v="282"/>
    <n v="76"/>
    <x v="1"/>
    <x v="7"/>
    <n v="450"/>
  </r>
  <r>
    <x v="194"/>
    <x v="2"/>
    <x v="1"/>
    <x v="3"/>
    <x v="1"/>
    <n v="2671"/>
    <n v="2597"/>
    <n v="43836.94"/>
    <n v="38799.800000000003"/>
    <n v="5037.13"/>
    <n v="148"/>
    <n v="26.6"/>
    <x v="1"/>
    <x v="17"/>
    <n v="308"/>
  </r>
  <r>
    <x v="195"/>
    <x v="2"/>
    <x v="1"/>
    <x v="1"/>
    <x v="2"/>
    <n v="2142"/>
    <n v="2030"/>
    <n v="30510.34"/>
    <n v="23674.3"/>
    <n v="6836.03"/>
    <n v="277"/>
    <n v="56.6"/>
    <x v="1"/>
    <x v="16"/>
    <n v="452"/>
  </r>
  <r>
    <x v="196"/>
    <x v="1"/>
    <x v="2"/>
    <x v="4"/>
    <x v="2"/>
    <n v="2503"/>
    <n v="2455"/>
    <n v="32460.41"/>
    <n v="28604.31"/>
    <n v="3856.1"/>
    <n v="179"/>
    <n v="22"/>
    <x v="1"/>
    <x v="9"/>
    <n v="344"/>
  </r>
  <r>
    <x v="197"/>
    <x v="1"/>
    <x v="2"/>
    <x v="0"/>
    <x v="1"/>
    <n v="1140"/>
    <n v="1117"/>
    <n v="18714.330000000002"/>
    <n v="15526.41"/>
    <n v="3187.91"/>
    <n v="261"/>
    <n v="30.3"/>
    <x v="1"/>
    <x v="21"/>
    <n v="80"/>
  </r>
  <r>
    <x v="198"/>
    <x v="3"/>
    <x v="3"/>
    <x v="1"/>
    <x v="0"/>
    <n v="662"/>
    <n v="480"/>
    <n v="9060.0300000000007"/>
    <n v="6114.28"/>
    <n v="2945.74"/>
    <n v="159"/>
    <n v="43.4"/>
    <x v="1"/>
    <x v="21"/>
    <n v="254"/>
  </r>
  <r>
    <x v="199"/>
    <x v="3"/>
    <x v="3"/>
    <x v="5"/>
    <x v="1"/>
    <n v="2079"/>
    <n v="2007"/>
    <n v="27798.66"/>
    <n v="16959.52"/>
    <n v="10839.14"/>
    <n v="163"/>
    <n v="65.8"/>
    <x v="1"/>
    <x v="16"/>
    <n v="245"/>
  </r>
  <r>
    <x v="200"/>
    <x v="1"/>
    <x v="0"/>
    <x v="0"/>
    <x v="0"/>
    <n v="2501"/>
    <n v="2342"/>
    <n v="37391.15"/>
    <n v="33241.410000000003"/>
    <n v="4149.7299999999996"/>
    <n v="222"/>
    <n v="89.4"/>
    <x v="1"/>
    <x v="25"/>
    <n v="425"/>
  </r>
  <r>
    <x v="201"/>
    <x v="1"/>
    <x v="0"/>
    <x v="3"/>
    <x v="1"/>
    <n v="1836"/>
    <n v="1672"/>
    <n v="33064.74"/>
    <n v="22383.48"/>
    <n v="10681.27"/>
    <n v="210"/>
    <n v="75.3"/>
    <x v="1"/>
    <x v="1"/>
    <n v="452"/>
  </r>
  <r>
    <x v="202"/>
    <x v="0"/>
    <x v="2"/>
    <x v="2"/>
    <x v="2"/>
    <n v="2708"/>
    <n v="2531"/>
    <n v="42116.08"/>
    <n v="30550.880000000001"/>
    <n v="11565.2"/>
    <n v="150"/>
    <n v="71.5"/>
    <x v="1"/>
    <x v="29"/>
    <n v="110"/>
  </r>
  <r>
    <x v="203"/>
    <x v="0"/>
    <x v="2"/>
    <x v="5"/>
    <x v="2"/>
    <n v="2575"/>
    <n v="2390"/>
    <n v="34680.21"/>
    <n v="29045.03"/>
    <n v="5635.19"/>
    <n v="256"/>
    <n v="58.9"/>
    <x v="1"/>
    <x v="24"/>
    <n v="147"/>
  </r>
  <r>
    <x v="204"/>
    <x v="3"/>
    <x v="3"/>
    <x v="4"/>
    <x v="0"/>
    <n v="1136"/>
    <n v="970"/>
    <n v="14108.83"/>
    <n v="8728.8799999999992"/>
    <n v="5379.95"/>
    <n v="247"/>
    <n v="20.100000000000001"/>
    <x v="1"/>
    <x v="28"/>
    <n v="241"/>
  </r>
  <r>
    <x v="205"/>
    <x v="3"/>
    <x v="3"/>
    <x v="5"/>
    <x v="0"/>
    <n v="2354"/>
    <n v="2306"/>
    <n v="24020.14"/>
    <n v="16275.72"/>
    <n v="7744.42"/>
    <n v="99"/>
    <n v="59"/>
    <x v="0"/>
    <x v="10"/>
    <n v="263"/>
  </r>
  <r>
    <x v="206"/>
    <x v="3"/>
    <x v="1"/>
    <x v="5"/>
    <x v="2"/>
    <n v="2605"/>
    <n v="2578"/>
    <n v="44506.98"/>
    <n v="27066.93"/>
    <n v="17440.05"/>
    <n v="232"/>
    <n v="18.5"/>
    <x v="1"/>
    <x v="0"/>
    <n v="146"/>
  </r>
  <r>
    <x v="207"/>
    <x v="3"/>
    <x v="1"/>
    <x v="1"/>
    <x v="1"/>
    <n v="1511"/>
    <n v="1506"/>
    <n v="18769.57"/>
    <n v="13805.19"/>
    <n v="4964.38"/>
    <n v="202"/>
    <n v="44.2"/>
    <x v="0"/>
    <x v="23"/>
    <n v="316"/>
  </r>
  <r>
    <x v="208"/>
    <x v="2"/>
    <x v="0"/>
    <x v="5"/>
    <x v="2"/>
    <n v="1404"/>
    <n v="1358"/>
    <n v="14055.42"/>
    <n v="12215.39"/>
    <n v="1840.03"/>
    <n v="289"/>
    <n v="24.2"/>
    <x v="1"/>
    <x v="0"/>
    <n v="435"/>
  </r>
  <r>
    <x v="209"/>
    <x v="2"/>
    <x v="0"/>
    <x v="3"/>
    <x v="0"/>
    <n v="1347"/>
    <n v="1217"/>
    <n v="15038.72"/>
    <n v="13070.99"/>
    <n v="1967.73"/>
    <n v="186"/>
    <n v="98.5"/>
    <x v="1"/>
    <x v="7"/>
    <n v="57"/>
  </r>
  <r>
    <x v="210"/>
    <x v="2"/>
    <x v="0"/>
    <x v="4"/>
    <x v="0"/>
    <n v="1652"/>
    <n v="1590"/>
    <n v="21980.65"/>
    <n v="13995.74"/>
    <n v="7984.91"/>
    <n v="237"/>
    <n v="67.099999999999994"/>
    <x v="1"/>
    <x v="24"/>
    <n v="272"/>
  </r>
  <r>
    <x v="211"/>
    <x v="2"/>
    <x v="0"/>
    <x v="2"/>
    <x v="0"/>
    <n v="746"/>
    <n v="619"/>
    <n v="5045.6499999999996"/>
    <n v="3874.69"/>
    <n v="1170.96"/>
    <n v="176"/>
    <n v="12.6"/>
    <x v="0"/>
    <x v="25"/>
    <n v="431"/>
  </r>
  <r>
    <x v="212"/>
    <x v="3"/>
    <x v="1"/>
    <x v="2"/>
    <x v="1"/>
    <n v="1957"/>
    <n v="1824"/>
    <n v="30137.79"/>
    <n v="20924.82"/>
    <n v="9212.9699999999993"/>
    <n v="218"/>
    <n v="91.1"/>
    <x v="1"/>
    <x v="2"/>
    <n v="262"/>
  </r>
  <r>
    <x v="213"/>
    <x v="3"/>
    <x v="1"/>
    <x v="3"/>
    <x v="1"/>
    <n v="1481"/>
    <n v="1351"/>
    <n v="25071.67"/>
    <n v="18995.060000000001"/>
    <n v="6076.61"/>
    <n v="100"/>
    <n v="20.2"/>
    <x v="1"/>
    <x v="7"/>
    <n v="212"/>
  </r>
  <r>
    <x v="214"/>
    <x v="2"/>
    <x v="3"/>
    <x v="4"/>
    <x v="1"/>
    <n v="1598"/>
    <n v="1414"/>
    <n v="18701.66"/>
    <n v="14459.65"/>
    <n v="4242"/>
    <n v="96"/>
    <n v="85.7"/>
    <x v="1"/>
    <x v="8"/>
    <n v="396"/>
  </r>
  <r>
    <x v="215"/>
    <x v="2"/>
    <x v="3"/>
    <x v="3"/>
    <x v="0"/>
    <n v="788"/>
    <n v="664"/>
    <n v="10699.78"/>
    <n v="7463.43"/>
    <n v="3236.35"/>
    <n v="247"/>
    <n v="10.3"/>
    <x v="1"/>
    <x v="24"/>
    <n v="2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D4D331-260D-49EE-93B4-13DE98A62BFB}"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Plant">
  <location ref="T1:U6" firstHeaderRow="1" firstDataRow="1" firstDataCol="1"/>
  <pivotFields count="17">
    <pivotField numFmtId="166" showAll="0">
      <items count="2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showAll="0">
      <items count="6">
        <item x="3"/>
        <item x="4"/>
        <item x="1"/>
        <item x="0"/>
        <item x="2"/>
        <item t="default"/>
      </items>
    </pivotField>
    <pivotField axis="axisRow" showAll="0">
      <items count="5">
        <item x="2"/>
        <item x="0"/>
        <item x="3"/>
        <item x="1"/>
        <item t="default"/>
      </items>
    </pivotField>
    <pivotField showAll="0">
      <items count="7">
        <item x="1"/>
        <item x="3"/>
        <item x="4"/>
        <item x="2"/>
        <item x="5"/>
        <item x="0"/>
        <item t="default"/>
      </items>
    </pivotField>
    <pivotField showAll="0">
      <items count="4">
        <item x="2"/>
        <item x="0"/>
        <item x="1"/>
        <item t="default"/>
      </items>
    </pivotField>
    <pivotField dataField="1" showAll="0"/>
    <pivotField showAll="0"/>
    <pivotField showAll="0"/>
    <pivotField showAll="0"/>
    <pivotField showAll="0"/>
    <pivotField showAll="0"/>
    <pivotField showAll="0"/>
    <pivotField showAll="0">
      <items count="3">
        <item x="1"/>
        <item x="0"/>
        <item t="default"/>
      </items>
    </pivotField>
    <pivotField showAll="0">
      <items count="31">
        <item x="7"/>
        <item x="27"/>
        <item x="19"/>
        <item x="0"/>
        <item x="18"/>
        <item x="14"/>
        <item x="8"/>
        <item x="13"/>
        <item x="1"/>
        <item x="17"/>
        <item x="23"/>
        <item x="22"/>
        <item x="10"/>
        <item x="16"/>
        <item x="26"/>
        <item x="5"/>
        <item x="29"/>
        <item x="21"/>
        <item x="25"/>
        <item x="6"/>
        <item x="3"/>
        <item x="4"/>
        <item x="28"/>
        <item x="20"/>
        <item x="12"/>
        <item x="11"/>
        <item x="24"/>
        <item x="9"/>
        <item x="15"/>
        <item x="2"/>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i>
    <i>
      <x v="1"/>
    </i>
    <i>
      <x v="2"/>
    </i>
    <i>
      <x v="3"/>
    </i>
    <i t="grand">
      <x/>
    </i>
  </rowItems>
  <colItems count="1">
    <i/>
  </colItems>
  <dataFields count="1">
    <dataField name="Average of Units_Produced" fld="5" subtotal="average" baseField="2" baseItem="0"/>
  </dataFields>
  <formats count="1">
    <format dxfId="6">
      <pivotArea outline="0" collapsedLevelsAreSubtotals="1" fieldPosition="0"/>
    </format>
  </formats>
  <chartFormats count="3">
    <chartFormat chart="33"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EDF99B-2720-4497-92C2-D8F7140B3B62}"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Plant">
  <location ref="Q14:S19" firstHeaderRow="0" firstDataRow="1" firstDataCol="1"/>
  <pivotFields count="17">
    <pivotField numFmtId="166" showAll="0">
      <items count="2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showAll="0">
      <items count="6">
        <item x="3"/>
        <item x="4"/>
        <item x="1"/>
        <item x="0"/>
        <item x="2"/>
        <item t="default"/>
      </items>
    </pivotField>
    <pivotField axis="axisRow" showAll="0">
      <items count="5">
        <item x="2"/>
        <item x="0"/>
        <item x="3"/>
        <item x="1"/>
        <item t="default"/>
      </items>
    </pivotField>
    <pivotField showAll="0">
      <items count="7">
        <item x="1"/>
        <item x="3"/>
        <item x="4"/>
        <item x="2"/>
        <item x="5"/>
        <item x="0"/>
        <item t="default"/>
      </items>
    </pivotField>
    <pivotField showAll="0">
      <items count="4">
        <item x="2"/>
        <item x="0"/>
        <item x="1"/>
        <item t="default"/>
      </items>
    </pivotField>
    <pivotField dataField="1" showAll="0"/>
    <pivotField showAll="0"/>
    <pivotField showAll="0"/>
    <pivotField showAll="0"/>
    <pivotField showAll="0"/>
    <pivotField showAll="0"/>
    <pivotField dataField="1" showAll="0"/>
    <pivotField showAll="0">
      <items count="3">
        <item x="1"/>
        <item x="0"/>
        <item t="default"/>
      </items>
    </pivotField>
    <pivotField showAll="0">
      <items count="31">
        <item x="7"/>
        <item x="27"/>
        <item x="19"/>
        <item x="0"/>
        <item x="18"/>
        <item x="14"/>
        <item x="8"/>
        <item x="13"/>
        <item x="1"/>
        <item x="17"/>
        <item x="23"/>
        <item x="22"/>
        <item x="10"/>
        <item x="16"/>
        <item x="26"/>
        <item x="5"/>
        <item x="29"/>
        <item x="21"/>
        <item x="25"/>
        <item x="6"/>
        <item x="3"/>
        <item x="4"/>
        <item x="28"/>
        <item x="20"/>
        <item x="12"/>
        <item x="11"/>
        <item x="24"/>
        <item x="9"/>
        <item x="15"/>
        <item x="2"/>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i>
    <i>
      <x v="1"/>
    </i>
    <i>
      <x v="2"/>
    </i>
    <i>
      <x v="3"/>
    </i>
    <i t="grand">
      <x/>
    </i>
  </rowItems>
  <colFields count="1">
    <field x="-2"/>
  </colFields>
  <colItems count="2">
    <i>
      <x/>
    </i>
    <i i="1">
      <x v="1"/>
    </i>
  </colItems>
  <dataFields count="2">
    <dataField name="Sum of Units_Produced" fld="5" baseField="0" baseItem="0"/>
    <dataField name="Sum of Downtime_Hours" fld="11" baseField="0" baseItem="0"/>
  </dataFields>
  <formats count="1">
    <format dxfId="13">
      <pivotArea outline="0" collapsedLevelsAreSubtotals="1" fieldPosition="0"/>
    </format>
  </formats>
  <chartFormats count="4">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6AC6FA-04C5-46CE-96D9-33A4D9BD1D6F}"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Export Flag">
  <location ref="Q1:R7" firstHeaderRow="1" firstDataRow="1" firstDataCol="1"/>
  <pivotFields count="17">
    <pivotField numFmtId="166" showAll="0">
      <items count="2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axis="axisRow" showAll="0">
      <items count="6">
        <item x="3"/>
        <item x="4"/>
        <item x="1"/>
        <item x="0"/>
        <item x="2"/>
        <item t="default"/>
      </items>
    </pivotField>
    <pivotField showAll="0"/>
    <pivotField showAll="0">
      <items count="7">
        <item x="1"/>
        <item x="3"/>
        <item x="4"/>
        <item x="2"/>
        <item x="5"/>
        <item x="0"/>
        <item t="default"/>
      </items>
    </pivotField>
    <pivotField showAll="0">
      <items count="4">
        <item x="2"/>
        <item x="0"/>
        <item x="1"/>
        <item t="default"/>
      </items>
    </pivotField>
    <pivotField showAll="0"/>
    <pivotField showAll="0"/>
    <pivotField dataField="1" showAll="0"/>
    <pivotField showAll="0"/>
    <pivotField showAll="0"/>
    <pivotField showAll="0"/>
    <pivotField showAll="0"/>
    <pivotField showAll="0">
      <items count="3">
        <item x="1"/>
        <item x="0"/>
        <item t="default"/>
      </items>
    </pivotField>
    <pivotField showAll="0">
      <items count="31">
        <item x="7"/>
        <item x="27"/>
        <item x="19"/>
        <item x="0"/>
        <item x="18"/>
        <item x="14"/>
        <item x="8"/>
        <item x="13"/>
        <item x="1"/>
        <item x="17"/>
        <item x="23"/>
        <item x="22"/>
        <item x="10"/>
        <item x="16"/>
        <item x="26"/>
        <item x="5"/>
        <item x="29"/>
        <item x="21"/>
        <item x="25"/>
        <item x="6"/>
        <item x="3"/>
        <item x="4"/>
        <item x="28"/>
        <item x="20"/>
        <item x="12"/>
        <item x="11"/>
        <item x="24"/>
        <item x="9"/>
        <item x="15"/>
        <item x="2"/>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t="grand">
      <x/>
    </i>
  </rowItems>
  <colItems count="1">
    <i/>
  </colItems>
  <dataFields count="1">
    <dataField name="Sum of Revenue_USD" fld="7" baseField="0" baseItem="0"/>
  </dataFields>
  <formats count="1">
    <format dxfId="18">
      <pivotArea outline="0" collapsedLevelsAreSubtotals="1" fieldPosition="0"/>
    </format>
  </formats>
  <chartFormats count="7">
    <chartFormat chart="20" format="0"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0"/>
          </reference>
        </references>
      </pivotArea>
    </chartFormat>
    <chartFormat chart="28" format="8">
      <pivotArea type="data" outline="0" fieldPosition="0">
        <references count="2">
          <reference field="4294967294" count="1" selected="0">
            <x v="0"/>
          </reference>
          <reference field="1" count="1" selected="0">
            <x v="0"/>
          </reference>
        </references>
      </pivotArea>
    </chartFormat>
    <chartFormat chart="28" format="9">
      <pivotArea type="data" outline="0" fieldPosition="0">
        <references count="2">
          <reference field="4294967294" count="1" selected="0">
            <x v="0"/>
          </reference>
          <reference field="1" count="1" selected="0">
            <x v="1"/>
          </reference>
        </references>
      </pivotArea>
    </chartFormat>
    <chartFormat chart="28" format="10">
      <pivotArea type="data" outline="0" fieldPosition="0">
        <references count="2">
          <reference field="4294967294" count="1" selected="0">
            <x v="0"/>
          </reference>
          <reference field="1" count="1" selected="0">
            <x v="2"/>
          </reference>
        </references>
      </pivotArea>
    </chartFormat>
    <chartFormat chart="28" format="11">
      <pivotArea type="data" outline="0" fieldPosition="0">
        <references count="2">
          <reference field="4294967294" count="1" selected="0">
            <x v="0"/>
          </reference>
          <reference field="1" count="1" selected="0">
            <x v="3"/>
          </reference>
        </references>
      </pivotArea>
    </chartFormat>
    <chartFormat chart="28"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FE17DB-77B2-495B-B2F0-07DEEE709453}"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Export Flag">
  <location ref="N1:O8" firstHeaderRow="1" firstDataRow="1" firstDataCol="1"/>
  <pivotFields count="17">
    <pivotField numFmtId="166" showAll="0">
      <items count="2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showAll="0"/>
    <pivotField showAll="0"/>
    <pivotField axis="axisRow" showAll="0">
      <items count="7">
        <item x="1"/>
        <item x="3"/>
        <item x="4"/>
        <item x="2"/>
        <item x="5"/>
        <item x="0"/>
        <item t="default"/>
      </items>
    </pivotField>
    <pivotField showAll="0">
      <items count="4">
        <item x="2"/>
        <item x="0"/>
        <item x="1"/>
        <item t="default"/>
      </items>
    </pivotField>
    <pivotField showAll="0"/>
    <pivotField showAll="0"/>
    <pivotField showAll="0"/>
    <pivotField showAll="0"/>
    <pivotField dataField="1" showAll="0"/>
    <pivotField showAll="0"/>
    <pivotField showAll="0"/>
    <pivotField showAll="0">
      <items count="3">
        <item x="1"/>
        <item x="0"/>
        <item t="default"/>
      </items>
    </pivotField>
    <pivotField showAll="0">
      <items count="31">
        <item x="7"/>
        <item x="27"/>
        <item x="19"/>
        <item x="0"/>
        <item x="18"/>
        <item x="14"/>
        <item x="8"/>
        <item x="13"/>
        <item x="1"/>
        <item x="17"/>
        <item x="23"/>
        <item x="22"/>
        <item x="10"/>
        <item x="16"/>
        <item x="26"/>
        <item x="5"/>
        <item x="29"/>
        <item x="21"/>
        <item x="25"/>
        <item x="6"/>
        <item x="3"/>
        <item x="4"/>
        <item x="28"/>
        <item x="20"/>
        <item x="12"/>
        <item x="11"/>
        <item x="24"/>
        <item x="9"/>
        <item x="15"/>
        <item x="2"/>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i>
    <i>
      <x v="1"/>
    </i>
    <i>
      <x v="2"/>
    </i>
    <i>
      <x v="3"/>
    </i>
    <i>
      <x v="4"/>
    </i>
    <i>
      <x v="5"/>
    </i>
    <i t="grand">
      <x/>
    </i>
  </rowItems>
  <colItems count="1">
    <i/>
  </colItems>
  <dataFields count="1">
    <dataField name="Sum of Profit_USD" fld="9" baseField="0" baseItem="0"/>
  </dataFields>
  <formats count="1">
    <format dxfId="19">
      <pivotArea outline="0" collapsedLevelsAreSubtotals="1" fieldPosition="0"/>
    </format>
  </format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4EFD64-621F-491B-A1CD-484AB7207717}"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Export Flag">
  <location ref="K8:L19" firstHeaderRow="1" firstDataRow="1" firstDataCol="1"/>
  <pivotFields count="17">
    <pivotField numFmtId="166" showAll="0">
      <items count="2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showAll="0"/>
    <pivotField showAll="0"/>
    <pivotField showAll="0">
      <items count="7">
        <item x="1"/>
        <item x="3"/>
        <item x="4"/>
        <item x="2"/>
        <item x="5"/>
        <item x="0"/>
        <item t="default"/>
      </items>
    </pivotField>
    <pivotField showAll="0">
      <items count="4">
        <item x="2"/>
        <item x="0"/>
        <item x="1"/>
        <item t="default"/>
      </items>
    </pivotField>
    <pivotField showAll="0"/>
    <pivotField showAll="0"/>
    <pivotField dataField="1" showAll="0"/>
    <pivotField showAll="0"/>
    <pivotField showAll="0"/>
    <pivotField showAll="0"/>
    <pivotField showAll="0"/>
    <pivotField showAll="0">
      <items count="3">
        <item x="1"/>
        <item x="0"/>
        <item t="default"/>
      </items>
    </pivotField>
    <pivotField axis="axisRow" showAll="0" measureFilter="1" sortType="ascending">
      <items count="31">
        <item x="7"/>
        <item x="27"/>
        <item x="19"/>
        <item x="0"/>
        <item x="18"/>
        <item x="14"/>
        <item x="8"/>
        <item x="13"/>
        <item x="1"/>
        <item x="17"/>
        <item x="23"/>
        <item x="22"/>
        <item x="10"/>
        <item x="16"/>
        <item x="26"/>
        <item x="5"/>
        <item x="29"/>
        <item x="21"/>
        <item x="25"/>
        <item x="6"/>
        <item x="3"/>
        <item x="4"/>
        <item x="28"/>
        <item x="20"/>
        <item x="12"/>
        <item x="11"/>
        <item x="24"/>
        <item x="9"/>
        <item x="15"/>
        <item x="2"/>
        <item t="default"/>
      </items>
      <autoSortScope>
        <pivotArea dataOnly="0" outline="0" fieldPosition="0">
          <references count="1">
            <reference field="4294967294" count="1" selected="0">
              <x v="0"/>
            </reference>
          </references>
        </pivotArea>
      </autoSortScope>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1">
    <i>
      <x v="24"/>
    </i>
    <i>
      <x v="17"/>
    </i>
    <i>
      <x v="11"/>
    </i>
    <i>
      <x v="25"/>
    </i>
    <i>
      <x v="8"/>
    </i>
    <i>
      <x v="15"/>
    </i>
    <i>
      <x v="23"/>
    </i>
    <i>
      <x v="29"/>
    </i>
    <i>
      <x v="13"/>
    </i>
    <i>
      <x/>
    </i>
    <i t="grand">
      <x/>
    </i>
  </rowItems>
  <colItems count="1">
    <i/>
  </colItems>
  <dataFields count="1">
    <dataField name="Sum of Revenue_USD" fld="7" baseField="0" baseItem="0" numFmtId="168"/>
  </dataFields>
  <formats count="1">
    <format dxfId="20">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5EC137-A5E4-45C4-BFEF-D154356C550B}"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Export Flag">
  <location ref="K1:L4" firstHeaderRow="1" firstDataRow="1" firstDataCol="1"/>
  <pivotFields count="17">
    <pivotField numFmtId="166" showAll="0">
      <items count="2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showAll="0"/>
    <pivotField showAll="0"/>
    <pivotField showAll="0">
      <items count="7">
        <item x="1"/>
        <item x="3"/>
        <item x="4"/>
        <item x="2"/>
        <item x="5"/>
        <item x="0"/>
        <item t="default"/>
      </items>
    </pivotField>
    <pivotField showAll="0">
      <items count="4">
        <item x="2"/>
        <item x="0"/>
        <item x="1"/>
        <item t="default"/>
      </items>
    </pivotField>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3">
    <i>
      <x/>
    </i>
    <i>
      <x v="1"/>
    </i>
    <i t="grand">
      <x/>
    </i>
  </rowItems>
  <colItems count="1">
    <i/>
  </colItems>
  <dataFields count="1">
    <dataField name="Count of Export_Flag" fld="12" subtotal="count" baseField="0" baseItem="0"/>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2" count="1" selected="0">
            <x v="0"/>
          </reference>
        </references>
      </pivotArea>
    </chartFormat>
    <chartFormat chart="11"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1EB3E6-B75B-475C-9C69-CB691B22FE27}"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H1:I8" firstHeaderRow="1" firstDataRow="1" firstDataCol="1"/>
  <pivotFields count="17">
    <pivotField numFmtId="166" showAll="0">
      <items count="2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showAll="0"/>
    <pivotField showAll="0"/>
    <pivotField axis="axisRow" showAll="0">
      <items count="7">
        <item x="1"/>
        <item x="3"/>
        <item x="4"/>
        <item x="2"/>
        <item x="5"/>
        <item x="0"/>
        <item t="default"/>
      </items>
    </pivotField>
    <pivotField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i>
    <i>
      <x v="1"/>
    </i>
    <i>
      <x v="2"/>
    </i>
    <i>
      <x v="3"/>
    </i>
    <i>
      <x v="4"/>
    </i>
    <i>
      <x v="5"/>
    </i>
    <i t="grand">
      <x/>
    </i>
  </rowItems>
  <colItems count="1">
    <i/>
  </colItems>
  <dataFields count="1">
    <dataField name="Sum of Revenue_USD" fld="7" baseField="0" baseItem="0"/>
  </dataFields>
  <formats count="1">
    <format dxfId="22">
      <pivotArea collapsedLevelsAreSubtotals="1" fieldPosition="0">
        <references count="1">
          <reference field="3" count="0"/>
        </references>
      </pivotArea>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D73D4F-7484-4D0B-B4B0-229C67F7A04C}"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A1:E11" firstHeaderRow="1" firstDataRow="2" firstDataCol="1"/>
  <pivotFields count="17">
    <pivotField numFmtId="166" showAll="0">
      <items count="2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showAll="0"/>
    <pivotField showAll="0"/>
    <pivotField showAll="0">
      <items count="7">
        <item x="1"/>
        <item x="3"/>
        <item x="4"/>
        <item x="2"/>
        <item x="5"/>
        <item x="0"/>
        <item t="default"/>
      </items>
    </pivotField>
    <pivotField axis="axisCol" showAll="0">
      <items count="4">
        <item x="2"/>
        <item x="0"/>
        <item x="1"/>
        <item t="default"/>
      </items>
    </pivotField>
    <pivotField dataField="1"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9">
    <i>
      <x v="1"/>
    </i>
    <i>
      <x v="2"/>
    </i>
    <i>
      <x v="3"/>
    </i>
    <i>
      <x v="4"/>
    </i>
    <i>
      <x v="5"/>
    </i>
    <i>
      <x v="6"/>
    </i>
    <i>
      <x v="7"/>
    </i>
    <i>
      <x v="8"/>
    </i>
    <i t="grand">
      <x/>
    </i>
  </rowItems>
  <colFields count="1">
    <field x="4"/>
  </colFields>
  <colItems count="4">
    <i>
      <x/>
    </i>
    <i>
      <x v="1"/>
    </i>
    <i>
      <x v="2"/>
    </i>
    <i t="grand">
      <x/>
    </i>
  </colItems>
  <dataFields count="1">
    <dataField name="Sum of Units_Produced" fld="5" baseField="0" baseItem="0" numFmtId="168"/>
  </dataFields>
  <formats count="1">
    <format dxfId="21">
      <pivotArea outline="0" collapsedLevelsAreSubtotals="1" fieldPosition="0"/>
    </format>
  </formats>
  <chartFormats count="3">
    <chartFormat chart="2" format="6" series="1">
      <pivotArea type="data" outline="0" fieldPosition="0">
        <references count="2">
          <reference field="4294967294" count="1" selected="0">
            <x v="0"/>
          </reference>
          <reference field="4" count="1" selected="0">
            <x v="0"/>
          </reference>
        </references>
      </pivotArea>
    </chartFormat>
    <chartFormat chart="2" format="7" series="1">
      <pivotArea type="data" outline="0" fieldPosition="0">
        <references count="2">
          <reference field="4294967294" count="1" selected="0">
            <x v="0"/>
          </reference>
          <reference field="4" count="1" selected="0">
            <x v="1"/>
          </reference>
        </references>
      </pivotArea>
    </chartFormat>
    <chartFormat chart="2"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8C485A9D-5FDD-489C-9108-983A6EB96876}" sourceName="Product_Typ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87907495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8C1EE2B-770B-4DEC-B82C-076EF0764B31}" sourceName="Product_Category">
  <pivotTables>
    <pivotTable tabId="2" name="PivotTable2"/>
    <pivotTable tabId="2" name="PivotTable3"/>
    <pivotTable tabId="2" name="PivotTable4"/>
    <pivotTable tabId="2" name="PivotTable5"/>
    <pivotTable tabId="2" name="PivotTable6"/>
    <pivotTable tabId="2" name="PivotTable7"/>
    <pivotTable tabId="2" name="PivotTable8"/>
  </pivotTables>
  <data>
    <tabular pivotCacheId="879074956">
      <items count="6">
        <i x="1" s="1"/>
        <i x="3" s="1"/>
        <i x="4" s="1"/>
        <i x="2"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Type" xr10:uid="{3393BCBA-5C50-4663-AC97-E43B587C5D52}" cache="Slicer_Product_Type" caption="Product_Type" rowHeight="234950"/>
  <slicer name="Product_Category" xr10:uid="{43A0E43C-ECB2-4E59-8687-74B9D39AD268}" cache="Slicer_Product_Category" caption="Product_Category" rowHeight="234950"/>
  <slicer name="Product_Category 1" xr10:uid="{A2D16801-2DC4-4F51-966A-DDA638C39BD8}" cache="Slicer_Product_Category" caption="Product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77C73F-CA80-4372-B92E-8512ADC9FCFF}" name="Table1" displayName="Table1" ref="A1:O217" totalsRowShown="0" headerRowDxfId="23" headerRowBorderDxfId="25" tableBorderDxfId="26">
  <autoFilter ref="A1:O217" xr:uid="{A177C73F-CA80-4372-B92E-8512ADC9FCFF}"/>
  <tableColumns count="15">
    <tableColumn id="1" xr3:uid="{0EB23037-81B2-40E8-8521-7FB4801A3C90}" name="Date" dataDxfId="24"/>
    <tableColumn id="2" xr3:uid="{F16E9CD8-AEE0-4F0F-8C7C-5963511F118B}" name="Region"/>
    <tableColumn id="3" xr3:uid="{CE0DCF7B-A5EE-49C4-8E2C-BBDAC9D169B4}" name="Plant"/>
    <tableColumn id="4" xr3:uid="{D0E2B094-74BC-4EFC-975B-042A35E96C76}" name="Product_Category"/>
    <tableColumn id="5" xr3:uid="{96396724-2839-416A-9015-E90D490BE399}" name="Product_Type"/>
    <tableColumn id="6" xr3:uid="{5B336DF4-3E14-43D3-BBE4-D38A03CD632F}" name="Units_Produced"/>
    <tableColumn id="7" xr3:uid="{44AB5A92-D8B3-473D-92E9-FE11FE5A6DF4}" name="Units_Sold"/>
    <tableColumn id="8" xr3:uid="{62AF4068-5A42-4B38-8E7A-EF8E0F475CFF}" name="Revenue_USD"/>
    <tableColumn id="9" xr3:uid="{362F0AA5-726E-4F87-9E4B-ECFA14BBD264}" name="Cost_USD"/>
    <tableColumn id="10" xr3:uid="{BD4DE9EA-023E-4DA1-8607-14BA91DBE3CF}" name="Profit_USD"/>
    <tableColumn id="11" xr3:uid="{58AB8334-B885-4EC1-8FE6-D6C2AEE86C8B}" name="Employees"/>
    <tableColumn id="12" xr3:uid="{F1191AF1-1FA3-4685-95C0-DF8B0F4D1350}" name="Downtime_Hours"/>
    <tableColumn id="13" xr3:uid="{5CB7F8E2-0E41-4CEC-BA1C-104155BFBB88}" name="Export_Flag"/>
    <tableColumn id="14" xr3:uid="{6C651242-9181-4279-BB10-AC26A7A39A70}" name="Customer_Name"/>
    <tableColumn id="15" xr3:uid="{02045C27-7118-4990-92FB-25624B6A01C5}" name="Inventory_Lev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7"/>
  <sheetViews>
    <sheetView tabSelected="1" workbookViewId="0">
      <selection activeCell="C11" sqref="C11"/>
    </sheetView>
  </sheetViews>
  <sheetFormatPr defaultRowHeight="14.4" x14ac:dyDescent="0.3"/>
  <cols>
    <col min="1" max="1" width="10.77734375" bestFit="1" customWidth="1"/>
    <col min="2" max="2" width="12.88671875" bestFit="1" customWidth="1"/>
    <col min="3" max="3" width="9.77734375" bestFit="1" customWidth="1"/>
    <col min="4" max="4" width="20.77734375" bestFit="1" customWidth="1"/>
    <col min="5" max="5" width="17.21875" bestFit="1" customWidth="1"/>
    <col min="6" max="6" width="19" bestFit="1" customWidth="1"/>
    <col min="7" max="7" width="14.44140625" bestFit="1" customWidth="1"/>
    <col min="8" max="8" width="17.33203125" bestFit="1" customWidth="1"/>
    <col min="9" max="9" width="13.6640625" bestFit="1" customWidth="1"/>
    <col min="10" max="10" width="14.6640625" bestFit="1" customWidth="1"/>
    <col min="11" max="11" width="14.5546875" bestFit="1" customWidth="1"/>
    <col min="12" max="12" width="20.109375" bestFit="1" customWidth="1"/>
    <col min="13" max="13" width="15.21875" bestFit="1" customWidth="1"/>
    <col min="14" max="14" width="19.6640625" bestFit="1" customWidth="1"/>
    <col min="15" max="15" width="19.109375" bestFit="1" customWidth="1"/>
  </cols>
  <sheetData>
    <row r="1" spans="1:15"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3">
      <c r="A2" s="1">
        <v>44562</v>
      </c>
      <c r="B2" t="s">
        <v>15</v>
      </c>
      <c r="C2" t="s">
        <v>16</v>
      </c>
      <c r="D2" t="s">
        <v>17</v>
      </c>
      <c r="E2" t="s">
        <v>18</v>
      </c>
      <c r="F2">
        <v>830</v>
      </c>
      <c r="G2">
        <v>743</v>
      </c>
      <c r="H2">
        <v>8919.35</v>
      </c>
      <c r="I2">
        <v>5733.89</v>
      </c>
      <c r="J2">
        <v>3185.45</v>
      </c>
      <c r="K2">
        <v>210</v>
      </c>
      <c r="L2">
        <v>11.9</v>
      </c>
      <c r="M2" t="s">
        <v>19</v>
      </c>
      <c r="N2" t="s">
        <v>20</v>
      </c>
      <c r="O2">
        <v>463</v>
      </c>
    </row>
    <row r="3" spans="1:15" x14ac:dyDescent="0.3">
      <c r="A3" s="1">
        <v>44563</v>
      </c>
      <c r="B3" t="s">
        <v>15</v>
      </c>
      <c r="C3" t="s">
        <v>16</v>
      </c>
      <c r="D3" t="s">
        <v>21</v>
      </c>
      <c r="E3" t="s">
        <v>22</v>
      </c>
      <c r="F3">
        <v>2933</v>
      </c>
      <c r="G3">
        <v>2742</v>
      </c>
      <c r="H3">
        <v>54583.73</v>
      </c>
      <c r="I3">
        <v>42861.57</v>
      </c>
      <c r="J3">
        <v>11722.16</v>
      </c>
      <c r="K3">
        <v>137</v>
      </c>
      <c r="L3">
        <v>57.2</v>
      </c>
      <c r="M3" t="s">
        <v>23</v>
      </c>
      <c r="N3" t="s">
        <v>24</v>
      </c>
      <c r="O3">
        <v>108</v>
      </c>
    </row>
    <row r="4" spans="1:15" x14ac:dyDescent="0.3">
      <c r="A4" s="1">
        <v>44564</v>
      </c>
      <c r="B4" t="s">
        <v>25</v>
      </c>
      <c r="C4" t="s">
        <v>26</v>
      </c>
      <c r="D4" t="s">
        <v>21</v>
      </c>
      <c r="E4" t="s">
        <v>22</v>
      </c>
      <c r="F4">
        <v>1062</v>
      </c>
      <c r="G4">
        <v>955</v>
      </c>
      <c r="H4">
        <v>13533.13</v>
      </c>
      <c r="I4">
        <v>10525.04</v>
      </c>
      <c r="J4">
        <v>3008.08</v>
      </c>
      <c r="K4">
        <v>210</v>
      </c>
      <c r="L4">
        <v>87.4</v>
      </c>
      <c r="M4" t="s">
        <v>23</v>
      </c>
      <c r="N4" t="s">
        <v>27</v>
      </c>
      <c r="O4">
        <v>216</v>
      </c>
    </row>
    <row r="5" spans="1:15" x14ac:dyDescent="0.3">
      <c r="A5" s="1">
        <v>44565</v>
      </c>
      <c r="B5" t="s">
        <v>25</v>
      </c>
      <c r="C5" t="s">
        <v>26</v>
      </c>
      <c r="D5" t="s">
        <v>28</v>
      </c>
      <c r="E5" t="s">
        <v>22</v>
      </c>
      <c r="F5">
        <v>2935</v>
      </c>
      <c r="G5">
        <v>2847</v>
      </c>
      <c r="H5">
        <v>55765.85</v>
      </c>
      <c r="I5">
        <v>46983.8</v>
      </c>
      <c r="J5">
        <v>8782.0499999999993</v>
      </c>
      <c r="K5">
        <v>88</v>
      </c>
      <c r="L5">
        <v>11.4</v>
      </c>
      <c r="M5" t="s">
        <v>23</v>
      </c>
      <c r="N5" t="s">
        <v>29</v>
      </c>
      <c r="O5">
        <v>416</v>
      </c>
    </row>
    <row r="6" spans="1:15" x14ac:dyDescent="0.3">
      <c r="A6" s="1">
        <v>44566</v>
      </c>
      <c r="B6" t="s">
        <v>30</v>
      </c>
      <c r="C6" t="s">
        <v>31</v>
      </c>
      <c r="D6" t="s">
        <v>28</v>
      </c>
      <c r="E6" t="s">
        <v>22</v>
      </c>
      <c r="F6">
        <v>2455</v>
      </c>
      <c r="G6">
        <v>2406</v>
      </c>
      <c r="H6">
        <v>38376.339999999997</v>
      </c>
      <c r="I6">
        <v>26614.51</v>
      </c>
      <c r="J6">
        <v>11761.84</v>
      </c>
      <c r="K6">
        <v>213</v>
      </c>
      <c r="L6">
        <v>28.7</v>
      </c>
      <c r="M6" t="s">
        <v>23</v>
      </c>
      <c r="N6" t="s">
        <v>32</v>
      </c>
      <c r="O6">
        <v>240</v>
      </c>
    </row>
    <row r="7" spans="1:15" x14ac:dyDescent="0.3">
      <c r="A7" s="1">
        <v>44567</v>
      </c>
      <c r="B7" t="s">
        <v>30</v>
      </c>
      <c r="C7" t="s">
        <v>31</v>
      </c>
      <c r="D7" t="s">
        <v>21</v>
      </c>
      <c r="E7" t="s">
        <v>22</v>
      </c>
      <c r="F7">
        <v>2079</v>
      </c>
      <c r="G7">
        <v>1918</v>
      </c>
      <c r="H7">
        <v>24438.78</v>
      </c>
      <c r="I7">
        <v>21457.19</v>
      </c>
      <c r="J7">
        <v>2981.59</v>
      </c>
      <c r="K7">
        <v>174</v>
      </c>
      <c r="L7">
        <v>93</v>
      </c>
      <c r="M7" t="s">
        <v>23</v>
      </c>
      <c r="N7" t="s">
        <v>33</v>
      </c>
      <c r="O7">
        <v>301</v>
      </c>
    </row>
    <row r="8" spans="1:15" x14ac:dyDescent="0.3">
      <c r="A8" s="1">
        <v>44568</v>
      </c>
      <c r="B8" t="s">
        <v>34</v>
      </c>
      <c r="C8" t="s">
        <v>26</v>
      </c>
      <c r="D8" t="s">
        <v>17</v>
      </c>
      <c r="E8" t="s">
        <v>22</v>
      </c>
      <c r="F8">
        <v>2764</v>
      </c>
      <c r="G8">
        <v>2577</v>
      </c>
      <c r="H8">
        <v>37398.33</v>
      </c>
      <c r="I8">
        <v>24020.1</v>
      </c>
      <c r="J8">
        <v>13378.23</v>
      </c>
      <c r="K8">
        <v>94</v>
      </c>
      <c r="L8">
        <v>24.9</v>
      </c>
      <c r="M8" t="s">
        <v>23</v>
      </c>
      <c r="N8" t="s">
        <v>27</v>
      </c>
      <c r="O8">
        <v>393</v>
      </c>
    </row>
    <row r="9" spans="1:15" x14ac:dyDescent="0.3">
      <c r="A9" s="1">
        <v>44569</v>
      </c>
      <c r="B9" t="s">
        <v>34</v>
      </c>
      <c r="C9" t="s">
        <v>26</v>
      </c>
      <c r="D9" t="s">
        <v>35</v>
      </c>
      <c r="E9" t="s">
        <v>36</v>
      </c>
      <c r="F9">
        <v>2527</v>
      </c>
      <c r="G9">
        <v>2392</v>
      </c>
      <c r="H9">
        <v>19294.509999999998</v>
      </c>
      <c r="I9">
        <v>16296.88</v>
      </c>
      <c r="J9">
        <v>2997.62</v>
      </c>
      <c r="K9">
        <v>160</v>
      </c>
      <c r="L9">
        <v>74</v>
      </c>
      <c r="M9" t="s">
        <v>19</v>
      </c>
      <c r="N9" t="s">
        <v>37</v>
      </c>
      <c r="O9">
        <v>310</v>
      </c>
    </row>
    <row r="10" spans="1:15" x14ac:dyDescent="0.3">
      <c r="A10" s="1">
        <v>44570</v>
      </c>
      <c r="B10" t="s">
        <v>25</v>
      </c>
      <c r="C10" t="s">
        <v>38</v>
      </c>
      <c r="D10" t="s">
        <v>35</v>
      </c>
      <c r="E10" t="s">
        <v>22</v>
      </c>
      <c r="F10">
        <v>1002</v>
      </c>
      <c r="G10">
        <v>852</v>
      </c>
      <c r="H10">
        <v>13654.23</v>
      </c>
      <c r="I10">
        <v>10920.34</v>
      </c>
      <c r="J10">
        <v>2733.9</v>
      </c>
      <c r="K10">
        <v>251</v>
      </c>
      <c r="L10">
        <v>67.400000000000006</v>
      </c>
      <c r="M10" t="s">
        <v>19</v>
      </c>
      <c r="N10" t="s">
        <v>39</v>
      </c>
      <c r="O10">
        <v>276</v>
      </c>
    </row>
    <row r="11" spans="1:15" x14ac:dyDescent="0.3">
      <c r="A11" s="1">
        <v>44571</v>
      </c>
      <c r="B11" t="s">
        <v>25</v>
      </c>
      <c r="C11" t="s">
        <v>38</v>
      </c>
      <c r="D11" t="s">
        <v>40</v>
      </c>
      <c r="E11" t="s">
        <v>36</v>
      </c>
      <c r="F11">
        <v>1985</v>
      </c>
      <c r="G11">
        <v>1855</v>
      </c>
      <c r="H11">
        <v>31775.08</v>
      </c>
      <c r="I11">
        <v>24415.43</v>
      </c>
      <c r="J11">
        <v>7359.64</v>
      </c>
      <c r="K11">
        <v>221</v>
      </c>
      <c r="L11">
        <v>54.4</v>
      </c>
      <c r="M11" t="s">
        <v>23</v>
      </c>
      <c r="N11" t="s">
        <v>41</v>
      </c>
      <c r="O11">
        <v>395</v>
      </c>
    </row>
    <row r="12" spans="1:15" x14ac:dyDescent="0.3">
      <c r="A12" s="1">
        <v>44572</v>
      </c>
      <c r="B12" t="s">
        <v>25</v>
      </c>
      <c r="C12" t="s">
        <v>16</v>
      </c>
      <c r="D12" t="s">
        <v>21</v>
      </c>
      <c r="E12" t="s">
        <v>18</v>
      </c>
      <c r="F12">
        <v>1063</v>
      </c>
      <c r="G12">
        <v>968</v>
      </c>
      <c r="H12">
        <v>15823.11</v>
      </c>
      <c r="I12">
        <v>10155.27</v>
      </c>
      <c r="J12">
        <v>5667.85</v>
      </c>
      <c r="K12">
        <v>222</v>
      </c>
      <c r="L12">
        <v>78</v>
      </c>
      <c r="M12" t="s">
        <v>23</v>
      </c>
      <c r="N12" t="s">
        <v>42</v>
      </c>
      <c r="O12">
        <v>236</v>
      </c>
    </row>
    <row r="13" spans="1:15" x14ac:dyDescent="0.3">
      <c r="A13" s="1">
        <v>44573</v>
      </c>
      <c r="B13" t="s">
        <v>25</v>
      </c>
      <c r="C13" t="s">
        <v>16</v>
      </c>
      <c r="D13" t="s">
        <v>28</v>
      </c>
      <c r="E13" t="s">
        <v>18</v>
      </c>
      <c r="F13">
        <v>2319</v>
      </c>
      <c r="G13">
        <v>2254</v>
      </c>
      <c r="H13">
        <v>34919.53</v>
      </c>
      <c r="I13">
        <v>24048.73</v>
      </c>
      <c r="J13">
        <v>10870.79</v>
      </c>
      <c r="K13">
        <v>213</v>
      </c>
      <c r="L13">
        <v>51.1</v>
      </c>
      <c r="M13" t="s">
        <v>23</v>
      </c>
      <c r="N13" t="s">
        <v>43</v>
      </c>
      <c r="O13">
        <v>335</v>
      </c>
    </row>
    <row r="14" spans="1:15" x14ac:dyDescent="0.3">
      <c r="A14" s="1">
        <v>44574</v>
      </c>
      <c r="B14" t="s">
        <v>25</v>
      </c>
      <c r="C14" t="s">
        <v>31</v>
      </c>
      <c r="D14" t="s">
        <v>35</v>
      </c>
      <c r="E14" t="s">
        <v>36</v>
      </c>
      <c r="F14">
        <v>1900</v>
      </c>
      <c r="G14">
        <v>1874</v>
      </c>
      <c r="H14">
        <v>24596.799999999999</v>
      </c>
      <c r="I14">
        <v>20794.240000000002</v>
      </c>
      <c r="J14">
        <v>3802.56</v>
      </c>
      <c r="K14">
        <v>82</v>
      </c>
      <c r="L14">
        <v>10.6</v>
      </c>
      <c r="M14" t="s">
        <v>23</v>
      </c>
      <c r="N14" t="s">
        <v>27</v>
      </c>
      <c r="O14">
        <v>367</v>
      </c>
    </row>
    <row r="15" spans="1:15" x14ac:dyDescent="0.3">
      <c r="A15" s="1">
        <v>44575</v>
      </c>
      <c r="B15" t="s">
        <v>25</v>
      </c>
      <c r="C15" t="s">
        <v>31</v>
      </c>
      <c r="D15" t="s">
        <v>40</v>
      </c>
      <c r="E15" t="s">
        <v>36</v>
      </c>
      <c r="F15">
        <v>1757</v>
      </c>
      <c r="G15">
        <v>1586</v>
      </c>
      <c r="H15">
        <v>17334.2</v>
      </c>
      <c r="I15">
        <v>11275.68</v>
      </c>
      <c r="J15">
        <v>6058.52</v>
      </c>
      <c r="K15">
        <v>239</v>
      </c>
      <c r="L15">
        <v>56.7</v>
      </c>
      <c r="M15" t="s">
        <v>19</v>
      </c>
      <c r="N15" t="s">
        <v>24</v>
      </c>
      <c r="O15">
        <v>367</v>
      </c>
    </row>
    <row r="16" spans="1:15" x14ac:dyDescent="0.3">
      <c r="A16" s="1">
        <v>44576</v>
      </c>
      <c r="B16" t="s">
        <v>44</v>
      </c>
      <c r="C16" t="s">
        <v>26</v>
      </c>
      <c r="D16" t="s">
        <v>45</v>
      </c>
      <c r="E16" t="s">
        <v>22</v>
      </c>
      <c r="F16">
        <v>2136</v>
      </c>
      <c r="G16">
        <v>2024</v>
      </c>
      <c r="H16">
        <v>40425.120000000003</v>
      </c>
      <c r="I16">
        <v>27490.47</v>
      </c>
      <c r="J16">
        <v>12934.65</v>
      </c>
      <c r="K16">
        <v>81</v>
      </c>
      <c r="L16">
        <v>55.2</v>
      </c>
      <c r="M16" t="s">
        <v>23</v>
      </c>
      <c r="N16" t="s">
        <v>46</v>
      </c>
      <c r="O16">
        <v>273</v>
      </c>
    </row>
    <row r="17" spans="1:15" x14ac:dyDescent="0.3">
      <c r="A17" s="1">
        <v>44577</v>
      </c>
      <c r="B17" t="s">
        <v>44</v>
      </c>
      <c r="C17" t="s">
        <v>26</v>
      </c>
      <c r="D17" t="s">
        <v>21</v>
      </c>
      <c r="E17" t="s">
        <v>36</v>
      </c>
      <c r="F17">
        <v>2932</v>
      </c>
      <c r="G17">
        <v>2786</v>
      </c>
      <c r="H17">
        <v>45045.34</v>
      </c>
      <c r="I17">
        <v>34202.050000000003</v>
      </c>
      <c r="J17">
        <v>10843.3</v>
      </c>
      <c r="K17">
        <v>297</v>
      </c>
      <c r="L17">
        <v>98.7</v>
      </c>
      <c r="M17" t="s">
        <v>23</v>
      </c>
      <c r="N17" t="s">
        <v>47</v>
      </c>
      <c r="O17">
        <v>488</v>
      </c>
    </row>
    <row r="18" spans="1:15" x14ac:dyDescent="0.3">
      <c r="A18" s="1">
        <v>44578</v>
      </c>
      <c r="B18" t="s">
        <v>15</v>
      </c>
      <c r="C18" t="s">
        <v>38</v>
      </c>
      <c r="D18" t="s">
        <v>40</v>
      </c>
      <c r="E18" t="s">
        <v>36</v>
      </c>
      <c r="F18">
        <v>697</v>
      </c>
      <c r="G18">
        <v>559</v>
      </c>
      <c r="H18">
        <v>9948.6299999999992</v>
      </c>
      <c r="I18">
        <v>8351.91</v>
      </c>
      <c r="J18">
        <v>1596.72</v>
      </c>
      <c r="K18">
        <v>280</v>
      </c>
      <c r="L18">
        <v>38.9</v>
      </c>
      <c r="M18" t="s">
        <v>23</v>
      </c>
      <c r="N18" t="s">
        <v>32</v>
      </c>
      <c r="O18">
        <v>308</v>
      </c>
    </row>
    <row r="19" spans="1:15" x14ac:dyDescent="0.3">
      <c r="A19" s="1">
        <v>44579</v>
      </c>
      <c r="B19" t="s">
        <v>15</v>
      </c>
      <c r="C19" t="s">
        <v>38</v>
      </c>
      <c r="D19" t="s">
        <v>17</v>
      </c>
      <c r="E19" t="s">
        <v>18</v>
      </c>
      <c r="F19">
        <v>2455</v>
      </c>
      <c r="G19">
        <v>2309</v>
      </c>
      <c r="H19">
        <v>38176.53</v>
      </c>
      <c r="I19">
        <v>32177.1</v>
      </c>
      <c r="J19">
        <v>5999.43</v>
      </c>
      <c r="K19">
        <v>227</v>
      </c>
      <c r="L19">
        <v>68.099999999999994</v>
      </c>
      <c r="M19" t="s">
        <v>23</v>
      </c>
      <c r="N19" t="s">
        <v>39</v>
      </c>
      <c r="O19">
        <v>473</v>
      </c>
    </row>
    <row r="20" spans="1:15" x14ac:dyDescent="0.3">
      <c r="A20" s="1">
        <v>44580</v>
      </c>
      <c r="B20" t="s">
        <v>44</v>
      </c>
      <c r="C20" t="s">
        <v>31</v>
      </c>
      <c r="D20" t="s">
        <v>35</v>
      </c>
      <c r="E20" t="s">
        <v>18</v>
      </c>
      <c r="F20">
        <v>1938</v>
      </c>
      <c r="G20">
        <v>1897</v>
      </c>
      <c r="H20">
        <v>21047.78</v>
      </c>
      <c r="I20">
        <v>16796.03</v>
      </c>
      <c r="J20">
        <v>4251.75</v>
      </c>
      <c r="K20">
        <v>169</v>
      </c>
      <c r="L20">
        <v>98.4</v>
      </c>
      <c r="M20" t="s">
        <v>23</v>
      </c>
      <c r="N20" t="s">
        <v>24</v>
      </c>
      <c r="O20">
        <v>51</v>
      </c>
    </row>
    <row r="21" spans="1:15" x14ac:dyDescent="0.3">
      <c r="A21" s="1">
        <v>44581</v>
      </c>
      <c r="B21" t="s">
        <v>44</v>
      </c>
      <c r="C21" t="s">
        <v>31</v>
      </c>
      <c r="D21" t="s">
        <v>28</v>
      </c>
      <c r="E21" t="s">
        <v>36</v>
      </c>
      <c r="F21">
        <v>1827</v>
      </c>
      <c r="G21">
        <v>1688</v>
      </c>
      <c r="H21">
        <v>24812.79</v>
      </c>
      <c r="I21">
        <v>21457.88</v>
      </c>
      <c r="J21">
        <v>3354.92</v>
      </c>
      <c r="K21">
        <v>88</v>
      </c>
      <c r="L21">
        <v>35.1</v>
      </c>
      <c r="M21" t="s">
        <v>19</v>
      </c>
      <c r="N21" t="s">
        <v>48</v>
      </c>
      <c r="O21">
        <v>180</v>
      </c>
    </row>
    <row r="22" spans="1:15" x14ac:dyDescent="0.3">
      <c r="A22" s="1">
        <v>44582</v>
      </c>
      <c r="B22" t="s">
        <v>30</v>
      </c>
      <c r="C22" t="s">
        <v>16</v>
      </c>
      <c r="D22" t="s">
        <v>28</v>
      </c>
      <c r="E22" t="s">
        <v>22</v>
      </c>
      <c r="F22">
        <v>603</v>
      </c>
      <c r="G22">
        <v>520</v>
      </c>
      <c r="H22">
        <v>7783.48</v>
      </c>
      <c r="I22">
        <v>5539.39</v>
      </c>
      <c r="J22">
        <v>2244.1</v>
      </c>
      <c r="K22">
        <v>296</v>
      </c>
      <c r="L22">
        <v>69.7</v>
      </c>
      <c r="M22" t="s">
        <v>23</v>
      </c>
      <c r="N22" t="s">
        <v>49</v>
      </c>
      <c r="O22">
        <v>387</v>
      </c>
    </row>
    <row r="23" spans="1:15" x14ac:dyDescent="0.3">
      <c r="A23" s="1">
        <v>44583</v>
      </c>
      <c r="B23" t="s">
        <v>30</v>
      </c>
      <c r="C23" t="s">
        <v>16</v>
      </c>
      <c r="D23" t="s">
        <v>40</v>
      </c>
      <c r="E23" t="s">
        <v>22</v>
      </c>
      <c r="F23">
        <v>1456</v>
      </c>
      <c r="G23">
        <v>1288</v>
      </c>
      <c r="H23">
        <v>13023.1</v>
      </c>
      <c r="I23">
        <v>7884.48</v>
      </c>
      <c r="J23">
        <v>5138.62</v>
      </c>
      <c r="K23">
        <v>221</v>
      </c>
      <c r="L23">
        <v>39.299999999999997</v>
      </c>
      <c r="M23" t="s">
        <v>19</v>
      </c>
      <c r="N23" t="s">
        <v>50</v>
      </c>
      <c r="O23">
        <v>184</v>
      </c>
    </row>
    <row r="24" spans="1:15" x14ac:dyDescent="0.3">
      <c r="A24" s="1">
        <v>44584</v>
      </c>
      <c r="B24" t="s">
        <v>15</v>
      </c>
      <c r="C24" t="s">
        <v>38</v>
      </c>
      <c r="D24" t="s">
        <v>28</v>
      </c>
      <c r="E24" t="s">
        <v>22</v>
      </c>
      <c r="F24">
        <v>1545</v>
      </c>
      <c r="G24">
        <v>1388</v>
      </c>
      <c r="H24">
        <v>27310.46</v>
      </c>
      <c r="I24">
        <v>19606.98</v>
      </c>
      <c r="J24">
        <v>7703.48</v>
      </c>
      <c r="K24">
        <v>261</v>
      </c>
      <c r="L24">
        <v>91.5</v>
      </c>
      <c r="M24" t="s">
        <v>23</v>
      </c>
      <c r="N24" t="s">
        <v>51</v>
      </c>
      <c r="O24">
        <v>335</v>
      </c>
    </row>
    <row r="25" spans="1:15" x14ac:dyDescent="0.3">
      <c r="A25" s="1">
        <v>44585</v>
      </c>
      <c r="B25" t="s">
        <v>15</v>
      </c>
      <c r="C25" t="s">
        <v>38</v>
      </c>
      <c r="D25" t="s">
        <v>40</v>
      </c>
      <c r="E25" t="s">
        <v>36</v>
      </c>
      <c r="F25">
        <v>2831</v>
      </c>
      <c r="G25">
        <v>2721</v>
      </c>
      <c r="H25">
        <v>37849.69</v>
      </c>
      <c r="I25">
        <v>24926.78</v>
      </c>
      <c r="J25">
        <v>12922.91</v>
      </c>
      <c r="K25">
        <v>140</v>
      </c>
      <c r="L25">
        <v>54.9</v>
      </c>
      <c r="M25" t="s">
        <v>23</v>
      </c>
      <c r="N25" t="s">
        <v>24</v>
      </c>
      <c r="O25">
        <v>66</v>
      </c>
    </row>
    <row r="26" spans="1:15" x14ac:dyDescent="0.3">
      <c r="A26" s="1">
        <v>44586</v>
      </c>
      <c r="B26" t="s">
        <v>34</v>
      </c>
      <c r="C26" t="s">
        <v>38</v>
      </c>
      <c r="D26" t="s">
        <v>28</v>
      </c>
      <c r="E26" t="s">
        <v>36</v>
      </c>
      <c r="F26">
        <v>801</v>
      </c>
      <c r="G26">
        <v>621</v>
      </c>
      <c r="H26">
        <v>9232.7199999999993</v>
      </c>
      <c r="I26">
        <v>8254.9699999999993</v>
      </c>
      <c r="J26">
        <v>977.75</v>
      </c>
      <c r="K26">
        <v>195</v>
      </c>
      <c r="L26">
        <v>36.5</v>
      </c>
      <c r="M26" t="s">
        <v>23</v>
      </c>
      <c r="N26" t="s">
        <v>33</v>
      </c>
      <c r="O26">
        <v>210</v>
      </c>
    </row>
    <row r="27" spans="1:15" x14ac:dyDescent="0.3">
      <c r="A27" s="1">
        <v>44587</v>
      </c>
      <c r="B27" t="s">
        <v>34</v>
      </c>
      <c r="C27" t="s">
        <v>38</v>
      </c>
      <c r="D27" t="s">
        <v>40</v>
      </c>
      <c r="E27" t="s">
        <v>18</v>
      </c>
      <c r="F27">
        <v>627</v>
      </c>
      <c r="G27">
        <v>610</v>
      </c>
      <c r="H27">
        <v>8955.7900000000009</v>
      </c>
      <c r="I27">
        <v>7888.67</v>
      </c>
      <c r="J27">
        <v>1067.1099999999999</v>
      </c>
      <c r="K27">
        <v>137</v>
      </c>
      <c r="L27">
        <v>93.7</v>
      </c>
      <c r="M27" t="s">
        <v>23</v>
      </c>
      <c r="N27" t="s">
        <v>52</v>
      </c>
      <c r="O27">
        <v>337</v>
      </c>
    </row>
    <row r="28" spans="1:15" x14ac:dyDescent="0.3">
      <c r="A28" s="1">
        <v>44588</v>
      </c>
      <c r="B28" t="s">
        <v>25</v>
      </c>
      <c r="C28" t="s">
        <v>31</v>
      </c>
      <c r="D28" t="s">
        <v>35</v>
      </c>
      <c r="E28" t="s">
        <v>36</v>
      </c>
      <c r="F28">
        <v>745</v>
      </c>
      <c r="G28">
        <v>570</v>
      </c>
      <c r="H28">
        <v>8341.2900000000009</v>
      </c>
      <c r="I28">
        <v>5746.76</v>
      </c>
      <c r="J28">
        <v>2594.5300000000002</v>
      </c>
      <c r="K28">
        <v>105</v>
      </c>
      <c r="L28">
        <v>82.9</v>
      </c>
      <c r="M28" t="s">
        <v>19</v>
      </c>
      <c r="N28" t="s">
        <v>53</v>
      </c>
      <c r="O28">
        <v>365</v>
      </c>
    </row>
    <row r="29" spans="1:15" x14ac:dyDescent="0.3">
      <c r="A29" s="1">
        <v>44589</v>
      </c>
      <c r="B29" t="s">
        <v>25</v>
      </c>
      <c r="C29" t="s">
        <v>31</v>
      </c>
      <c r="D29" t="s">
        <v>21</v>
      </c>
      <c r="E29" t="s">
        <v>22</v>
      </c>
      <c r="F29">
        <v>535</v>
      </c>
      <c r="G29">
        <v>363</v>
      </c>
      <c r="H29">
        <v>3750.26</v>
      </c>
      <c r="I29">
        <v>2329.9699999999998</v>
      </c>
      <c r="J29">
        <v>1420.29</v>
      </c>
      <c r="K29">
        <v>223</v>
      </c>
      <c r="L29">
        <v>14.6</v>
      </c>
      <c r="M29" t="s">
        <v>19</v>
      </c>
      <c r="N29" t="s">
        <v>41</v>
      </c>
      <c r="O29">
        <v>141</v>
      </c>
    </row>
    <row r="30" spans="1:15" x14ac:dyDescent="0.3">
      <c r="A30" s="1">
        <v>44590</v>
      </c>
      <c r="B30" t="s">
        <v>25</v>
      </c>
      <c r="C30" t="s">
        <v>16</v>
      </c>
      <c r="D30" t="s">
        <v>40</v>
      </c>
      <c r="E30" t="s">
        <v>22</v>
      </c>
      <c r="F30">
        <v>1648</v>
      </c>
      <c r="G30">
        <v>1499</v>
      </c>
      <c r="H30">
        <v>22619.91</v>
      </c>
      <c r="I30">
        <v>13778.92</v>
      </c>
      <c r="J30">
        <v>8840.99</v>
      </c>
      <c r="K30">
        <v>259</v>
      </c>
      <c r="L30">
        <v>13.5</v>
      </c>
      <c r="M30" t="s">
        <v>23</v>
      </c>
      <c r="N30" t="s">
        <v>54</v>
      </c>
      <c r="O30">
        <v>493</v>
      </c>
    </row>
    <row r="31" spans="1:15" x14ac:dyDescent="0.3">
      <c r="A31" s="1">
        <v>44591</v>
      </c>
      <c r="B31" t="s">
        <v>25</v>
      </c>
      <c r="C31" t="s">
        <v>16</v>
      </c>
      <c r="D31" t="s">
        <v>17</v>
      </c>
      <c r="E31" t="s">
        <v>36</v>
      </c>
      <c r="F31">
        <v>2811</v>
      </c>
      <c r="G31">
        <v>2759</v>
      </c>
      <c r="H31">
        <v>31062.240000000002</v>
      </c>
      <c r="I31">
        <v>27632.21</v>
      </c>
      <c r="J31">
        <v>3430.03</v>
      </c>
      <c r="K31">
        <v>182</v>
      </c>
      <c r="L31">
        <v>17.7</v>
      </c>
      <c r="M31" t="s">
        <v>23</v>
      </c>
      <c r="N31" t="s">
        <v>43</v>
      </c>
      <c r="O31">
        <v>399</v>
      </c>
    </row>
    <row r="32" spans="1:15" x14ac:dyDescent="0.3">
      <c r="A32" s="1">
        <v>44592</v>
      </c>
      <c r="B32" t="s">
        <v>30</v>
      </c>
      <c r="C32" t="s">
        <v>16</v>
      </c>
      <c r="D32" t="s">
        <v>21</v>
      </c>
      <c r="E32" t="s">
        <v>18</v>
      </c>
      <c r="F32">
        <v>1156</v>
      </c>
      <c r="G32">
        <v>1037</v>
      </c>
      <c r="H32">
        <v>11666.24</v>
      </c>
      <c r="I32">
        <v>8536.09</v>
      </c>
      <c r="J32">
        <v>3130.15</v>
      </c>
      <c r="K32">
        <v>262</v>
      </c>
      <c r="L32">
        <v>32.6</v>
      </c>
      <c r="M32" t="s">
        <v>23</v>
      </c>
      <c r="N32" t="s">
        <v>55</v>
      </c>
      <c r="O32">
        <v>328</v>
      </c>
    </row>
    <row r="33" spans="1:15" x14ac:dyDescent="0.3">
      <c r="A33" s="1">
        <v>44593</v>
      </c>
      <c r="B33" t="s">
        <v>30</v>
      </c>
      <c r="C33" t="s">
        <v>16</v>
      </c>
      <c r="D33" t="s">
        <v>45</v>
      </c>
      <c r="E33" t="s">
        <v>18</v>
      </c>
      <c r="F33">
        <v>2431</v>
      </c>
      <c r="G33">
        <v>2303</v>
      </c>
      <c r="H33">
        <v>23213.16</v>
      </c>
      <c r="I33">
        <v>15017.32</v>
      </c>
      <c r="J33">
        <v>8195.85</v>
      </c>
      <c r="K33">
        <v>113</v>
      </c>
      <c r="L33">
        <v>31.6</v>
      </c>
      <c r="M33" t="s">
        <v>23</v>
      </c>
      <c r="N33" t="s">
        <v>56</v>
      </c>
      <c r="O33">
        <v>286</v>
      </c>
    </row>
    <row r="34" spans="1:15" x14ac:dyDescent="0.3">
      <c r="A34" s="1">
        <v>44594</v>
      </c>
      <c r="B34" t="s">
        <v>34</v>
      </c>
      <c r="C34" t="s">
        <v>31</v>
      </c>
      <c r="D34" t="s">
        <v>28</v>
      </c>
      <c r="E34" t="s">
        <v>22</v>
      </c>
      <c r="F34">
        <v>2794</v>
      </c>
      <c r="G34">
        <v>2600</v>
      </c>
      <c r="H34">
        <v>28529.21</v>
      </c>
      <c r="I34">
        <v>20164.21</v>
      </c>
      <c r="J34">
        <v>8365</v>
      </c>
      <c r="K34">
        <v>165</v>
      </c>
      <c r="L34">
        <v>11.3</v>
      </c>
      <c r="M34" t="s">
        <v>23</v>
      </c>
      <c r="N34" t="s">
        <v>46</v>
      </c>
      <c r="O34">
        <v>96</v>
      </c>
    </row>
    <row r="35" spans="1:15" x14ac:dyDescent="0.3">
      <c r="A35" s="1">
        <v>44595</v>
      </c>
      <c r="B35" t="s">
        <v>34</v>
      </c>
      <c r="C35" t="s">
        <v>31</v>
      </c>
      <c r="D35" t="s">
        <v>35</v>
      </c>
      <c r="E35" t="s">
        <v>36</v>
      </c>
      <c r="F35">
        <v>2641</v>
      </c>
      <c r="G35">
        <v>2452</v>
      </c>
      <c r="H35">
        <v>40320.43</v>
      </c>
      <c r="I35">
        <v>29927.919999999998</v>
      </c>
      <c r="J35">
        <v>10392.5</v>
      </c>
      <c r="K35">
        <v>297</v>
      </c>
      <c r="L35">
        <v>78.7</v>
      </c>
      <c r="M35" t="s">
        <v>19</v>
      </c>
      <c r="N35" t="s">
        <v>47</v>
      </c>
      <c r="O35">
        <v>338</v>
      </c>
    </row>
    <row r="36" spans="1:15" x14ac:dyDescent="0.3">
      <c r="A36" s="1">
        <v>44596</v>
      </c>
      <c r="B36" t="s">
        <v>34</v>
      </c>
      <c r="C36" t="s">
        <v>26</v>
      </c>
      <c r="D36" t="s">
        <v>45</v>
      </c>
      <c r="E36" t="s">
        <v>22</v>
      </c>
      <c r="F36">
        <v>2989</v>
      </c>
      <c r="G36">
        <v>2894</v>
      </c>
      <c r="H36">
        <v>52896.18</v>
      </c>
      <c r="I36">
        <v>42190.42</v>
      </c>
      <c r="J36">
        <v>10705.76</v>
      </c>
      <c r="K36">
        <v>83</v>
      </c>
      <c r="L36">
        <v>65.400000000000006</v>
      </c>
      <c r="M36" t="s">
        <v>19</v>
      </c>
      <c r="N36" t="s">
        <v>57</v>
      </c>
      <c r="O36">
        <v>433</v>
      </c>
    </row>
    <row r="37" spans="1:15" x14ac:dyDescent="0.3">
      <c r="A37" s="1">
        <v>44597</v>
      </c>
      <c r="B37" t="s">
        <v>34</v>
      </c>
      <c r="C37" t="s">
        <v>26</v>
      </c>
      <c r="D37" t="s">
        <v>17</v>
      </c>
      <c r="E37" t="s">
        <v>18</v>
      </c>
      <c r="F37">
        <v>1351</v>
      </c>
      <c r="G37">
        <v>1200</v>
      </c>
      <c r="H37">
        <v>19351.22</v>
      </c>
      <c r="I37">
        <v>14939.34</v>
      </c>
      <c r="J37">
        <v>4411.88</v>
      </c>
      <c r="K37">
        <v>112</v>
      </c>
      <c r="L37">
        <v>51.2</v>
      </c>
      <c r="M37" t="s">
        <v>23</v>
      </c>
      <c r="N37" t="s">
        <v>46</v>
      </c>
      <c r="O37">
        <v>317</v>
      </c>
    </row>
    <row r="38" spans="1:15" x14ac:dyDescent="0.3">
      <c r="A38" s="1">
        <v>44598</v>
      </c>
      <c r="B38" t="s">
        <v>25</v>
      </c>
      <c r="C38" t="s">
        <v>16</v>
      </c>
      <c r="D38" t="s">
        <v>35</v>
      </c>
      <c r="E38" t="s">
        <v>18</v>
      </c>
      <c r="F38">
        <v>1253</v>
      </c>
      <c r="G38">
        <v>1219</v>
      </c>
      <c r="H38">
        <v>14675.12</v>
      </c>
      <c r="I38">
        <v>11691.91</v>
      </c>
      <c r="J38">
        <v>2983.2</v>
      </c>
      <c r="K38">
        <v>172</v>
      </c>
      <c r="L38">
        <v>86</v>
      </c>
      <c r="M38" t="s">
        <v>23</v>
      </c>
      <c r="N38" t="s">
        <v>57</v>
      </c>
      <c r="O38">
        <v>164</v>
      </c>
    </row>
    <row r="39" spans="1:15" x14ac:dyDescent="0.3">
      <c r="A39" s="1">
        <v>44599</v>
      </c>
      <c r="B39" t="s">
        <v>25</v>
      </c>
      <c r="C39" t="s">
        <v>16</v>
      </c>
      <c r="D39" t="s">
        <v>28</v>
      </c>
      <c r="E39" t="s">
        <v>36</v>
      </c>
      <c r="F39">
        <v>1325</v>
      </c>
      <c r="G39">
        <v>1212</v>
      </c>
      <c r="H39">
        <v>18843.34</v>
      </c>
      <c r="I39">
        <v>16266.36</v>
      </c>
      <c r="J39">
        <v>2576.9899999999998</v>
      </c>
      <c r="K39">
        <v>243</v>
      </c>
      <c r="L39">
        <v>47.6</v>
      </c>
      <c r="M39" t="s">
        <v>19</v>
      </c>
      <c r="N39" t="s">
        <v>47</v>
      </c>
      <c r="O39">
        <v>443</v>
      </c>
    </row>
    <row r="40" spans="1:15" x14ac:dyDescent="0.3">
      <c r="A40" s="1">
        <v>44600</v>
      </c>
      <c r="B40" t="s">
        <v>34</v>
      </c>
      <c r="C40" t="s">
        <v>26</v>
      </c>
      <c r="D40" t="s">
        <v>17</v>
      </c>
      <c r="E40" t="s">
        <v>22</v>
      </c>
      <c r="F40">
        <v>1508</v>
      </c>
      <c r="G40">
        <v>1413</v>
      </c>
      <c r="H40">
        <v>17082.66</v>
      </c>
      <c r="I40">
        <v>15019.54</v>
      </c>
      <c r="J40">
        <v>2063.12</v>
      </c>
      <c r="K40">
        <v>116</v>
      </c>
      <c r="L40">
        <v>31.5</v>
      </c>
      <c r="M40" t="s">
        <v>23</v>
      </c>
      <c r="N40" t="s">
        <v>33</v>
      </c>
      <c r="O40">
        <v>266</v>
      </c>
    </row>
    <row r="41" spans="1:15" x14ac:dyDescent="0.3">
      <c r="A41" s="1">
        <v>44601</v>
      </c>
      <c r="B41" t="s">
        <v>34</v>
      </c>
      <c r="C41" t="s">
        <v>26</v>
      </c>
      <c r="D41" t="s">
        <v>28</v>
      </c>
      <c r="E41" t="s">
        <v>18</v>
      </c>
      <c r="F41">
        <v>1372</v>
      </c>
      <c r="G41">
        <v>1343</v>
      </c>
      <c r="H41">
        <v>25289.54</v>
      </c>
      <c r="I41">
        <v>19007.009999999998</v>
      </c>
      <c r="J41">
        <v>6282.54</v>
      </c>
      <c r="K41">
        <v>191</v>
      </c>
      <c r="L41">
        <v>45.1</v>
      </c>
      <c r="M41" t="s">
        <v>23</v>
      </c>
      <c r="N41" t="s">
        <v>58</v>
      </c>
      <c r="O41">
        <v>226</v>
      </c>
    </row>
    <row r="42" spans="1:15" x14ac:dyDescent="0.3">
      <c r="A42" s="1">
        <v>44602</v>
      </c>
      <c r="B42" t="s">
        <v>30</v>
      </c>
      <c r="C42" t="s">
        <v>31</v>
      </c>
      <c r="D42" t="s">
        <v>35</v>
      </c>
      <c r="E42" t="s">
        <v>36</v>
      </c>
      <c r="F42">
        <v>2319</v>
      </c>
      <c r="G42">
        <v>2192</v>
      </c>
      <c r="H42">
        <v>30228.23</v>
      </c>
      <c r="I42">
        <v>22607.93</v>
      </c>
      <c r="J42">
        <v>7620.3</v>
      </c>
      <c r="K42">
        <v>223</v>
      </c>
      <c r="L42">
        <v>50.4</v>
      </c>
      <c r="M42" t="s">
        <v>23</v>
      </c>
      <c r="N42" t="s">
        <v>56</v>
      </c>
      <c r="O42">
        <v>485</v>
      </c>
    </row>
    <row r="43" spans="1:15" x14ac:dyDescent="0.3">
      <c r="A43" s="1">
        <v>44603</v>
      </c>
      <c r="B43" t="s">
        <v>30</v>
      </c>
      <c r="C43" t="s">
        <v>31</v>
      </c>
      <c r="D43" t="s">
        <v>28</v>
      </c>
      <c r="E43" t="s">
        <v>18</v>
      </c>
      <c r="F43">
        <v>1992</v>
      </c>
      <c r="G43">
        <v>1940</v>
      </c>
      <c r="H43">
        <v>33947.96</v>
      </c>
      <c r="I43">
        <v>28410.55</v>
      </c>
      <c r="J43">
        <v>5537.41</v>
      </c>
      <c r="K43">
        <v>188</v>
      </c>
      <c r="L43">
        <v>93.8</v>
      </c>
      <c r="M43" t="s">
        <v>19</v>
      </c>
      <c r="N43" t="s">
        <v>49</v>
      </c>
      <c r="O43">
        <v>272</v>
      </c>
    </row>
    <row r="44" spans="1:15" x14ac:dyDescent="0.3">
      <c r="A44" s="1">
        <v>44604</v>
      </c>
      <c r="B44" t="s">
        <v>34</v>
      </c>
      <c r="C44" t="s">
        <v>26</v>
      </c>
      <c r="D44" t="s">
        <v>21</v>
      </c>
      <c r="E44" t="s">
        <v>36</v>
      </c>
      <c r="F44">
        <v>1453</v>
      </c>
      <c r="G44">
        <v>1309</v>
      </c>
      <c r="H44">
        <v>12060.43</v>
      </c>
      <c r="I44">
        <v>7540.57</v>
      </c>
      <c r="J44">
        <v>4519.8599999999997</v>
      </c>
      <c r="K44">
        <v>220</v>
      </c>
      <c r="L44">
        <v>30</v>
      </c>
      <c r="M44" t="s">
        <v>23</v>
      </c>
      <c r="N44" t="s">
        <v>37</v>
      </c>
      <c r="O44">
        <v>171</v>
      </c>
    </row>
    <row r="45" spans="1:15" x14ac:dyDescent="0.3">
      <c r="A45" s="1">
        <v>44605</v>
      </c>
      <c r="B45" t="s">
        <v>34</v>
      </c>
      <c r="C45" t="s">
        <v>26</v>
      </c>
      <c r="D45" t="s">
        <v>17</v>
      </c>
      <c r="E45" t="s">
        <v>22</v>
      </c>
      <c r="F45">
        <v>2040</v>
      </c>
      <c r="G45">
        <v>2012</v>
      </c>
      <c r="H45">
        <v>18144.32</v>
      </c>
      <c r="I45">
        <v>16257.16</v>
      </c>
      <c r="J45">
        <v>1887.16</v>
      </c>
      <c r="K45">
        <v>188</v>
      </c>
      <c r="L45">
        <v>43.4</v>
      </c>
      <c r="M45" t="s">
        <v>19</v>
      </c>
      <c r="N45" t="s">
        <v>42</v>
      </c>
      <c r="O45">
        <v>266</v>
      </c>
    </row>
    <row r="46" spans="1:15" x14ac:dyDescent="0.3">
      <c r="A46" s="1">
        <v>44606</v>
      </c>
      <c r="B46" t="s">
        <v>34</v>
      </c>
      <c r="C46" t="s">
        <v>38</v>
      </c>
      <c r="D46" t="s">
        <v>40</v>
      </c>
      <c r="E46" t="s">
        <v>36</v>
      </c>
      <c r="F46">
        <v>1705</v>
      </c>
      <c r="G46">
        <v>1539</v>
      </c>
      <c r="H46">
        <v>20146.53</v>
      </c>
      <c r="I46">
        <v>17565.89</v>
      </c>
      <c r="J46">
        <v>2580.64</v>
      </c>
      <c r="K46">
        <v>118</v>
      </c>
      <c r="L46">
        <v>49.1</v>
      </c>
      <c r="M46" t="s">
        <v>23</v>
      </c>
      <c r="N46" t="s">
        <v>52</v>
      </c>
      <c r="O46">
        <v>269</v>
      </c>
    </row>
    <row r="47" spans="1:15" x14ac:dyDescent="0.3">
      <c r="A47" s="1">
        <v>44607</v>
      </c>
      <c r="B47" t="s">
        <v>34</v>
      </c>
      <c r="C47" t="s">
        <v>38</v>
      </c>
      <c r="D47" t="s">
        <v>21</v>
      </c>
      <c r="E47" t="s">
        <v>22</v>
      </c>
      <c r="F47">
        <v>1581</v>
      </c>
      <c r="G47">
        <v>1434</v>
      </c>
      <c r="H47">
        <v>13516.62</v>
      </c>
      <c r="I47">
        <v>8586.5400000000009</v>
      </c>
      <c r="J47">
        <v>4930.08</v>
      </c>
      <c r="K47">
        <v>184</v>
      </c>
      <c r="L47">
        <v>77</v>
      </c>
      <c r="M47" t="s">
        <v>23</v>
      </c>
      <c r="N47" t="s">
        <v>29</v>
      </c>
      <c r="O47">
        <v>239</v>
      </c>
    </row>
    <row r="48" spans="1:15" x14ac:dyDescent="0.3">
      <c r="A48" s="1">
        <v>44608</v>
      </c>
      <c r="B48" t="s">
        <v>44</v>
      </c>
      <c r="C48" t="s">
        <v>31</v>
      </c>
      <c r="D48" t="s">
        <v>45</v>
      </c>
      <c r="E48" t="s">
        <v>36</v>
      </c>
      <c r="F48">
        <v>633</v>
      </c>
      <c r="G48">
        <v>576</v>
      </c>
      <c r="H48">
        <v>4692.01</v>
      </c>
      <c r="I48">
        <v>4180.41</v>
      </c>
      <c r="J48">
        <v>511.6</v>
      </c>
      <c r="K48">
        <v>140</v>
      </c>
      <c r="L48">
        <v>39</v>
      </c>
      <c r="M48" t="s">
        <v>23</v>
      </c>
      <c r="N48" t="s">
        <v>51</v>
      </c>
      <c r="O48">
        <v>252</v>
      </c>
    </row>
    <row r="49" spans="1:15" x14ac:dyDescent="0.3">
      <c r="A49" s="1">
        <v>44609</v>
      </c>
      <c r="B49" t="s">
        <v>44</v>
      </c>
      <c r="C49" t="s">
        <v>31</v>
      </c>
      <c r="D49" t="s">
        <v>28</v>
      </c>
      <c r="E49" t="s">
        <v>36</v>
      </c>
      <c r="F49">
        <v>2199</v>
      </c>
      <c r="G49">
        <v>2053</v>
      </c>
      <c r="H49">
        <v>40303.74</v>
      </c>
      <c r="I49">
        <v>30507.08</v>
      </c>
      <c r="J49">
        <v>9796.66</v>
      </c>
      <c r="K49">
        <v>128</v>
      </c>
      <c r="L49">
        <v>72.599999999999994</v>
      </c>
      <c r="M49" t="s">
        <v>23</v>
      </c>
      <c r="N49" t="s">
        <v>51</v>
      </c>
      <c r="O49">
        <v>103</v>
      </c>
    </row>
    <row r="50" spans="1:15" x14ac:dyDescent="0.3">
      <c r="A50" s="1">
        <v>44610</v>
      </c>
      <c r="B50" t="s">
        <v>44</v>
      </c>
      <c r="C50" t="s">
        <v>31</v>
      </c>
      <c r="D50" t="s">
        <v>21</v>
      </c>
      <c r="E50" t="s">
        <v>36</v>
      </c>
      <c r="F50">
        <v>1531</v>
      </c>
      <c r="G50">
        <v>1410</v>
      </c>
      <c r="H50">
        <v>14463.01</v>
      </c>
      <c r="I50">
        <v>10689.75</v>
      </c>
      <c r="J50">
        <v>3773.26</v>
      </c>
      <c r="K50">
        <v>265</v>
      </c>
      <c r="L50">
        <v>30.6</v>
      </c>
      <c r="M50" t="s">
        <v>23</v>
      </c>
      <c r="N50" t="s">
        <v>46</v>
      </c>
      <c r="O50">
        <v>90</v>
      </c>
    </row>
    <row r="51" spans="1:15" x14ac:dyDescent="0.3">
      <c r="A51" s="1">
        <v>44611</v>
      </c>
      <c r="B51" t="s">
        <v>44</v>
      </c>
      <c r="C51" t="s">
        <v>31</v>
      </c>
      <c r="D51" t="s">
        <v>35</v>
      </c>
      <c r="E51" t="s">
        <v>18</v>
      </c>
      <c r="F51">
        <v>1724</v>
      </c>
      <c r="G51">
        <v>1564</v>
      </c>
      <c r="H51">
        <v>20229.53</v>
      </c>
      <c r="I51">
        <v>15795.91</v>
      </c>
      <c r="J51">
        <v>4433.6099999999997</v>
      </c>
      <c r="K51">
        <v>236</v>
      </c>
      <c r="L51">
        <v>22</v>
      </c>
      <c r="M51" t="s">
        <v>23</v>
      </c>
      <c r="N51" t="s">
        <v>59</v>
      </c>
      <c r="O51">
        <v>131</v>
      </c>
    </row>
    <row r="52" spans="1:15" x14ac:dyDescent="0.3">
      <c r="A52" s="1">
        <v>44612</v>
      </c>
      <c r="B52" t="s">
        <v>15</v>
      </c>
      <c r="C52" t="s">
        <v>26</v>
      </c>
      <c r="D52" t="s">
        <v>35</v>
      </c>
      <c r="E52" t="s">
        <v>22</v>
      </c>
      <c r="F52">
        <v>1376</v>
      </c>
      <c r="G52">
        <v>1372</v>
      </c>
      <c r="H52">
        <v>11410.11</v>
      </c>
      <c r="I52">
        <v>8134.71</v>
      </c>
      <c r="J52">
        <v>3275.4</v>
      </c>
      <c r="K52">
        <v>144</v>
      </c>
      <c r="L52">
        <v>53.2</v>
      </c>
      <c r="M52" t="s">
        <v>19</v>
      </c>
      <c r="N52" t="s">
        <v>54</v>
      </c>
      <c r="O52">
        <v>390</v>
      </c>
    </row>
    <row r="53" spans="1:15" x14ac:dyDescent="0.3">
      <c r="A53" s="1">
        <v>44613</v>
      </c>
      <c r="B53" t="s">
        <v>15</v>
      </c>
      <c r="C53" t="s">
        <v>26</v>
      </c>
      <c r="D53" t="s">
        <v>45</v>
      </c>
      <c r="E53" t="s">
        <v>22</v>
      </c>
      <c r="F53">
        <v>562</v>
      </c>
      <c r="G53">
        <v>477</v>
      </c>
      <c r="H53">
        <v>8562.14</v>
      </c>
      <c r="I53">
        <v>6599.05</v>
      </c>
      <c r="J53">
        <v>1963.09</v>
      </c>
      <c r="K53">
        <v>240</v>
      </c>
      <c r="L53">
        <v>52.2</v>
      </c>
      <c r="M53" t="s">
        <v>23</v>
      </c>
      <c r="N53" t="s">
        <v>39</v>
      </c>
      <c r="O53">
        <v>454</v>
      </c>
    </row>
    <row r="54" spans="1:15" x14ac:dyDescent="0.3">
      <c r="A54" s="1">
        <v>44614</v>
      </c>
      <c r="B54" t="s">
        <v>30</v>
      </c>
      <c r="C54" t="s">
        <v>38</v>
      </c>
      <c r="D54" t="s">
        <v>17</v>
      </c>
      <c r="E54" t="s">
        <v>18</v>
      </c>
      <c r="F54">
        <v>1960</v>
      </c>
      <c r="G54">
        <v>1938</v>
      </c>
      <c r="H54">
        <v>33387.57</v>
      </c>
      <c r="I54">
        <v>29495.57</v>
      </c>
      <c r="J54">
        <v>3892</v>
      </c>
      <c r="K54">
        <v>281</v>
      </c>
      <c r="L54">
        <v>44</v>
      </c>
      <c r="M54" t="s">
        <v>23</v>
      </c>
      <c r="N54" t="s">
        <v>27</v>
      </c>
      <c r="O54">
        <v>415</v>
      </c>
    </row>
    <row r="55" spans="1:15" x14ac:dyDescent="0.3">
      <c r="A55" s="1">
        <v>44615</v>
      </c>
      <c r="B55" t="s">
        <v>30</v>
      </c>
      <c r="C55" t="s">
        <v>38</v>
      </c>
      <c r="D55" t="s">
        <v>28</v>
      </c>
      <c r="E55" t="s">
        <v>36</v>
      </c>
      <c r="F55">
        <v>550</v>
      </c>
      <c r="G55">
        <v>378</v>
      </c>
      <c r="H55">
        <v>5773.61</v>
      </c>
      <c r="I55">
        <v>3860.19</v>
      </c>
      <c r="J55">
        <v>1913.42</v>
      </c>
      <c r="K55">
        <v>192</v>
      </c>
      <c r="L55">
        <v>78.099999999999994</v>
      </c>
      <c r="M55" t="s">
        <v>23</v>
      </c>
      <c r="N55" t="s">
        <v>50</v>
      </c>
      <c r="O55">
        <v>88</v>
      </c>
    </row>
    <row r="56" spans="1:15" x14ac:dyDescent="0.3">
      <c r="A56" s="1">
        <v>44616</v>
      </c>
      <c r="B56" t="s">
        <v>15</v>
      </c>
      <c r="C56" t="s">
        <v>31</v>
      </c>
      <c r="D56" t="s">
        <v>35</v>
      </c>
      <c r="E56" t="s">
        <v>36</v>
      </c>
      <c r="F56">
        <v>1262</v>
      </c>
      <c r="G56">
        <v>1206</v>
      </c>
      <c r="H56">
        <v>18185.84</v>
      </c>
      <c r="I56">
        <v>13530.52</v>
      </c>
      <c r="J56">
        <v>4655.32</v>
      </c>
      <c r="K56">
        <v>230</v>
      </c>
      <c r="L56">
        <v>78</v>
      </c>
      <c r="M56" t="s">
        <v>23</v>
      </c>
      <c r="N56" t="s">
        <v>57</v>
      </c>
      <c r="O56">
        <v>124</v>
      </c>
    </row>
    <row r="57" spans="1:15" x14ac:dyDescent="0.3">
      <c r="A57" s="1">
        <v>44617</v>
      </c>
      <c r="B57" t="s">
        <v>15</v>
      </c>
      <c r="C57" t="s">
        <v>31</v>
      </c>
      <c r="D57" t="s">
        <v>40</v>
      </c>
      <c r="E57" t="s">
        <v>18</v>
      </c>
      <c r="F57">
        <v>2650</v>
      </c>
      <c r="G57">
        <v>2485</v>
      </c>
      <c r="H57">
        <v>38286.800000000003</v>
      </c>
      <c r="I57">
        <v>34233.72</v>
      </c>
      <c r="J57">
        <v>4053.09</v>
      </c>
      <c r="K57">
        <v>129</v>
      </c>
      <c r="L57">
        <v>63.1</v>
      </c>
      <c r="M57" t="s">
        <v>23</v>
      </c>
      <c r="N57" t="s">
        <v>37</v>
      </c>
      <c r="O57">
        <v>484</v>
      </c>
    </row>
    <row r="58" spans="1:15" x14ac:dyDescent="0.3">
      <c r="A58" s="1">
        <v>44618</v>
      </c>
      <c r="B58" t="s">
        <v>25</v>
      </c>
      <c r="C58" t="s">
        <v>38</v>
      </c>
      <c r="D58" t="s">
        <v>45</v>
      </c>
      <c r="E58" t="s">
        <v>18</v>
      </c>
      <c r="F58">
        <v>1519</v>
      </c>
      <c r="G58">
        <v>1490</v>
      </c>
      <c r="H58">
        <v>23042.91</v>
      </c>
      <c r="I58">
        <v>19787.16</v>
      </c>
      <c r="J58">
        <v>3255.75</v>
      </c>
      <c r="K58">
        <v>212</v>
      </c>
      <c r="L58">
        <v>81.7</v>
      </c>
      <c r="M58" t="s">
        <v>23</v>
      </c>
      <c r="N58" t="s">
        <v>24</v>
      </c>
      <c r="O58">
        <v>379</v>
      </c>
    </row>
    <row r="59" spans="1:15" x14ac:dyDescent="0.3">
      <c r="A59" s="1">
        <v>44619</v>
      </c>
      <c r="B59" t="s">
        <v>25</v>
      </c>
      <c r="C59" t="s">
        <v>38</v>
      </c>
      <c r="D59" t="s">
        <v>35</v>
      </c>
      <c r="E59" t="s">
        <v>36</v>
      </c>
      <c r="F59">
        <v>2375</v>
      </c>
      <c r="G59">
        <v>2307</v>
      </c>
      <c r="H59">
        <v>45587.22</v>
      </c>
      <c r="I59">
        <v>34089.46</v>
      </c>
      <c r="J59">
        <v>11497.76</v>
      </c>
      <c r="K59">
        <v>284</v>
      </c>
      <c r="L59">
        <v>28.8</v>
      </c>
      <c r="M59" t="s">
        <v>23</v>
      </c>
      <c r="N59" t="s">
        <v>54</v>
      </c>
      <c r="O59">
        <v>420</v>
      </c>
    </row>
    <row r="60" spans="1:15" x14ac:dyDescent="0.3">
      <c r="A60" s="1">
        <v>44620</v>
      </c>
      <c r="B60" t="s">
        <v>44</v>
      </c>
      <c r="C60" t="s">
        <v>26</v>
      </c>
      <c r="D60" t="s">
        <v>28</v>
      </c>
      <c r="E60" t="s">
        <v>18</v>
      </c>
      <c r="F60">
        <v>1166</v>
      </c>
      <c r="G60">
        <v>1074</v>
      </c>
      <c r="H60">
        <v>21133.45</v>
      </c>
      <c r="I60">
        <v>16496.36</v>
      </c>
      <c r="J60">
        <v>4637.09</v>
      </c>
      <c r="K60">
        <v>130</v>
      </c>
      <c r="L60">
        <v>13.7</v>
      </c>
      <c r="M60" t="s">
        <v>23</v>
      </c>
      <c r="N60" t="s">
        <v>29</v>
      </c>
      <c r="O60">
        <v>219</v>
      </c>
    </row>
    <row r="61" spans="1:15" x14ac:dyDescent="0.3">
      <c r="A61" s="1">
        <v>44621</v>
      </c>
      <c r="B61" t="s">
        <v>44</v>
      </c>
      <c r="C61" t="s">
        <v>26</v>
      </c>
      <c r="D61" t="s">
        <v>35</v>
      </c>
      <c r="E61" t="s">
        <v>36</v>
      </c>
      <c r="F61">
        <v>1928</v>
      </c>
      <c r="G61">
        <v>1859</v>
      </c>
      <c r="H61">
        <v>17563.150000000001</v>
      </c>
      <c r="I61">
        <v>12965.7</v>
      </c>
      <c r="J61">
        <v>4597.4399999999996</v>
      </c>
      <c r="K61">
        <v>169</v>
      </c>
      <c r="L61">
        <v>90.5</v>
      </c>
      <c r="M61" t="s">
        <v>23</v>
      </c>
      <c r="N61" t="s">
        <v>60</v>
      </c>
      <c r="O61">
        <v>350</v>
      </c>
    </row>
    <row r="62" spans="1:15" x14ac:dyDescent="0.3">
      <c r="A62" s="1">
        <v>44622</v>
      </c>
      <c r="B62" t="s">
        <v>44</v>
      </c>
      <c r="C62" t="s">
        <v>26</v>
      </c>
      <c r="D62" t="s">
        <v>28</v>
      </c>
      <c r="E62" t="s">
        <v>22</v>
      </c>
      <c r="F62">
        <v>1780</v>
      </c>
      <c r="G62">
        <v>1773</v>
      </c>
      <c r="H62">
        <v>30103.97</v>
      </c>
      <c r="I62">
        <v>19728.830000000002</v>
      </c>
      <c r="J62">
        <v>10375.14</v>
      </c>
      <c r="K62">
        <v>286</v>
      </c>
      <c r="L62">
        <v>58.3</v>
      </c>
      <c r="M62" t="s">
        <v>19</v>
      </c>
      <c r="N62" t="s">
        <v>49</v>
      </c>
      <c r="O62">
        <v>77</v>
      </c>
    </row>
    <row r="63" spans="1:15" x14ac:dyDescent="0.3">
      <c r="A63" s="1">
        <v>44623</v>
      </c>
      <c r="B63" t="s">
        <v>44</v>
      </c>
      <c r="C63" t="s">
        <v>26</v>
      </c>
      <c r="D63" t="s">
        <v>17</v>
      </c>
      <c r="E63" t="s">
        <v>18</v>
      </c>
      <c r="F63">
        <v>2625</v>
      </c>
      <c r="G63">
        <v>2496</v>
      </c>
      <c r="H63">
        <v>42356.25</v>
      </c>
      <c r="I63">
        <v>25879.88</v>
      </c>
      <c r="J63">
        <v>16476.37</v>
      </c>
      <c r="K63">
        <v>135</v>
      </c>
      <c r="L63">
        <v>22</v>
      </c>
      <c r="M63" t="s">
        <v>23</v>
      </c>
      <c r="N63" t="s">
        <v>33</v>
      </c>
      <c r="O63">
        <v>287</v>
      </c>
    </row>
    <row r="64" spans="1:15" x14ac:dyDescent="0.3">
      <c r="A64" s="1">
        <v>44624</v>
      </c>
      <c r="B64" t="s">
        <v>15</v>
      </c>
      <c r="C64" t="s">
        <v>16</v>
      </c>
      <c r="D64" t="s">
        <v>21</v>
      </c>
      <c r="E64" t="s">
        <v>18</v>
      </c>
      <c r="F64">
        <v>2406</v>
      </c>
      <c r="G64">
        <v>2392</v>
      </c>
      <c r="H64">
        <v>22146.16</v>
      </c>
      <c r="I64">
        <v>18186.91</v>
      </c>
      <c r="J64">
        <v>3959.26</v>
      </c>
      <c r="K64">
        <v>107</v>
      </c>
      <c r="L64">
        <v>11.8</v>
      </c>
      <c r="M64" t="s">
        <v>23</v>
      </c>
      <c r="N64" t="s">
        <v>42</v>
      </c>
      <c r="O64">
        <v>135</v>
      </c>
    </row>
    <row r="65" spans="1:15" x14ac:dyDescent="0.3">
      <c r="A65" s="1">
        <v>44625</v>
      </c>
      <c r="B65" t="s">
        <v>15</v>
      </c>
      <c r="C65" t="s">
        <v>16</v>
      </c>
      <c r="D65" t="s">
        <v>45</v>
      </c>
      <c r="E65" t="s">
        <v>22</v>
      </c>
      <c r="F65">
        <v>625</v>
      </c>
      <c r="G65">
        <v>582</v>
      </c>
      <c r="H65">
        <v>6284.78</v>
      </c>
      <c r="I65">
        <v>4417.4399999999996</v>
      </c>
      <c r="J65">
        <v>1867.35</v>
      </c>
      <c r="K65">
        <v>104</v>
      </c>
      <c r="L65">
        <v>71.099999999999994</v>
      </c>
      <c r="M65" t="s">
        <v>19</v>
      </c>
      <c r="N65" t="s">
        <v>53</v>
      </c>
      <c r="O65">
        <v>195</v>
      </c>
    </row>
    <row r="66" spans="1:15" x14ac:dyDescent="0.3">
      <c r="A66" s="1">
        <v>44626</v>
      </c>
      <c r="B66" t="s">
        <v>30</v>
      </c>
      <c r="C66" t="s">
        <v>31</v>
      </c>
      <c r="D66" t="s">
        <v>17</v>
      </c>
      <c r="E66" t="s">
        <v>18</v>
      </c>
      <c r="F66">
        <v>2972</v>
      </c>
      <c r="G66">
        <v>2872</v>
      </c>
      <c r="H66">
        <v>35489.269999999997</v>
      </c>
      <c r="I66">
        <v>28170.5</v>
      </c>
      <c r="J66">
        <v>7318.77</v>
      </c>
      <c r="K66">
        <v>266</v>
      </c>
      <c r="L66">
        <v>42</v>
      </c>
      <c r="M66" t="s">
        <v>19</v>
      </c>
      <c r="N66" t="s">
        <v>46</v>
      </c>
      <c r="O66">
        <v>426</v>
      </c>
    </row>
    <row r="67" spans="1:15" x14ac:dyDescent="0.3">
      <c r="A67" s="1">
        <v>44627</v>
      </c>
      <c r="B67" t="s">
        <v>30</v>
      </c>
      <c r="C67" t="s">
        <v>31</v>
      </c>
      <c r="D67" t="s">
        <v>40</v>
      </c>
      <c r="E67" t="s">
        <v>36</v>
      </c>
      <c r="F67">
        <v>1960</v>
      </c>
      <c r="G67">
        <v>1811</v>
      </c>
      <c r="H67">
        <v>19384.93</v>
      </c>
      <c r="I67">
        <v>13755.68</v>
      </c>
      <c r="J67">
        <v>5629.25</v>
      </c>
      <c r="K67">
        <v>191</v>
      </c>
      <c r="L67">
        <v>24.5</v>
      </c>
      <c r="M67" t="s">
        <v>23</v>
      </c>
      <c r="N67" t="s">
        <v>55</v>
      </c>
      <c r="O67">
        <v>399</v>
      </c>
    </row>
    <row r="68" spans="1:15" x14ac:dyDescent="0.3">
      <c r="A68" s="1">
        <v>44628</v>
      </c>
      <c r="B68" t="s">
        <v>15</v>
      </c>
      <c r="C68" t="s">
        <v>16</v>
      </c>
      <c r="D68" t="s">
        <v>21</v>
      </c>
      <c r="E68" t="s">
        <v>22</v>
      </c>
      <c r="F68">
        <v>967</v>
      </c>
      <c r="G68">
        <v>893</v>
      </c>
      <c r="H68">
        <v>16418.77</v>
      </c>
      <c r="I68">
        <v>13875.86</v>
      </c>
      <c r="J68">
        <v>2542.91</v>
      </c>
      <c r="K68">
        <v>192</v>
      </c>
      <c r="L68">
        <v>54.2</v>
      </c>
      <c r="M68" t="s">
        <v>19</v>
      </c>
      <c r="N68" t="s">
        <v>55</v>
      </c>
      <c r="O68">
        <v>490</v>
      </c>
    </row>
    <row r="69" spans="1:15" x14ac:dyDescent="0.3">
      <c r="A69" s="1">
        <v>44629</v>
      </c>
      <c r="B69" t="s">
        <v>15</v>
      </c>
      <c r="C69" t="s">
        <v>16</v>
      </c>
      <c r="D69" t="s">
        <v>28</v>
      </c>
      <c r="E69" t="s">
        <v>22</v>
      </c>
      <c r="F69">
        <v>1346</v>
      </c>
      <c r="G69">
        <v>1211</v>
      </c>
      <c r="H69">
        <v>16614.23</v>
      </c>
      <c r="I69">
        <v>14148.26</v>
      </c>
      <c r="J69">
        <v>2465.9699999999998</v>
      </c>
      <c r="K69">
        <v>212</v>
      </c>
      <c r="L69">
        <v>26.8</v>
      </c>
      <c r="M69" t="s">
        <v>23</v>
      </c>
      <c r="N69" t="s">
        <v>58</v>
      </c>
      <c r="O69">
        <v>261</v>
      </c>
    </row>
    <row r="70" spans="1:15" x14ac:dyDescent="0.3">
      <c r="A70" s="1">
        <v>44630</v>
      </c>
      <c r="B70" t="s">
        <v>44</v>
      </c>
      <c r="C70" t="s">
        <v>31</v>
      </c>
      <c r="D70" t="s">
        <v>28</v>
      </c>
      <c r="E70" t="s">
        <v>22</v>
      </c>
      <c r="F70">
        <v>1153</v>
      </c>
      <c r="G70">
        <v>1090</v>
      </c>
      <c r="H70">
        <v>9861.76</v>
      </c>
      <c r="I70">
        <v>7414.38</v>
      </c>
      <c r="J70">
        <v>2447.38</v>
      </c>
      <c r="K70">
        <v>179</v>
      </c>
      <c r="L70">
        <v>38.9</v>
      </c>
      <c r="M70" t="s">
        <v>23</v>
      </c>
      <c r="N70" t="s">
        <v>59</v>
      </c>
      <c r="O70">
        <v>227</v>
      </c>
    </row>
    <row r="71" spans="1:15" x14ac:dyDescent="0.3">
      <c r="A71" s="1">
        <v>44631</v>
      </c>
      <c r="B71" t="s">
        <v>44</v>
      </c>
      <c r="C71" t="s">
        <v>31</v>
      </c>
      <c r="D71" t="s">
        <v>40</v>
      </c>
      <c r="E71" t="s">
        <v>22</v>
      </c>
      <c r="F71">
        <v>760</v>
      </c>
      <c r="G71">
        <v>610</v>
      </c>
      <c r="H71">
        <v>8898.11</v>
      </c>
      <c r="I71">
        <v>5877.37</v>
      </c>
      <c r="J71">
        <v>3020.74</v>
      </c>
      <c r="K71">
        <v>247</v>
      </c>
      <c r="L71">
        <v>82.9</v>
      </c>
      <c r="M71" t="s">
        <v>23</v>
      </c>
      <c r="N71" t="s">
        <v>46</v>
      </c>
      <c r="O71">
        <v>378</v>
      </c>
    </row>
    <row r="72" spans="1:15" x14ac:dyDescent="0.3">
      <c r="A72" s="1">
        <v>44632</v>
      </c>
      <c r="B72" t="s">
        <v>44</v>
      </c>
      <c r="C72" t="s">
        <v>26</v>
      </c>
      <c r="D72" t="s">
        <v>17</v>
      </c>
      <c r="E72" t="s">
        <v>18</v>
      </c>
      <c r="F72">
        <v>1618</v>
      </c>
      <c r="G72">
        <v>1570</v>
      </c>
      <c r="H72">
        <v>28587.71</v>
      </c>
      <c r="I72">
        <v>23550.33</v>
      </c>
      <c r="J72">
        <v>5037.37</v>
      </c>
      <c r="K72">
        <v>257</v>
      </c>
      <c r="L72">
        <v>21.2</v>
      </c>
      <c r="M72" t="s">
        <v>19</v>
      </c>
      <c r="N72" t="s">
        <v>27</v>
      </c>
      <c r="O72">
        <v>467</v>
      </c>
    </row>
    <row r="73" spans="1:15" x14ac:dyDescent="0.3">
      <c r="A73" s="1">
        <v>44633</v>
      </c>
      <c r="B73" t="s">
        <v>44</v>
      </c>
      <c r="C73" t="s">
        <v>26</v>
      </c>
      <c r="D73" t="s">
        <v>35</v>
      </c>
      <c r="E73" t="s">
        <v>18</v>
      </c>
      <c r="F73">
        <v>2070</v>
      </c>
      <c r="G73">
        <v>2070</v>
      </c>
      <c r="H73">
        <v>34969.440000000002</v>
      </c>
      <c r="I73">
        <v>27008.36</v>
      </c>
      <c r="J73">
        <v>7961.07</v>
      </c>
      <c r="K73">
        <v>143</v>
      </c>
      <c r="L73">
        <v>80.3</v>
      </c>
      <c r="M73" t="s">
        <v>19</v>
      </c>
      <c r="N73" t="s">
        <v>46</v>
      </c>
      <c r="O73">
        <v>319</v>
      </c>
    </row>
    <row r="74" spans="1:15" x14ac:dyDescent="0.3">
      <c r="A74" s="1">
        <v>44634</v>
      </c>
      <c r="B74" t="s">
        <v>34</v>
      </c>
      <c r="C74" t="s">
        <v>38</v>
      </c>
      <c r="D74" t="s">
        <v>21</v>
      </c>
      <c r="E74" t="s">
        <v>22</v>
      </c>
      <c r="F74">
        <v>631</v>
      </c>
      <c r="G74">
        <v>543</v>
      </c>
      <c r="H74">
        <v>10059.84</v>
      </c>
      <c r="I74">
        <v>7220.28</v>
      </c>
      <c r="J74">
        <v>2839.56</v>
      </c>
      <c r="K74">
        <v>119</v>
      </c>
      <c r="L74">
        <v>50.7</v>
      </c>
      <c r="M74" t="s">
        <v>19</v>
      </c>
      <c r="N74" t="s">
        <v>58</v>
      </c>
      <c r="O74">
        <v>174</v>
      </c>
    </row>
    <row r="75" spans="1:15" x14ac:dyDescent="0.3">
      <c r="A75" s="1">
        <v>44635</v>
      </c>
      <c r="B75" t="s">
        <v>34</v>
      </c>
      <c r="C75" t="s">
        <v>38</v>
      </c>
      <c r="D75" t="s">
        <v>28</v>
      </c>
      <c r="E75" t="s">
        <v>22</v>
      </c>
      <c r="F75">
        <v>2388</v>
      </c>
      <c r="G75">
        <v>2366</v>
      </c>
      <c r="H75">
        <v>31384.84</v>
      </c>
      <c r="I75">
        <v>24268.2</v>
      </c>
      <c r="J75">
        <v>7116.64</v>
      </c>
      <c r="K75">
        <v>224</v>
      </c>
      <c r="L75">
        <v>91</v>
      </c>
      <c r="M75" t="s">
        <v>23</v>
      </c>
      <c r="N75" t="s">
        <v>49</v>
      </c>
      <c r="O75">
        <v>358</v>
      </c>
    </row>
    <row r="76" spans="1:15" x14ac:dyDescent="0.3">
      <c r="A76" s="1">
        <v>44636</v>
      </c>
      <c r="B76" t="s">
        <v>15</v>
      </c>
      <c r="C76" t="s">
        <v>31</v>
      </c>
      <c r="D76" t="s">
        <v>21</v>
      </c>
      <c r="E76" t="s">
        <v>22</v>
      </c>
      <c r="F76">
        <v>1971</v>
      </c>
      <c r="G76">
        <v>1957</v>
      </c>
      <c r="H76">
        <v>36289.730000000003</v>
      </c>
      <c r="I76">
        <v>27167.47</v>
      </c>
      <c r="J76">
        <v>9122.25</v>
      </c>
      <c r="K76">
        <v>234</v>
      </c>
      <c r="L76">
        <v>81</v>
      </c>
      <c r="M76" t="s">
        <v>23</v>
      </c>
      <c r="N76" t="s">
        <v>39</v>
      </c>
      <c r="O76">
        <v>460</v>
      </c>
    </row>
    <row r="77" spans="1:15" x14ac:dyDescent="0.3">
      <c r="A77" s="1">
        <v>44637</v>
      </c>
      <c r="B77" t="s">
        <v>15</v>
      </c>
      <c r="C77" t="s">
        <v>31</v>
      </c>
      <c r="D77" t="s">
        <v>28</v>
      </c>
      <c r="E77" t="s">
        <v>18</v>
      </c>
      <c r="F77">
        <v>2836</v>
      </c>
      <c r="G77">
        <v>2641</v>
      </c>
      <c r="H77">
        <v>39188.94</v>
      </c>
      <c r="I77">
        <v>32477.35</v>
      </c>
      <c r="J77">
        <v>6711.59</v>
      </c>
      <c r="K77">
        <v>202</v>
      </c>
      <c r="L77">
        <v>77.900000000000006</v>
      </c>
      <c r="M77" t="s">
        <v>23</v>
      </c>
      <c r="N77" t="s">
        <v>53</v>
      </c>
      <c r="O77">
        <v>208</v>
      </c>
    </row>
    <row r="78" spans="1:15" x14ac:dyDescent="0.3">
      <c r="A78" s="1">
        <v>44638</v>
      </c>
      <c r="B78" t="s">
        <v>30</v>
      </c>
      <c r="C78" t="s">
        <v>16</v>
      </c>
      <c r="D78" t="s">
        <v>28</v>
      </c>
      <c r="E78" t="s">
        <v>36</v>
      </c>
      <c r="F78">
        <v>2594</v>
      </c>
      <c r="G78">
        <v>2527</v>
      </c>
      <c r="H78">
        <v>42117.59</v>
      </c>
      <c r="I78">
        <v>34368.410000000003</v>
      </c>
      <c r="J78">
        <v>7749.17</v>
      </c>
      <c r="K78">
        <v>174</v>
      </c>
      <c r="L78">
        <v>63.9</v>
      </c>
      <c r="M78" t="s">
        <v>23</v>
      </c>
      <c r="N78" t="s">
        <v>60</v>
      </c>
      <c r="O78">
        <v>348</v>
      </c>
    </row>
    <row r="79" spans="1:15" x14ac:dyDescent="0.3">
      <c r="A79" s="1">
        <v>44639</v>
      </c>
      <c r="B79" t="s">
        <v>30</v>
      </c>
      <c r="C79" t="s">
        <v>16</v>
      </c>
      <c r="D79" t="s">
        <v>21</v>
      </c>
      <c r="E79" t="s">
        <v>18</v>
      </c>
      <c r="F79">
        <v>2616</v>
      </c>
      <c r="G79">
        <v>2469</v>
      </c>
      <c r="H79">
        <v>25132.38</v>
      </c>
      <c r="I79">
        <v>21928.880000000001</v>
      </c>
      <c r="J79">
        <v>3203.49</v>
      </c>
      <c r="K79">
        <v>117</v>
      </c>
      <c r="L79">
        <v>30.5</v>
      </c>
      <c r="M79" t="s">
        <v>23</v>
      </c>
      <c r="N79" t="s">
        <v>60</v>
      </c>
      <c r="O79">
        <v>351</v>
      </c>
    </row>
    <row r="80" spans="1:15" x14ac:dyDescent="0.3">
      <c r="A80" s="1">
        <v>44640</v>
      </c>
      <c r="B80" t="s">
        <v>25</v>
      </c>
      <c r="C80" t="s">
        <v>26</v>
      </c>
      <c r="D80" t="s">
        <v>40</v>
      </c>
      <c r="E80" t="s">
        <v>36</v>
      </c>
      <c r="F80">
        <v>2363</v>
      </c>
      <c r="G80">
        <v>2237</v>
      </c>
      <c r="H80">
        <v>21990.76</v>
      </c>
      <c r="I80">
        <v>16996.36</v>
      </c>
      <c r="J80">
        <v>4994.3999999999996</v>
      </c>
      <c r="K80">
        <v>201</v>
      </c>
      <c r="L80">
        <v>16.2</v>
      </c>
      <c r="M80" t="s">
        <v>23</v>
      </c>
      <c r="N80" t="s">
        <v>49</v>
      </c>
      <c r="O80">
        <v>345</v>
      </c>
    </row>
    <row r="81" spans="1:15" x14ac:dyDescent="0.3">
      <c r="A81" s="1">
        <v>44641</v>
      </c>
      <c r="B81" t="s">
        <v>25</v>
      </c>
      <c r="C81" t="s">
        <v>26</v>
      </c>
      <c r="D81" t="s">
        <v>28</v>
      </c>
      <c r="E81" t="s">
        <v>36</v>
      </c>
      <c r="F81">
        <v>1930</v>
      </c>
      <c r="G81">
        <v>1930</v>
      </c>
      <c r="H81">
        <v>18062.59</v>
      </c>
      <c r="I81">
        <v>16174.19</v>
      </c>
      <c r="J81">
        <v>1888.4</v>
      </c>
      <c r="K81">
        <v>189</v>
      </c>
      <c r="L81">
        <v>26.8</v>
      </c>
      <c r="M81" t="s">
        <v>19</v>
      </c>
      <c r="N81" t="s">
        <v>39</v>
      </c>
      <c r="O81">
        <v>368</v>
      </c>
    </row>
    <row r="82" spans="1:15" x14ac:dyDescent="0.3">
      <c r="A82" s="1">
        <v>44642</v>
      </c>
      <c r="B82" t="s">
        <v>15</v>
      </c>
      <c r="C82" t="s">
        <v>31</v>
      </c>
      <c r="D82" t="s">
        <v>45</v>
      </c>
      <c r="E82" t="s">
        <v>36</v>
      </c>
      <c r="F82">
        <v>616</v>
      </c>
      <c r="G82">
        <v>463</v>
      </c>
      <c r="H82">
        <v>5556.92</v>
      </c>
      <c r="I82">
        <v>3997.93</v>
      </c>
      <c r="J82">
        <v>1558.99</v>
      </c>
      <c r="K82">
        <v>104</v>
      </c>
      <c r="L82">
        <v>87.7</v>
      </c>
      <c r="M82" t="s">
        <v>19</v>
      </c>
      <c r="N82" t="s">
        <v>42</v>
      </c>
      <c r="O82">
        <v>259</v>
      </c>
    </row>
    <row r="83" spans="1:15" x14ac:dyDescent="0.3">
      <c r="A83" s="1">
        <v>44643</v>
      </c>
      <c r="B83" t="s">
        <v>15</v>
      </c>
      <c r="C83" t="s">
        <v>31</v>
      </c>
      <c r="D83" t="s">
        <v>28</v>
      </c>
      <c r="E83" t="s">
        <v>18</v>
      </c>
      <c r="F83">
        <v>917</v>
      </c>
      <c r="G83">
        <v>827</v>
      </c>
      <c r="H83">
        <v>11103.81</v>
      </c>
      <c r="I83">
        <v>7410.48</v>
      </c>
      <c r="J83">
        <v>3693.33</v>
      </c>
      <c r="K83">
        <v>187</v>
      </c>
      <c r="L83">
        <v>92.1</v>
      </c>
      <c r="M83" t="s">
        <v>23</v>
      </c>
      <c r="N83" t="s">
        <v>56</v>
      </c>
      <c r="O83">
        <v>229</v>
      </c>
    </row>
    <row r="84" spans="1:15" x14ac:dyDescent="0.3">
      <c r="A84" s="1">
        <v>44644</v>
      </c>
      <c r="B84" t="s">
        <v>34</v>
      </c>
      <c r="C84" t="s">
        <v>16</v>
      </c>
      <c r="D84" t="s">
        <v>28</v>
      </c>
      <c r="E84" t="s">
        <v>22</v>
      </c>
      <c r="F84">
        <v>2703</v>
      </c>
      <c r="G84">
        <v>2590</v>
      </c>
      <c r="H84">
        <v>41342.74</v>
      </c>
      <c r="I84">
        <v>27013.79</v>
      </c>
      <c r="J84">
        <v>14328.95</v>
      </c>
      <c r="K84">
        <v>163</v>
      </c>
      <c r="L84">
        <v>51.3</v>
      </c>
      <c r="M84" t="s">
        <v>23</v>
      </c>
      <c r="N84" t="s">
        <v>61</v>
      </c>
      <c r="O84">
        <v>112</v>
      </c>
    </row>
    <row r="85" spans="1:15" x14ac:dyDescent="0.3">
      <c r="A85" s="1">
        <v>44645</v>
      </c>
      <c r="B85" t="s">
        <v>34</v>
      </c>
      <c r="C85" t="s">
        <v>16</v>
      </c>
      <c r="D85" t="s">
        <v>17</v>
      </c>
      <c r="E85" t="s">
        <v>36</v>
      </c>
      <c r="F85">
        <v>1883</v>
      </c>
      <c r="G85">
        <v>1835</v>
      </c>
      <c r="H85">
        <v>21277.1</v>
      </c>
      <c r="I85">
        <v>14744.63</v>
      </c>
      <c r="J85">
        <v>6532.47</v>
      </c>
      <c r="K85">
        <v>294</v>
      </c>
      <c r="L85">
        <v>48.4</v>
      </c>
      <c r="M85" t="s">
        <v>19</v>
      </c>
      <c r="N85" t="s">
        <v>55</v>
      </c>
      <c r="O85">
        <v>81</v>
      </c>
    </row>
    <row r="86" spans="1:15" x14ac:dyDescent="0.3">
      <c r="A86" s="1">
        <v>44646</v>
      </c>
      <c r="B86" t="s">
        <v>34</v>
      </c>
      <c r="C86" t="s">
        <v>26</v>
      </c>
      <c r="D86" t="s">
        <v>35</v>
      </c>
      <c r="E86" t="s">
        <v>18</v>
      </c>
      <c r="F86">
        <v>693</v>
      </c>
      <c r="G86">
        <v>581</v>
      </c>
      <c r="H86">
        <v>7442.12</v>
      </c>
      <c r="I86">
        <v>5714.75</v>
      </c>
      <c r="J86">
        <v>1727.37</v>
      </c>
      <c r="K86">
        <v>142</v>
      </c>
      <c r="L86">
        <v>19.3</v>
      </c>
      <c r="M86" t="s">
        <v>23</v>
      </c>
      <c r="N86" t="s">
        <v>33</v>
      </c>
      <c r="O86">
        <v>408</v>
      </c>
    </row>
    <row r="87" spans="1:15" x14ac:dyDescent="0.3">
      <c r="A87" s="1">
        <v>44647</v>
      </c>
      <c r="B87" t="s">
        <v>34</v>
      </c>
      <c r="C87" t="s">
        <v>26</v>
      </c>
      <c r="D87" t="s">
        <v>17</v>
      </c>
      <c r="E87" t="s">
        <v>18</v>
      </c>
      <c r="F87">
        <v>1299</v>
      </c>
      <c r="G87">
        <v>1290</v>
      </c>
      <c r="H87">
        <v>14511.13</v>
      </c>
      <c r="I87">
        <v>11510.22</v>
      </c>
      <c r="J87">
        <v>3000.9</v>
      </c>
      <c r="K87">
        <v>203</v>
      </c>
      <c r="L87">
        <v>82.1</v>
      </c>
      <c r="M87" t="s">
        <v>19</v>
      </c>
      <c r="N87" t="s">
        <v>52</v>
      </c>
      <c r="O87">
        <v>440</v>
      </c>
    </row>
    <row r="88" spans="1:15" x14ac:dyDescent="0.3">
      <c r="A88" s="1">
        <v>44648</v>
      </c>
      <c r="B88" t="s">
        <v>34</v>
      </c>
      <c r="C88" t="s">
        <v>38</v>
      </c>
      <c r="D88" t="s">
        <v>40</v>
      </c>
      <c r="E88" t="s">
        <v>18</v>
      </c>
      <c r="F88">
        <v>2990</v>
      </c>
      <c r="G88">
        <v>2919</v>
      </c>
      <c r="H88">
        <v>26998.720000000001</v>
      </c>
      <c r="I88">
        <v>22678.240000000002</v>
      </c>
      <c r="J88">
        <v>4320.47</v>
      </c>
      <c r="K88">
        <v>146</v>
      </c>
      <c r="L88">
        <v>89.9</v>
      </c>
      <c r="M88" t="s">
        <v>23</v>
      </c>
      <c r="N88" t="s">
        <v>50</v>
      </c>
      <c r="O88">
        <v>467</v>
      </c>
    </row>
    <row r="89" spans="1:15" x14ac:dyDescent="0.3">
      <c r="A89" s="1">
        <v>44649</v>
      </c>
      <c r="B89" t="s">
        <v>34</v>
      </c>
      <c r="C89" t="s">
        <v>38</v>
      </c>
      <c r="D89" t="s">
        <v>28</v>
      </c>
      <c r="E89" t="s">
        <v>18</v>
      </c>
      <c r="F89">
        <v>2643</v>
      </c>
      <c r="G89">
        <v>2556</v>
      </c>
      <c r="H89">
        <v>42601.37</v>
      </c>
      <c r="I89">
        <v>36496.980000000003</v>
      </c>
      <c r="J89">
        <v>6104.4</v>
      </c>
      <c r="K89">
        <v>223</v>
      </c>
      <c r="L89">
        <v>45.7</v>
      </c>
      <c r="M89" t="s">
        <v>23</v>
      </c>
      <c r="N89" t="s">
        <v>51</v>
      </c>
      <c r="O89">
        <v>447</v>
      </c>
    </row>
    <row r="90" spans="1:15" x14ac:dyDescent="0.3">
      <c r="A90" s="1">
        <v>44650</v>
      </c>
      <c r="B90" t="s">
        <v>25</v>
      </c>
      <c r="C90" t="s">
        <v>31</v>
      </c>
      <c r="D90" t="s">
        <v>35</v>
      </c>
      <c r="E90" t="s">
        <v>36</v>
      </c>
      <c r="F90">
        <v>1414</v>
      </c>
      <c r="G90">
        <v>1379</v>
      </c>
      <c r="H90">
        <v>21671.13</v>
      </c>
      <c r="I90">
        <v>17579.27</v>
      </c>
      <c r="J90">
        <v>4091.86</v>
      </c>
      <c r="K90">
        <v>208</v>
      </c>
      <c r="L90">
        <v>83.6</v>
      </c>
      <c r="M90" t="s">
        <v>23</v>
      </c>
      <c r="N90" t="s">
        <v>62</v>
      </c>
      <c r="O90">
        <v>435</v>
      </c>
    </row>
    <row r="91" spans="1:15" x14ac:dyDescent="0.3">
      <c r="A91" s="1">
        <v>44651</v>
      </c>
      <c r="B91" t="s">
        <v>25</v>
      </c>
      <c r="C91" t="s">
        <v>31</v>
      </c>
      <c r="D91" t="s">
        <v>17</v>
      </c>
      <c r="E91" t="s">
        <v>18</v>
      </c>
      <c r="F91">
        <v>970</v>
      </c>
      <c r="G91">
        <v>852</v>
      </c>
      <c r="H91">
        <v>9556.68</v>
      </c>
      <c r="I91">
        <v>7523.45</v>
      </c>
      <c r="J91">
        <v>2033.24</v>
      </c>
      <c r="K91">
        <v>245</v>
      </c>
      <c r="L91">
        <v>79.599999999999994</v>
      </c>
      <c r="M91" t="s">
        <v>23</v>
      </c>
      <c r="N91" t="s">
        <v>51</v>
      </c>
      <c r="O91">
        <v>477</v>
      </c>
    </row>
    <row r="92" spans="1:15" x14ac:dyDescent="0.3">
      <c r="A92" s="1">
        <v>44652</v>
      </c>
      <c r="B92" t="s">
        <v>30</v>
      </c>
      <c r="C92" t="s">
        <v>31</v>
      </c>
      <c r="D92" t="s">
        <v>35</v>
      </c>
      <c r="E92" t="s">
        <v>18</v>
      </c>
      <c r="F92">
        <v>627</v>
      </c>
      <c r="G92">
        <v>514</v>
      </c>
      <c r="H92">
        <v>4250.59</v>
      </c>
      <c r="I92">
        <v>2892.97</v>
      </c>
      <c r="J92">
        <v>1357.63</v>
      </c>
      <c r="K92">
        <v>119</v>
      </c>
      <c r="L92">
        <v>72.900000000000006</v>
      </c>
      <c r="M92" t="s">
        <v>23</v>
      </c>
      <c r="N92" t="s">
        <v>27</v>
      </c>
      <c r="O92">
        <v>295</v>
      </c>
    </row>
    <row r="93" spans="1:15" x14ac:dyDescent="0.3">
      <c r="A93" s="1">
        <v>44653</v>
      </c>
      <c r="B93" t="s">
        <v>30</v>
      </c>
      <c r="C93" t="s">
        <v>31</v>
      </c>
      <c r="D93" t="s">
        <v>17</v>
      </c>
      <c r="E93" t="s">
        <v>22</v>
      </c>
      <c r="F93">
        <v>2551</v>
      </c>
      <c r="G93">
        <v>2398</v>
      </c>
      <c r="H93">
        <v>34311.26</v>
      </c>
      <c r="I93">
        <v>22353.919999999998</v>
      </c>
      <c r="J93">
        <v>11957.34</v>
      </c>
      <c r="K93">
        <v>294</v>
      </c>
      <c r="L93">
        <v>71.5</v>
      </c>
      <c r="M93" t="s">
        <v>19</v>
      </c>
      <c r="N93" t="s">
        <v>51</v>
      </c>
      <c r="O93">
        <v>91</v>
      </c>
    </row>
    <row r="94" spans="1:15" x14ac:dyDescent="0.3">
      <c r="A94" s="1">
        <v>44654</v>
      </c>
      <c r="B94" t="s">
        <v>30</v>
      </c>
      <c r="C94" t="s">
        <v>26</v>
      </c>
      <c r="D94" t="s">
        <v>40</v>
      </c>
      <c r="E94" t="s">
        <v>22</v>
      </c>
      <c r="F94">
        <v>1901</v>
      </c>
      <c r="G94">
        <v>1826</v>
      </c>
      <c r="H94">
        <v>19131.099999999999</v>
      </c>
      <c r="I94">
        <v>11541.77</v>
      </c>
      <c r="J94">
        <v>7589.33</v>
      </c>
      <c r="K94">
        <v>292</v>
      </c>
      <c r="L94">
        <v>33.700000000000003</v>
      </c>
      <c r="M94" t="s">
        <v>23</v>
      </c>
      <c r="N94" t="s">
        <v>37</v>
      </c>
      <c r="O94">
        <v>217</v>
      </c>
    </row>
    <row r="95" spans="1:15" x14ac:dyDescent="0.3">
      <c r="A95" s="1">
        <v>44655</v>
      </c>
      <c r="B95" t="s">
        <v>30</v>
      </c>
      <c r="C95" t="s">
        <v>26</v>
      </c>
      <c r="D95" t="s">
        <v>45</v>
      </c>
      <c r="E95" t="s">
        <v>22</v>
      </c>
      <c r="F95">
        <v>2815</v>
      </c>
      <c r="G95">
        <v>2763</v>
      </c>
      <c r="H95">
        <v>27918.61</v>
      </c>
      <c r="I95">
        <v>24409.9</v>
      </c>
      <c r="J95">
        <v>3508.71</v>
      </c>
      <c r="K95">
        <v>233</v>
      </c>
      <c r="L95">
        <v>46.4</v>
      </c>
      <c r="M95" t="s">
        <v>19</v>
      </c>
      <c r="N95" t="s">
        <v>49</v>
      </c>
      <c r="O95">
        <v>113</v>
      </c>
    </row>
    <row r="96" spans="1:15" x14ac:dyDescent="0.3">
      <c r="A96" s="1">
        <v>44656</v>
      </c>
      <c r="B96" t="s">
        <v>25</v>
      </c>
      <c r="C96" t="s">
        <v>16</v>
      </c>
      <c r="D96" t="s">
        <v>28</v>
      </c>
      <c r="E96" t="s">
        <v>18</v>
      </c>
      <c r="F96">
        <v>1293</v>
      </c>
      <c r="G96">
        <v>1265</v>
      </c>
      <c r="H96">
        <v>16029.51</v>
      </c>
      <c r="I96">
        <v>11005.99</v>
      </c>
      <c r="J96">
        <v>5023.5200000000004</v>
      </c>
      <c r="K96">
        <v>243</v>
      </c>
      <c r="L96">
        <v>74.7</v>
      </c>
      <c r="M96" t="s">
        <v>23</v>
      </c>
      <c r="N96" t="s">
        <v>63</v>
      </c>
      <c r="O96">
        <v>359</v>
      </c>
    </row>
    <row r="97" spans="1:15" x14ac:dyDescent="0.3">
      <c r="A97" s="1">
        <v>44657</v>
      </c>
      <c r="B97" t="s">
        <v>25</v>
      </c>
      <c r="C97" t="s">
        <v>16</v>
      </c>
      <c r="D97" t="s">
        <v>35</v>
      </c>
      <c r="E97" t="s">
        <v>22</v>
      </c>
      <c r="F97">
        <v>554</v>
      </c>
      <c r="G97">
        <v>444</v>
      </c>
      <c r="H97">
        <v>8635.3799999999992</v>
      </c>
      <c r="I97">
        <v>5530.96</v>
      </c>
      <c r="J97">
        <v>3104.41</v>
      </c>
      <c r="K97">
        <v>135</v>
      </c>
      <c r="L97">
        <v>29.3</v>
      </c>
      <c r="M97" t="s">
        <v>23</v>
      </c>
      <c r="N97" t="s">
        <v>43</v>
      </c>
      <c r="O97">
        <v>276</v>
      </c>
    </row>
    <row r="98" spans="1:15" x14ac:dyDescent="0.3">
      <c r="A98" s="1">
        <v>44658</v>
      </c>
      <c r="B98" t="s">
        <v>15</v>
      </c>
      <c r="C98" t="s">
        <v>16</v>
      </c>
      <c r="D98" t="s">
        <v>35</v>
      </c>
      <c r="E98" t="s">
        <v>22</v>
      </c>
      <c r="F98">
        <v>2024</v>
      </c>
      <c r="G98">
        <v>1952</v>
      </c>
      <c r="H98">
        <v>17376.03</v>
      </c>
      <c r="I98">
        <v>14221.52</v>
      </c>
      <c r="J98">
        <v>3154.5</v>
      </c>
      <c r="K98">
        <v>296</v>
      </c>
      <c r="L98">
        <v>73.400000000000006</v>
      </c>
      <c r="M98" t="s">
        <v>23</v>
      </c>
      <c r="N98" t="s">
        <v>56</v>
      </c>
      <c r="O98">
        <v>88</v>
      </c>
    </row>
    <row r="99" spans="1:15" x14ac:dyDescent="0.3">
      <c r="A99" s="1">
        <v>44659</v>
      </c>
      <c r="B99" t="s">
        <v>15</v>
      </c>
      <c r="C99" t="s">
        <v>16</v>
      </c>
      <c r="D99" t="s">
        <v>17</v>
      </c>
      <c r="E99" t="s">
        <v>18</v>
      </c>
      <c r="F99">
        <v>630</v>
      </c>
      <c r="G99">
        <v>523</v>
      </c>
      <c r="H99">
        <v>8543.92</v>
      </c>
      <c r="I99">
        <v>5823.9</v>
      </c>
      <c r="J99">
        <v>2720.01</v>
      </c>
      <c r="K99">
        <v>177</v>
      </c>
      <c r="L99">
        <v>19.3</v>
      </c>
      <c r="M99" t="s">
        <v>23</v>
      </c>
      <c r="N99" t="s">
        <v>37</v>
      </c>
      <c r="O99">
        <v>354</v>
      </c>
    </row>
    <row r="100" spans="1:15" x14ac:dyDescent="0.3">
      <c r="A100" s="1">
        <v>44660</v>
      </c>
      <c r="B100" t="s">
        <v>34</v>
      </c>
      <c r="C100" t="s">
        <v>31</v>
      </c>
      <c r="D100" t="s">
        <v>40</v>
      </c>
      <c r="E100" t="s">
        <v>18</v>
      </c>
      <c r="F100">
        <v>511</v>
      </c>
      <c r="G100">
        <v>450</v>
      </c>
      <c r="H100">
        <v>8774.1200000000008</v>
      </c>
      <c r="I100">
        <v>7260.74</v>
      </c>
      <c r="J100">
        <v>1513.38</v>
      </c>
      <c r="K100">
        <v>228</v>
      </c>
      <c r="L100">
        <v>78.3</v>
      </c>
      <c r="M100" t="s">
        <v>19</v>
      </c>
      <c r="N100" t="s">
        <v>48</v>
      </c>
      <c r="O100">
        <v>247</v>
      </c>
    </row>
    <row r="101" spans="1:15" x14ac:dyDescent="0.3">
      <c r="A101" s="1">
        <v>44661</v>
      </c>
      <c r="B101" t="s">
        <v>34</v>
      </c>
      <c r="C101" t="s">
        <v>31</v>
      </c>
      <c r="D101" t="s">
        <v>17</v>
      </c>
      <c r="E101" t="s">
        <v>36</v>
      </c>
      <c r="F101">
        <v>1612</v>
      </c>
      <c r="G101">
        <v>1601</v>
      </c>
      <c r="H101">
        <v>17057.88</v>
      </c>
      <c r="I101">
        <v>15288.98</v>
      </c>
      <c r="J101">
        <v>1768.89</v>
      </c>
      <c r="K101">
        <v>188</v>
      </c>
      <c r="L101">
        <v>70.3</v>
      </c>
      <c r="M101" t="s">
        <v>23</v>
      </c>
      <c r="N101" t="s">
        <v>48</v>
      </c>
      <c r="O101">
        <v>248</v>
      </c>
    </row>
    <row r="102" spans="1:15" x14ac:dyDescent="0.3">
      <c r="A102" s="1">
        <v>44662</v>
      </c>
      <c r="B102" t="s">
        <v>44</v>
      </c>
      <c r="C102" t="s">
        <v>38</v>
      </c>
      <c r="D102" t="s">
        <v>45</v>
      </c>
      <c r="E102" t="s">
        <v>22</v>
      </c>
      <c r="F102">
        <v>834</v>
      </c>
      <c r="G102">
        <v>718</v>
      </c>
      <c r="H102">
        <v>12042.5</v>
      </c>
      <c r="I102">
        <v>7921.31</v>
      </c>
      <c r="J102">
        <v>4121.1899999999996</v>
      </c>
      <c r="K102">
        <v>151</v>
      </c>
      <c r="L102">
        <v>97.4</v>
      </c>
      <c r="M102" t="s">
        <v>19</v>
      </c>
      <c r="N102" t="s">
        <v>52</v>
      </c>
      <c r="O102">
        <v>272</v>
      </c>
    </row>
    <row r="103" spans="1:15" x14ac:dyDescent="0.3">
      <c r="A103" s="1">
        <v>44663</v>
      </c>
      <c r="B103" t="s">
        <v>44</v>
      </c>
      <c r="C103" t="s">
        <v>38</v>
      </c>
      <c r="D103" t="s">
        <v>21</v>
      </c>
      <c r="E103" t="s">
        <v>22</v>
      </c>
      <c r="F103">
        <v>2919</v>
      </c>
      <c r="G103">
        <v>2753</v>
      </c>
      <c r="H103">
        <v>37060.129999999997</v>
      </c>
      <c r="I103">
        <v>28044.52</v>
      </c>
      <c r="J103">
        <v>9015.6</v>
      </c>
      <c r="K103">
        <v>182</v>
      </c>
      <c r="L103">
        <v>13.3</v>
      </c>
      <c r="M103" t="s">
        <v>23</v>
      </c>
      <c r="N103" t="s">
        <v>63</v>
      </c>
      <c r="O103">
        <v>157</v>
      </c>
    </row>
    <row r="104" spans="1:15" x14ac:dyDescent="0.3">
      <c r="A104" s="1">
        <v>44664</v>
      </c>
      <c r="B104" t="s">
        <v>15</v>
      </c>
      <c r="C104" t="s">
        <v>38</v>
      </c>
      <c r="D104" t="s">
        <v>35</v>
      </c>
      <c r="E104" t="s">
        <v>18</v>
      </c>
      <c r="F104">
        <v>863</v>
      </c>
      <c r="G104">
        <v>825</v>
      </c>
      <c r="H104">
        <v>9721.3700000000008</v>
      </c>
      <c r="I104">
        <v>7406.2</v>
      </c>
      <c r="J104">
        <v>2315.17</v>
      </c>
      <c r="K104">
        <v>172</v>
      </c>
      <c r="L104">
        <v>69.5</v>
      </c>
      <c r="M104" t="s">
        <v>19</v>
      </c>
      <c r="N104" t="s">
        <v>39</v>
      </c>
      <c r="O104">
        <v>65</v>
      </c>
    </row>
    <row r="105" spans="1:15" x14ac:dyDescent="0.3">
      <c r="A105" s="1">
        <v>44665</v>
      </c>
      <c r="B105" t="s">
        <v>15</v>
      </c>
      <c r="C105" t="s">
        <v>38</v>
      </c>
      <c r="D105" t="s">
        <v>21</v>
      </c>
      <c r="E105" t="s">
        <v>36</v>
      </c>
      <c r="F105">
        <v>1949</v>
      </c>
      <c r="G105">
        <v>1842</v>
      </c>
      <c r="H105">
        <v>19885.34</v>
      </c>
      <c r="I105">
        <v>12076.77</v>
      </c>
      <c r="J105">
        <v>7808.57</v>
      </c>
      <c r="K105">
        <v>249</v>
      </c>
      <c r="L105">
        <v>99.1</v>
      </c>
      <c r="M105" t="s">
        <v>23</v>
      </c>
      <c r="N105" t="s">
        <v>53</v>
      </c>
      <c r="O105">
        <v>190</v>
      </c>
    </row>
    <row r="106" spans="1:15" x14ac:dyDescent="0.3">
      <c r="A106" s="1">
        <v>44666</v>
      </c>
      <c r="B106" t="s">
        <v>25</v>
      </c>
      <c r="C106" t="s">
        <v>16</v>
      </c>
      <c r="D106" t="s">
        <v>21</v>
      </c>
      <c r="E106" t="s">
        <v>36</v>
      </c>
      <c r="F106">
        <v>1457</v>
      </c>
      <c r="G106">
        <v>1396</v>
      </c>
      <c r="H106">
        <v>19206.88</v>
      </c>
      <c r="I106">
        <v>15139.85</v>
      </c>
      <c r="J106">
        <v>4067.02</v>
      </c>
      <c r="K106">
        <v>263</v>
      </c>
      <c r="L106">
        <v>34.5</v>
      </c>
      <c r="M106" t="s">
        <v>23</v>
      </c>
      <c r="N106" t="s">
        <v>55</v>
      </c>
      <c r="O106">
        <v>458</v>
      </c>
    </row>
    <row r="107" spans="1:15" x14ac:dyDescent="0.3">
      <c r="A107" s="1">
        <v>44667</v>
      </c>
      <c r="B107" t="s">
        <v>25</v>
      </c>
      <c r="C107" t="s">
        <v>16</v>
      </c>
      <c r="D107" t="s">
        <v>17</v>
      </c>
      <c r="E107" t="s">
        <v>18</v>
      </c>
      <c r="F107">
        <v>839</v>
      </c>
      <c r="G107">
        <v>707</v>
      </c>
      <c r="H107">
        <v>11868.59</v>
      </c>
      <c r="I107">
        <v>7133.07</v>
      </c>
      <c r="J107">
        <v>4735.5200000000004</v>
      </c>
      <c r="K107">
        <v>252</v>
      </c>
      <c r="L107">
        <v>41.9</v>
      </c>
      <c r="M107" t="s">
        <v>23</v>
      </c>
      <c r="N107" t="s">
        <v>47</v>
      </c>
      <c r="O107">
        <v>195</v>
      </c>
    </row>
    <row r="108" spans="1:15" x14ac:dyDescent="0.3">
      <c r="A108" s="1">
        <v>44668</v>
      </c>
      <c r="B108" t="s">
        <v>34</v>
      </c>
      <c r="C108" t="s">
        <v>31</v>
      </c>
      <c r="D108" t="s">
        <v>45</v>
      </c>
      <c r="E108" t="s">
        <v>36</v>
      </c>
      <c r="F108">
        <v>898</v>
      </c>
      <c r="G108">
        <v>850</v>
      </c>
      <c r="H108">
        <v>10794.63</v>
      </c>
      <c r="I108">
        <v>6879.75</v>
      </c>
      <c r="J108">
        <v>3914.87</v>
      </c>
      <c r="K108">
        <v>266</v>
      </c>
      <c r="L108">
        <v>95.5</v>
      </c>
      <c r="M108" t="s">
        <v>19</v>
      </c>
      <c r="N108" t="s">
        <v>54</v>
      </c>
      <c r="O108">
        <v>429</v>
      </c>
    </row>
    <row r="109" spans="1:15" x14ac:dyDescent="0.3">
      <c r="A109" s="1">
        <v>44669</v>
      </c>
      <c r="B109" t="s">
        <v>34</v>
      </c>
      <c r="C109" t="s">
        <v>31</v>
      </c>
      <c r="D109" t="s">
        <v>17</v>
      </c>
      <c r="E109" t="s">
        <v>22</v>
      </c>
      <c r="F109">
        <v>1306</v>
      </c>
      <c r="G109">
        <v>1123</v>
      </c>
      <c r="H109">
        <v>20899.47</v>
      </c>
      <c r="I109">
        <v>16306.59</v>
      </c>
      <c r="J109">
        <v>4592.88</v>
      </c>
      <c r="K109">
        <v>141</v>
      </c>
      <c r="L109">
        <v>65.2</v>
      </c>
      <c r="M109" t="s">
        <v>23</v>
      </c>
      <c r="N109" t="s">
        <v>43</v>
      </c>
      <c r="O109">
        <v>309</v>
      </c>
    </row>
    <row r="110" spans="1:15" x14ac:dyDescent="0.3">
      <c r="A110" s="1">
        <v>44670</v>
      </c>
      <c r="B110" t="s">
        <v>34</v>
      </c>
      <c r="C110" t="s">
        <v>16</v>
      </c>
      <c r="D110" t="s">
        <v>35</v>
      </c>
      <c r="E110" t="s">
        <v>22</v>
      </c>
      <c r="F110">
        <v>1324</v>
      </c>
      <c r="G110">
        <v>1156</v>
      </c>
      <c r="H110">
        <v>11834.27</v>
      </c>
      <c r="I110">
        <v>9868.31</v>
      </c>
      <c r="J110">
        <v>1965.96</v>
      </c>
      <c r="K110">
        <v>85</v>
      </c>
      <c r="L110">
        <v>82.1</v>
      </c>
      <c r="M110" t="s">
        <v>23</v>
      </c>
      <c r="N110" t="s">
        <v>33</v>
      </c>
      <c r="O110">
        <v>226</v>
      </c>
    </row>
    <row r="111" spans="1:15" x14ac:dyDescent="0.3">
      <c r="A111" s="1">
        <v>44671</v>
      </c>
      <c r="B111" t="s">
        <v>34</v>
      </c>
      <c r="C111" t="s">
        <v>16</v>
      </c>
      <c r="D111" t="s">
        <v>21</v>
      </c>
      <c r="E111" t="s">
        <v>36</v>
      </c>
      <c r="F111">
        <v>1543</v>
      </c>
      <c r="G111">
        <v>1422</v>
      </c>
      <c r="H111">
        <v>20335.14</v>
      </c>
      <c r="I111">
        <v>13788.65</v>
      </c>
      <c r="J111">
        <v>6546.49</v>
      </c>
      <c r="K111">
        <v>242</v>
      </c>
      <c r="L111">
        <v>78.2</v>
      </c>
      <c r="M111" t="s">
        <v>23</v>
      </c>
      <c r="N111" t="s">
        <v>64</v>
      </c>
      <c r="O111">
        <v>52</v>
      </c>
    </row>
    <row r="112" spans="1:15" x14ac:dyDescent="0.3">
      <c r="A112" s="1">
        <v>44672</v>
      </c>
      <c r="B112" t="s">
        <v>15</v>
      </c>
      <c r="C112" t="s">
        <v>26</v>
      </c>
      <c r="D112" t="s">
        <v>28</v>
      </c>
      <c r="E112" t="s">
        <v>36</v>
      </c>
      <c r="F112">
        <v>2876</v>
      </c>
      <c r="G112">
        <v>2809</v>
      </c>
      <c r="H112">
        <v>42025.55</v>
      </c>
      <c r="I112">
        <v>26368.76</v>
      </c>
      <c r="J112">
        <v>15656.78</v>
      </c>
      <c r="K112">
        <v>184</v>
      </c>
      <c r="L112">
        <v>45.2</v>
      </c>
      <c r="M112" t="s">
        <v>23</v>
      </c>
      <c r="N112" t="s">
        <v>32</v>
      </c>
      <c r="O112">
        <v>186</v>
      </c>
    </row>
    <row r="113" spans="1:15" x14ac:dyDescent="0.3">
      <c r="A113" s="1">
        <v>44673</v>
      </c>
      <c r="B113" t="s">
        <v>15</v>
      </c>
      <c r="C113" t="s">
        <v>26</v>
      </c>
      <c r="D113" t="s">
        <v>45</v>
      </c>
      <c r="E113" t="s">
        <v>18</v>
      </c>
      <c r="F113">
        <v>1420</v>
      </c>
      <c r="G113">
        <v>1345</v>
      </c>
      <c r="H113">
        <v>11331.72</v>
      </c>
      <c r="I113">
        <v>7917.65</v>
      </c>
      <c r="J113">
        <v>3414.07</v>
      </c>
      <c r="K113">
        <v>104</v>
      </c>
      <c r="L113">
        <v>59.6</v>
      </c>
      <c r="M113" t="s">
        <v>23</v>
      </c>
      <c r="N113" t="s">
        <v>64</v>
      </c>
      <c r="O113">
        <v>173</v>
      </c>
    </row>
    <row r="114" spans="1:15" x14ac:dyDescent="0.3">
      <c r="A114" s="1">
        <v>44674</v>
      </c>
      <c r="B114" t="s">
        <v>15</v>
      </c>
      <c r="C114" t="s">
        <v>31</v>
      </c>
      <c r="D114" t="s">
        <v>45</v>
      </c>
      <c r="E114" t="s">
        <v>36</v>
      </c>
      <c r="F114">
        <v>1295</v>
      </c>
      <c r="G114">
        <v>1099</v>
      </c>
      <c r="H114">
        <v>21867.58</v>
      </c>
      <c r="I114">
        <v>13524.11</v>
      </c>
      <c r="J114">
        <v>8343.4599999999991</v>
      </c>
      <c r="K114">
        <v>124</v>
      </c>
      <c r="L114">
        <v>53.3</v>
      </c>
      <c r="M114" t="s">
        <v>23</v>
      </c>
      <c r="N114" t="s">
        <v>60</v>
      </c>
      <c r="O114">
        <v>372</v>
      </c>
    </row>
    <row r="115" spans="1:15" x14ac:dyDescent="0.3">
      <c r="A115" s="1">
        <v>44675</v>
      </c>
      <c r="B115" t="s">
        <v>15</v>
      </c>
      <c r="C115" t="s">
        <v>31</v>
      </c>
      <c r="D115" t="s">
        <v>21</v>
      </c>
      <c r="E115" t="s">
        <v>22</v>
      </c>
      <c r="F115">
        <v>2587</v>
      </c>
      <c r="G115">
        <v>2497</v>
      </c>
      <c r="H115">
        <v>45879.66</v>
      </c>
      <c r="I115">
        <v>37629.26</v>
      </c>
      <c r="J115">
        <v>8250.4</v>
      </c>
      <c r="K115">
        <v>295</v>
      </c>
      <c r="L115">
        <v>81.8</v>
      </c>
      <c r="M115" t="s">
        <v>23</v>
      </c>
      <c r="N115" t="s">
        <v>39</v>
      </c>
      <c r="O115">
        <v>108</v>
      </c>
    </row>
    <row r="116" spans="1:15" x14ac:dyDescent="0.3">
      <c r="A116" s="1">
        <v>44676</v>
      </c>
      <c r="B116" t="s">
        <v>15</v>
      </c>
      <c r="C116" t="s">
        <v>16</v>
      </c>
      <c r="D116" t="s">
        <v>17</v>
      </c>
      <c r="E116" t="s">
        <v>18</v>
      </c>
      <c r="F116">
        <v>2969</v>
      </c>
      <c r="G116">
        <v>2782</v>
      </c>
      <c r="H116">
        <v>27550.87</v>
      </c>
      <c r="I116">
        <v>23811.15</v>
      </c>
      <c r="J116">
        <v>3739.72</v>
      </c>
      <c r="K116">
        <v>137</v>
      </c>
      <c r="L116">
        <v>51.9</v>
      </c>
      <c r="M116" t="s">
        <v>19</v>
      </c>
      <c r="N116" t="s">
        <v>62</v>
      </c>
      <c r="O116">
        <v>443</v>
      </c>
    </row>
    <row r="117" spans="1:15" x14ac:dyDescent="0.3">
      <c r="A117" s="1">
        <v>44677</v>
      </c>
      <c r="B117" t="s">
        <v>15</v>
      </c>
      <c r="C117" t="s">
        <v>16</v>
      </c>
      <c r="D117" t="s">
        <v>45</v>
      </c>
      <c r="E117" t="s">
        <v>18</v>
      </c>
      <c r="F117">
        <v>2074</v>
      </c>
      <c r="G117">
        <v>1916</v>
      </c>
      <c r="H117">
        <v>15353.75</v>
      </c>
      <c r="I117">
        <v>11774.1</v>
      </c>
      <c r="J117">
        <v>3579.66</v>
      </c>
      <c r="K117">
        <v>156</v>
      </c>
      <c r="L117">
        <v>55.7</v>
      </c>
      <c r="M117" t="s">
        <v>23</v>
      </c>
      <c r="N117" t="s">
        <v>53</v>
      </c>
      <c r="O117">
        <v>95</v>
      </c>
    </row>
    <row r="118" spans="1:15" x14ac:dyDescent="0.3">
      <c r="A118" s="1">
        <v>44678</v>
      </c>
      <c r="B118" t="s">
        <v>15</v>
      </c>
      <c r="C118" t="s">
        <v>26</v>
      </c>
      <c r="D118" t="s">
        <v>17</v>
      </c>
      <c r="E118" t="s">
        <v>36</v>
      </c>
      <c r="F118">
        <v>1174</v>
      </c>
      <c r="G118">
        <v>1105</v>
      </c>
      <c r="H118">
        <v>12597.13</v>
      </c>
      <c r="I118">
        <v>7627.92</v>
      </c>
      <c r="J118">
        <v>4969.21</v>
      </c>
      <c r="K118">
        <v>142</v>
      </c>
      <c r="L118">
        <v>45.3</v>
      </c>
      <c r="M118" t="s">
        <v>23</v>
      </c>
      <c r="N118" t="s">
        <v>46</v>
      </c>
      <c r="O118">
        <v>327</v>
      </c>
    </row>
    <row r="119" spans="1:15" x14ac:dyDescent="0.3">
      <c r="A119" s="1">
        <v>44679</v>
      </c>
      <c r="B119" t="s">
        <v>15</v>
      </c>
      <c r="C119" t="s">
        <v>26</v>
      </c>
      <c r="D119" t="s">
        <v>28</v>
      </c>
      <c r="E119" t="s">
        <v>22</v>
      </c>
      <c r="F119">
        <v>1230</v>
      </c>
      <c r="G119">
        <v>1039</v>
      </c>
      <c r="H119">
        <v>17141.490000000002</v>
      </c>
      <c r="I119">
        <v>10631.24</v>
      </c>
      <c r="J119">
        <v>6510.25</v>
      </c>
      <c r="K119">
        <v>217</v>
      </c>
      <c r="L119">
        <v>52.6</v>
      </c>
      <c r="M119" t="s">
        <v>23</v>
      </c>
      <c r="N119" t="s">
        <v>64</v>
      </c>
      <c r="O119">
        <v>259</v>
      </c>
    </row>
    <row r="120" spans="1:15" x14ac:dyDescent="0.3">
      <c r="A120" s="1">
        <v>44680</v>
      </c>
      <c r="B120" t="s">
        <v>25</v>
      </c>
      <c r="C120" t="s">
        <v>31</v>
      </c>
      <c r="D120" t="s">
        <v>28</v>
      </c>
      <c r="E120" t="s">
        <v>36</v>
      </c>
      <c r="F120">
        <v>1530</v>
      </c>
      <c r="G120">
        <v>1502</v>
      </c>
      <c r="H120">
        <v>12414.75</v>
      </c>
      <c r="I120">
        <v>8654.1200000000008</v>
      </c>
      <c r="J120">
        <v>3760.64</v>
      </c>
      <c r="K120">
        <v>158</v>
      </c>
      <c r="L120">
        <v>83.7</v>
      </c>
      <c r="M120" t="s">
        <v>23</v>
      </c>
      <c r="N120" t="s">
        <v>33</v>
      </c>
      <c r="O120">
        <v>75</v>
      </c>
    </row>
    <row r="121" spans="1:15" x14ac:dyDescent="0.3">
      <c r="A121" s="1">
        <v>44681</v>
      </c>
      <c r="B121" t="s">
        <v>25</v>
      </c>
      <c r="C121" t="s">
        <v>31</v>
      </c>
      <c r="D121" t="s">
        <v>21</v>
      </c>
      <c r="E121" t="s">
        <v>22</v>
      </c>
      <c r="F121">
        <v>1953</v>
      </c>
      <c r="G121">
        <v>1925</v>
      </c>
      <c r="H121">
        <v>37213.410000000003</v>
      </c>
      <c r="I121">
        <v>23468.94</v>
      </c>
      <c r="J121">
        <v>13744.47</v>
      </c>
      <c r="K121">
        <v>118</v>
      </c>
      <c r="L121">
        <v>57.4</v>
      </c>
      <c r="M121" t="s">
        <v>19</v>
      </c>
      <c r="N121" t="s">
        <v>54</v>
      </c>
      <c r="O121">
        <v>421</v>
      </c>
    </row>
    <row r="122" spans="1:15" x14ac:dyDescent="0.3">
      <c r="A122" s="1">
        <v>44682</v>
      </c>
      <c r="B122" t="s">
        <v>30</v>
      </c>
      <c r="C122" t="s">
        <v>38</v>
      </c>
      <c r="D122" t="s">
        <v>28</v>
      </c>
      <c r="E122" t="s">
        <v>22</v>
      </c>
      <c r="F122">
        <v>1488</v>
      </c>
      <c r="G122">
        <v>1468</v>
      </c>
      <c r="H122">
        <v>27766.18</v>
      </c>
      <c r="I122">
        <v>23801.4</v>
      </c>
      <c r="J122">
        <v>3964.79</v>
      </c>
      <c r="K122">
        <v>163</v>
      </c>
      <c r="L122">
        <v>45.8</v>
      </c>
      <c r="M122" t="s">
        <v>23</v>
      </c>
      <c r="N122" t="s">
        <v>63</v>
      </c>
      <c r="O122">
        <v>306</v>
      </c>
    </row>
    <row r="123" spans="1:15" x14ac:dyDescent="0.3">
      <c r="A123" s="1">
        <v>44683</v>
      </c>
      <c r="B123" t="s">
        <v>30</v>
      </c>
      <c r="C123" t="s">
        <v>38</v>
      </c>
      <c r="D123" t="s">
        <v>21</v>
      </c>
      <c r="E123" t="s">
        <v>22</v>
      </c>
      <c r="F123">
        <v>1433</v>
      </c>
      <c r="G123">
        <v>1419</v>
      </c>
      <c r="H123">
        <v>24052.11</v>
      </c>
      <c r="I123">
        <v>15876.99</v>
      </c>
      <c r="J123">
        <v>8175.13</v>
      </c>
      <c r="K123">
        <v>104</v>
      </c>
      <c r="L123">
        <v>74.3</v>
      </c>
      <c r="M123" t="s">
        <v>23</v>
      </c>
      <c r="N123" t="s">
        <v>20</v>
      </c>
      <c r="O123">
        <v>257</v>
      </c>
    </row>
    <row r="124" spans="1:15" x14ac:dyDescent="0.3">
      <c r="A124" s="1">
        <v>44684</v>
      </c>
      <c r="B124" t="s">
        <v>15</v>
      </c>
      <c r="C124" t="s">
        <v>31</v>
      </c>
      <c r="D124" t="s">
        <v>28</v>
      </c>
      <c r="E124" t="s">
        <v>18</v>
      </c>
      <c r="F124">
        <v>1550</v>
      </c>
      <c r="G124">
        <v>1377</v>
      </c>
      <c r="H124">
        <v>19779.580000000002</v>
      </c>
      <c r="I124">
        <v>11973.74</v>
      </c>
      <c r="J124">
        <v>7805.84</v>
      </c>
      <c r="K124">
        <v>172</v>
      </c>
      <c r="L124">
        <v>21.8</v>
      </c>
      <c r="M124" t="s">
        <v>23</v>
      </c>
      <c r="N124" t="s">
        <v>29</v>
      </c>
      <c r="O124">
        <v>427</v>
      </c>
    </row>
    <row r="125" spans="1:15" x14ac:dyDescent="0.3">
      <c r="A125" s="1">
        <v>44685</v>
      </c>
      <c r="B125" t="s">
        <v>15</v>
      </c>
      <c r="C125" t="s">
        <v>31</v>
      </c>
      <c r="D125" t="s">
        <v>45</v>
      </c>
      <c r="E125" t="s">
        <v>18</v>
      </c>
      <c r="F125">
        <v>1026</v>
      </c>
      <c r="G125">
        <v>874</v>
      </c>
      <c r="H125">
        <v>7004.92</v>
      </c>
      <c r="I125">
        <v>5460.32</v>
      </c>
      <c r="J125">
        <v>1544.6</v>
      </c>
      <c r="K125">
        <v>205</v>
      </c>
      <c r="L125">
        <v>71.7</v>
      </c>
      <c r="M125" t="s">
        <v>23</v>
      </c>
      <c r="N125" t="s">
        <v>59</v>
      </c>
      <c r="O125">
        <v>481</v>
      </c>
    </row>
    <row r="126" spans="1:15" x14ac:dyDescent="0.3">
      <c r="A126" s="1">
        <v>44686</v>
      </c>
      <c r="B126" t="s">
        <v>44</v>
      </c>
      <c r="C126" t="s">
        <v>16</v>
      </c>
      <c r="D126" t="s">
        <v>35</v>
      </c>
      <c r="E126" t="s">
        <v>18</v>
      </c>
      <c r="F126">
        <v>1587</v>
      </c>
      <c r="G126">
        <v>1516</v>
      </c>
      <c r="H126">
        <v>20579.98</v>
      </c>
      <c r="I126">
        <v>16549.12</v>
      </c>
      <c r="J126">
        <v>4030.86</v>
      </c>
      <c r="K126">
        <v>161</v>
      </c>
      <c r="L126">
        <v>53.2</v>
      </c>
      <c r="M126" t="s">
        <v>23</v>
      </c>
      <c r="N126" t="s">
        <v>54</v>
      </c>
      <c r="O126">
        <v>350</v>
      </c>
    </row>
    <row r="127" spans="1:15" x14ac:dyDescent="0.3">
      <c r="A127" s="1">
        <v>44687</v>
      </c>
      <c r="B127" t="s">
        <v>44</v>
      </c>
      <c r="C127" t="s">
        <v>16</v>
      </c>
      <c r="D127" t="s">
        <v>45</v>
      </c>
      <c r="E127" t="s">
        <v>36</v>
      </c>
      <c r="F127">
        <v>2543</v>
      </c>
      <c r="G127">
        <v>2442</v>
      </c>
      <c r="H127">
        <v>46138.720000000001</v>
      </c>
      <c r="I127">
        <v>37708.51</v>
      </c>
      <c r="J127">
        <v>8430.2099999999991</v>
      </c>
      <c r="K127">
        <v>258</v>
      </c>
      <c r="L127">
        <v>19.399999999999999</v>
      </c>
      <c r="M127" t="s">
        <v>23</v>
      </c>
      <c r="N127" t="s">
        <v>56</v>
      </c>
      <c r="O127">
        <v>95</v>
      </c>
    </row>
    <row r="128" spans="1:15" x14ac:dyDescent="0.3">
      <c r="A128" s="1">
        <v>44688</v>
      </c>
      <c r="B128" t="s">
        <v>30</v>
      </c>
      <c r="C128" t="s">
        <v>31</v>
      </c>
      <c r="D128" t="s">
        <v>40</v>
      </c>
      <c r="E128" t="s">
        <v>36</v>
      </c>
      <c r="F128">
        <v>501</v>
      </c>
      <c r="G128">
        <v>469</v>
      </c>
      <c r="H128">
        <v>8718.9</v>
      </c>
      <c r="I128">
        <v>5447.15</v>
      </c>
      <c r="J128">
        <v>3271.74</v>
      </c>
      <c r="K128">
        <v>156</v>
      </c>
      <c r="L128">
        <v>17.100000000000001</v>
      </c>
      <c r="M128" t="s">
        <v>23</v>
      </c>
      <c r="N128" t="s">
        <v>57</v>
      </c>
      <c r="O128">
        <v>215</v>
      </c>
    </row>
    <row r="129" spans="1:15" x14ac:dyDescent="0.3">
      <c r="A129" s="1">
        <v>44689</v>
      </c>
      <c r="B129" t="s">
        <v>30</v>
      </c>
      <c r="C129" t="s">
        <v>31</v>
      </c>
      <c r="D129" t="s">
        <v>45</v>
      </c>
      <c r="E129" t="s">
        <v>18</v>
      </c>
      <c r="F129">
        <v>589</v>
      </c>
      <c r="G129">
        <v>416</v>
      </c>
      <c r="H129">
        <v>6788.42</v>
      </c>
      <c r="I129">
        <v>5745.94</v>
      </c>
      <c r="J129">
        <v>1042.48</v>
      </c>
      <c r="K129">
        <v>185</v>
      </c>
      <c r="L129">
        <v>25.1</v>
      </c>
      <c r="M129" t="s">
        <v>23</v>
      </c>
      <c r="N129" t="s">
        <v>54</v>
      </c>
      <c r="O129">
        <v>366</v>
      </c>
    </row>
    <row r="130" spans="1:15" x14ac:dyDescent="0.3">
      <c r="A130" s="1">
        <v>44690</v>
      </c>
      <c r="B130" t="s">
        <v>15</v>
      </c>
      <c r="C130" t="s">
        <v>16</v>
      </c>
      <c r="D130" t="s">
        <v>17</v>
      </c>
      <c r="E130" t="s">
        <v>18</v>
      </c>
      <c r="F130">
        <v>1939</v>
      </c>
      <c r="G130">
        <v>1899</v>
      </c>
      <c r="H130">
        <v>31350.07</v>
      </c>
      <c r="I130">
        <v>27001.53</v>
      </c>
      <c r="J130">
        <v>4348.55</v>
      </c>
      <c r="K130">
        <v>257</v>
      </c>
      <c r="L130">
        <v>66.3</v>
      </c>
      <c r="M130" t="s">
        <v>19</v>
      </c>
      <c r="N130" t="s">
        <v>41</v>
      </c>
      <c r="O130">
        <v>300</v>
      </c>
    </row>
    <row r="131" spans="1:15" x14ac:dyDescent="0.3">
      <c r="A131" s="1">
        <v>44691</v>
      </c>
      <c r="B131" t="s">
        <v>15</v>
      </c>
      <c r="C131" t="s">
        <v>16</v>
      </c>
      <c r="D131" t="s">
        <v>35</v>
      </c>
      <c r="E131" t="s">
        <v>18</v>
      </c>
      <c r="F131">
        <v>2554</v>
      </c>
      <c r="G131">
        <v>2471</v>
      </c>
      <c r="H131">
        <v>36165.599999999999</v>
      </c>
      <c r="I131">
        <v>28181.78</v>
      </c>
      <c r="J131">
        <v>7983.82</v>
      </c>
      <c r="K131">
        <v>101</v>
      </c>
      <c r="L131">
        <v>50.7</v>
      </c>
      <c r="M131" t="s">
        <v>23</v>
      </c>
      <c r="N131" t="s">
        <v>27</v>
      </c>
      <c r="O131">
        <v>237</v>
      </c>
    </row>
    <row r="132" spans="1:15" x14ac:dyDescent="0.3">
      <c r="A132" s="1">
        <v>44692</v>
      </c>
      <c r="B132" t="s">
        <v>25</v>
      </c>
      <c r="C132" t="s">
        <v>38</v>
      </c>
      <c r="D132" t="s">
        <v>21</v>
      </c>
      <c r="E132" t="s">
        <v>18</v>
      </c>
      <c r="F132">
        <v>2060</v>
      </c>
      <c r="G132">
        <v>2016</v>
      </c>
      <c r="H132">
        <v>31024.03</v>
      </c>
      <c r="I132">
        <v>21676.65</v>
      </c>
      <c r="J132">
        <v>9347.3799999999992</v>
      </c>
      <c r="K132">
        <v>179</v>
      </c>
      <c r="L132">
        <v>77</v>
      </c>
      <c r="M132" t="s">
        <v>19</v>
      </c>
      <c r="N132" t="s">
        <v>51</v>
      </c>
      <c r="O132">
        <v>232</v>
      </c>
    </row>
    <row r="133" spans="1:15" x14ac:dyDescent="0.3">
      <c r="A133" s="1">
        <v>44693</v>
      </c>
      <c r="B133" t="s">
        <v>25</v>
      </c>
      <c r="C133" t="s">
        <v>38</v>
      </c>
      <c r="D133" t="s">
        <v>40</v>
      </c>
      <c r="E133" t="s">
        <v>18</v>
      </c>
      <c r="F133">
        <v>2489</v>
      </c>
      <c r="G133">
        <v>2344</v>
      </c>
      <c r="H133">
        <v>37126.980000000003</v>
      </c>
      <c r="I133">
        <v>25977.54</v>
      </c>
      <c r="J133">
        <v>11149.44</v>
      </c>
      <c r="K133">
        <v>135</v>
      </c>
      <c r="L133">
        <v>97.7</v>
      </c>
      <c r="M133" t="s">
        <v>23</v>
      </c>
      <c r="N133" t="s">
        <v>62</v>
      </c>
      <c r="O133">
        <v>292</v>
      </c>
    </row>
    <row r="134" spans="1:15" x14ac:dyDescent="0.3">
      <c r="A134" s="1">
        <v>44694</v>
      </c>
      <c r="B134" t="s">
        <v>44</v>
      </c>
      <c r="C134" t="s">
        <v>16</v>
      </c>
      <c r="D134" t="s">
        <v>35</v>
      </c>
      <c r="E134" t="s">
        <v>22</v>
      </c>
      <c r="F134">
        <v>1456</v>
      </c>
      <c r="G134">
        <v>1433</v>
      </c>
      <c r="H134">
        <v>18780.78</v>
      </c>
      <c r="I134">
        <v>13217.55</v>
      </c>
      <c r="J134">
        <v>5563.23</v>
      </c>
      <c r="K134">
        <v>187</v>
      </c>
      <c r="L134">
        <v>79.099999999999994</v>
      </c>
      <c r="M134" t="s">
        <v>23</v>
      </c>
      <c r="N134" t="s">
        <v>52</v>
      </c>
      <c r="O134">
        <v>226</v>
      </c>
    </row>
    <row r="135" spans="1:15" x14ac:dyDescent="0.3">
      <c r="A135" s="1">
        <v>44695</v>
      </c>
      <c r="B135" t="s">
        <v>44</v>
      </c>
      <c r="C135" t="s">
        <v>16</v>
      </c>
      <c r="D135" t="s">
        <v>45</v>
      </c>
      <c r="E135" t="s">
        <v>18</v>
      </c>
      <c r="F135">
        <v>1107</v>
      </c>
      <c r="G135">
        <v>1003</v>
      </c>
      <c r="H135">
        <v>13303.18</v>
      </c>
      <c r="I135">
        <v>10876.37</v>
      </c>
      <c r="J135">
        <v>2426.8000000000002</v>
      </c>
      <c r="K135">
        <v>145</v>
      </c>
      <c r="L135">
        <v>63.8</v>
      </c>
      <c r="M135" t="s">
        <v>19</v>
      </c>
      <c r="N135" t="s">
        <v>42</v>
      </c>
      <c r="O135">
        <v>475</v>
      </c>
    </row>
    <row r="136" spans="1:15" x14ac:dyDescent="0.3">
      <c r="A136" s="1">
        <v>44696</v>
      </c>
      <c r="B136" t="s">
        <v>15</v>
      </c>
      <c r="C136" t="s">
        <v>26</v>
      </c>
      <c r="D136" t="s">
        <v>35</v>
      </c>
      <c r="E136" t="s">
        <v>18</v>
      </c>
      <c r="F136">
        <v>1029</v>
      </c>
      <c r="G136">
        <v>990</v>
      </c>
      <c r="H136">
        <v>17851.66</v>
      </c>
      <c r="I136">
        <v>11973.78</v>
      </c>
      <c r="J136">
        <v>5877.88</v>
      </c>
      <c r="K136">
        <v>105</v>
      </c>
      <c r="L136">
        <v>74.400000000000006</v>
      </c>
      <c r="M136" t="s">
        <v>19</v>
      </c>
      <c r="N136" t="s">
        <v>33</v>
      </c>
      <c r="O136">
        <v>347</v>
      </c>
    </row>
    <row r="137" spans="1:15" x14ac:dyDescent="0.3">
      <c r="A137" s="1">
        <v>44697</v>
      </c>
      <c r="B137" t="s">
        <v>15</v>
      </c>
      <c r="C137" t="s">
        <v>26</v>
      </c>
      <c r="D137" t="s">
        <v>17</v>
      </c>
      <c r="E137" t="s">
        <v>22</v>
      </c>
      <c r="F137">
        <v>2881</v>
      </c>
      <c r="G137">
        <v>2880</v>
      </c>
      <c r="H137">
        <v>29294.560000000001</v>
      </c>
      <c r="I137">
        <v>25085.39</v>
      </c>
      <c r="J137">
        <v>4209.17</v>
      </c>
      <c r="K137">
        <v>120</v>
      </c>
      <c r="L137">
        <v>32.299999999999997</v>
      </c>
      <c r="M137" t="s">
        <v>19</v>
      </c>
      <c r="N137" t="s">
        <v>41</v>
      </c>
      <c r="O137">
        <v>63</v>
      </c>
    </row>
    <row r="138" spans="1:15" x14ac:dyDescent="0.3">
      <c r="A138" s="1">
        <v>44698</v>
      </c>
      <c r="B138" t="s">
        <v>44</v>
      </c>
      <c r="C138" t="s">
        <v>31</v>
      </c>
      <c r="D138" t="s">
        <v>35</v>
      </c>
      <c r="E138" t="s">
        <v>18</v>
      </c>
      <c r="F138">
        <v>2540</v>
      </c>
      <c r="G138">
        <v>2513</v>
      </c>
      <c r="H138">
        <v>27888.27</v>
      </c>
      <c r="I138">
        <v>22227.54</v>
      </c>
      <c r="J138">
        <v>5660.73</v>
      </c>
      <c r="K138">
        <v>272</v>
      </c>
      <c r="L138">
        <v>79.599999999999994</v>
      </c>
      <c r="M138" t="s">
        <v>23</v>
      </c>
      <c r="N138" t="s">
        <v>53</v>
      </c>
      <c r="O138">
        <v>456</v>
      </c>
    </row>
    <row r="139" spans="1:15" x14ac:dyDescent="0.3">
      <c r="A139" s="1">
        <v>44699</v>
      </c>
      <c r="B139" t="s">
        <v>44</v>
      </c>
      <c r="C139" t="s">
        <v>31</v>
      </c>
      <c r="D139" t="s">
        <v>21</v>
      </c>
      <c r="E139" t="s">
        <v>18</v>
      </c>
      <c r="F139">
        <v>2834</v>
      </c>
      <c r="G139">
        <v>2696</v>
      </c>
      <c r="H139">
        <v>50157.78</v>
      </c>
      <c r="I139">
        <v>36745.949999999997</v>
      </c>
      <c r="J139">
        <v>13411.82</v>
      </c>
      <c r="K139">
        <v>159</v>
      </c>
      <c r="L139">
        <v>56.8</v>
      </c>
      <c r="M139" t="s">
        <v>23</v>
      </c>
      <c r="N139" t="s">
        <v>55</v>
      </c>
      <c r="O139">
        <v>410</v>
      </c>
    </row>
    <row r="140" spans="1:15" x14ac:dyDescent="0.3">
      <c r="A140" s="1">
        <v>44700</v>
      </c>
      <c r="B140" t="s">
        <v>15</v>
      </c>
      <c r="C140" t="s">
        <v>38</v>
      </c>
      <c r="D140" t="s">
        <v>35</v>
      </c>
      <c r="E140" t="s">
        <v>36</v>
      </c>
      <c r="F140">
        <v>2456</v>
      </c>
      <c r="G140">
        <v>2282</v>
      </c>
      <c r="H140">
        <v>36433.620000000003</v>
      </c>
      <c r="I140">
        <v>27047.93</v>
      </c>
      <c r="J140">
        <v>9385.69</v>
      </c>
      <c r="K140">
        <v>199</v>
      </c>
      <c r="L140">
        <v>82.5</v>
      </c>
      <c r="M140" t="s">
        <v>23</v>
      </c>
      <c r="N140" t="s">
        <v>41</v>
      </c>
      <c r="O140">
        <v>439</v>
      </c>
    </row>
    <row r="141" spans="1:15" x14ac:dyDescent="0.3">
      <c r="A141" s="1">
        <v>44701</v>
      </c>
      <c r="B141" t="s">
        <v>15</v>
      </c>
      <c r="C141" t="s">
        <v>38</v>
      </c>
      <c r="D141" t="s">
        <v>45</v>
      </c>
      <c r="E141" t="s">
        <v>18</v>
      </c>
      <c r="F141">
        <v>1456</v>
      </c>
      <c r="G141">
        <v>1309</v>
      </c>
      <c r="H141">
        <v>14709.23</v>
      </c>
      <c r="I141">
        <v>9077.4500000000007</v>
      </c>
      <c r="J141">
        <v>5631.78</v>
      </c>
      <c r="K141">
        <v>116</v>
      </c>
      <c r="L141">
        <v>94.3</v>
      </c>
      <c r="M141" t="s">
        <v>23</v>
      </c>
      <c r="N141" t="s">
        <v>33</v>
      </c>
      <c r="O141">
        <v>84</v>
      </c>
    </row>
    <row r="142" spans="1:15" x14ac:dyDescent="0.3">
      <c r="A142" s="1">
        <v>44702</v>
      </c>
      <c r="B142" t="s">
        <v>34</v>
      </c>
      <c r="C142" t="s">
        <v>16</v>
      </c>
      <c r="D142" t="s">
        <v>28</v>
      </c>
      <c r="E142" t="s">
        <v>18</v>
      </c>
      <c r="F142">
        <v>1729</v>
      </c>
      <c r="G142">
        <v>1718</v>
      </c>
      <c r="H142">
        <v>16802.240000000002</v>
      </c>
      <c r="I142">
        <v>15054.63</v>
      </c>
      <c r="J142">
        <v>1747.62</v>
      </c>
      <c r="K142">
        <v>295</v>
      </c>
      <c r="L142">
        <v>71.7</v>
      </c>
      <c r="M142" t="s">
        <v>23</v>
      </c>
      <c r="N142" t="s">
        <v>56</v>
      </c>
      <c r="O142">
        <v>355</v>
      </c>
    </row>
    <row r="143" spans="1:15" x14ac:dyDescent="0.3">
      <c r="A143" s="1">
        <v>44703</v>
      </c>
      <c r="B143" t="s">
        <v>34</v>
      </c>
      <c r="C143" t="s">
        <v>16</v>
      </c>
      <c r="D143" t="s">
        <v>35</v>
      </c>
      <c r="E143" t="s">
        <v>36</v>
      </c>
      <c r="F143">
        <v>1708</v>
      </c>
      <c r="G143">
        <v>1670</v>
      </c>
      <c r="H143">
        <v>22472.99</v>
      </c>
      <c r="I143">
        <v>16959.89</v>
      </c>
      <c r="J143">
        <v>5513.1</v>
      </c>
      <c r="K143">
        <v>257</v>
      </c>
      <c r="L143">
        <v>40.799999999999997</v>
      </c>
      <c r="M143" t="s">
        <v>23</v>
      </c>
      <c r="N143" t="s">
        <v>33</v>
      </c>
      <c r="O143">
        <v>433</v>
      </c>
    </row>
    <row r="144" spans="1:15" x14ac:dyDescent="0.3">
      <c r="A144" s="1">
        <v>44704</v>
      </c>
      <c r="B144" t="s">
        <v>34</v>
      </c>
      <c r="C144" t="s">
        <v>26</v>
      </c>
      <c r="D144" t="s">
        <v>21</v>
      </c>
      <c r="E144" t="s">
        <v>22</v>
      </c>
      <c r="F144">
        <v>1864</v>
      </c>
      <c r="G144">
        <v>1736</v>
      </c>
      <c r="H144">
        <v>29112.639999999999</v>
      </c>
      <c r="I144">
        <v>18831.490000000002</v>
      </c>
      <c r="J144">
        <v>10281.15</v>
      </c>
      <c r="K144">
        <v>181</v>
      </c>
      <c r="L144">
        <v>88.1</v>
      </c>
      <c r="M144" t="s">
        <v>23</v>
      </c>
      <c r="N144" t="s">
        <v>57</v>
      </c>
      <c r="O144">
        <v>242</v>
      </c>
    </row>
    <row r="145" spans="1:15" x14ac:dyDescent="0.3">
      <c r="A145" s="1">
        <v>44705</v>
      </c>
      <c r="B145" t="s">
        <v>34</v>
      </c>
      <c r="C145" t="s">
        <v>26</v>
      </c>
      <c r="D145" t="s">
        <v>35</v>
      </c>
      <c r="E145" t="s">
        <v>18</v>
      </c>
      <c r="F145">
        <v>1642</v>
      </c>
      <c r="G145">
        <v>1472</v>
      </c>
      <c r="H145">
        <v>23844.89</v>
      </c>
      <c r="I145">
        <v>17863.46</v>
      </c>
      <c r="J145">
        <v>5981.43</v>
      </c>
      <c r="K145">
        <v>224</v>
      </c>
      <c r="L145">
        <v>84.8</v>
      </c>
      <c r="M145" t="s">
        <v>19</v>
      </c>
      <c r="N145" t="s">
        <v>24</v>
      </c>
      <c r="O145">
        <v>125</v>
      </c>
    </row>
    <row r="146" spans="1:15" x14ac:dyDescent="0.3">
      <c r="A146" s="1">
        <v>44706</v>
      </c>
      <c r="B146" t="s">
        <v>30</v>
      </c>
      <c r="C146" t="s">
        <v>26</v>
      </c>
      <c r="D146" t="s">
        <v>40</v>
      </c>
      <c r="E146" t="s">
        <v>22</v>
      </c>
      <c r="F146">
        <v>1827</v>
      </c>
      <c r="G146">
        <v>1759</v>
      </c>
      <c r="H146">
        <v>26255.23</v>
      </c>
      <c r="I146">
        <v>18498.7</v>
      </c>
      <c r="J146">
        <v>7756.53</v>
      </c>
      <c r="K146">
        <v>273</v>
      </c>
      <c r="L146">
        <v>99.9</v>
      </c>
      <c r="M146" t="s">
        <v>23</v>
      </c>
      <c r="N146" t="s">
        <v>27</v>
      </c>
      <c r="O146">
        <v>210</v>
      </c>
    </row>
    <row r="147" spans="1:15" x14ac:dyDescent="0.3">
      <c r="A147" s="1">
        <v>44707</v>
      </c>
      <c r="B147" t="s">
        <v>30</v>
      </c>
      <c r="C147" t="s">
        <v>26</v>
      </c>
      <c r="D147" t="s">
        <v>28</v>
      </c>
      <c r="E147" t="s">
        <v>36</v>
      </c>
      <c r="F147">
        <v>1612</v>
      </c>
      <c r="G147">
        <v>1437</v>
      </c>
      <c r="H147">
        <v>24470.86</v>
      </c>
      <c r="I147">
        <v>15346.77</v>
      </c>
      <c r="J147">
        <v>9124.1</v>
      </c>
      <c r="K147">
        <v>238</v>
      </c>
      <c r="L147">
        <v>76.5</v>
      </c>
      <c r="M147" t="s">
        <v>19</v>
      </c>
      <c r="N147" t="s">
        <v>32</v>
      </c>
      <c r="O147">
        <v>151</v>
      </c>
    </row>
    <row r="148" spans="1:15" x14ac:dyDescent="0.3">
      <c r="A148" s="1">
        <v>44708</v>
      </c>
      <c r="B148" t="s">
        <v>30</v>
      </c>
      <c r="C148" t="s">
        <v>16</v>
      </c>
      <c r="D148" t="s">
        <v>21</v>
      </c>
      <c r="E148" t="s">
        <v>36</v>
      </c>
      <c r="F148">
        <v>1500</v>
      </c>
      <c r="G148">
        <v>1478</v>
      </c>
      <c r="H148">
        <v>19549.509999999998</v>
      </c>
      <c r="I148">
        <v>16526.18</v>
      </c>
      <c r="J148">
        <v>3023.33</v>
      </c>
      <c r="K148">
        <v>167</v>
      </c>
      <c r="L148">
        <v>36.700000000000003</v>
      </c>
      <c r="M148" t="s">
        <v>23</v>
      </c>
      <c r="N148" t="s">
        <v>51</v>
      </c>
      <c r="O148">
        <v>192</v>
      </c>
    </row>
    <row r="149" spans="1:15" x14ac:dyDescent="0.3">
      <c r="A149" s="1">
        <v>44709</v>
      </c>
      <c r="B149" t="s">
        <v>30</v>
      </c>
      <c r="C149" t="s">
        <v>16</v>
      </c>
      <c r="D149" t="s">
        <v>40</v>
      </c>
      <c r="E149" t="s">
        <v>36</v>
      </c>
      <c r="F149">
        <v>1210</v>
      </c>
      <c r="G149">
        <v>1068</v>
      </c>
      <c r="H149">
        <v>17457.11</v>
      </c>
      <c r="I149">
        <v>12509.19</v>
      </c>
      <c r="J149">
        <v>4947.91</v>
      </c>
      <c r="K149">
        <v>296</v>
      </c>
      <c r="L149">
        <v>63.7</v>
      </c>
      <c r="M149" t="s">
        <v>23</v>
      </c>
      <c r="N149" t="s">
        <v>63</v>
      </c>
      <c r="O149">
        <v>477</v>
      </c>
    </row>
    <row r="150" spans="1:15" x14ac:dyDescent="0.3">
      <c r="A150" s="1">
        <v>44710</v>
      </c>
      <c r="B150" t="s">
        <v>25</v>
      </c>
      <c r="C150" t="s">
        <v>31</v>
      </c>
      <c r="D150" t="s">
        <v>21</v>
      </c>
      <c r="E150" t="s">
        <v>22</v>
      </c>
      <c r="F150">
        <v>1461</v>
      </c>
      <c r="G150">
        <v>1288</v>
      </c>
      <c r="H150">
        <v>18038.88</v>
      </c>
      <c r="I150">
        <v>13758.42</v>
      </c>
      <c r="J150">
        <v>4280.46</v>
      </c>
      <c r="K150">
        <v>151</v>
      </c>
      <c r="L150">
        <v>56.7</v>
      </c>
      <c r="M150" t="s">
        <v>23</v>
      </c>
      <c r="N150" t="s">
        <v>51</v>
      </c>
      <c r="O150">
        <v>270</v>
      </c>
    </row>
    <row r="151" spans="1:15" x14ac:dyDescent="0.3">
      <c r="A151" s="1">
        <v>44711</v>
      </c>
      <c r="B151" t="s">
        <v>25</v>
      </c>
      <c r="C151" t="s">
        <v>31</v>
      </c>
      <c r="D151" t="s">
        <v>40</v>
      </c>
      <c r="E151" t="s">
        <v>22</v>
      </c>
      <c r="F151">
        <v>1164</v>
      </c>
      <c r="G151">
        <v>1153</v>
      </c>
      <c r="H151">
        <v>11285.45</v>
      </c>
      <c r="I151">
        <v>8554.23</v>
      </c>
      <c r="J151">
        <v>2731.22</v>
      </c>
      <c r="K151">
        <v>286</v>
      </c>
      <c r="L151">
        <v>58</v>
      </c>
      <c r="M151" t="s">
        <v>23</v>
      </c>
      <c r="N151" t="s">
        <v>48</v>
      </c>
      <c r="O151">
        <v>392</v>
      </c>
    </row>
    <row r="152" spans="1:15" x14ac:dyDescent="0.3">
      <c r="A152" s="1">
        <v>44712</v>
      </c>
      <c r="B152" t="s">
        <v>30</v>
      </c>
      <c r="C152" t="s">
        <v>31</v>
      </c>
      <c r="D152" t="s">
        <v>28</v>
      </c>
      <c r="E152" t="s">
        <v>18</v>
      </c>
      <c r="F152">
        <v>1514</v>
      </c>
      <c r="G152">
        <v>1435</v>
      </c>
      <c r="H152">
        <v>22629.51</v>
      </c>
      <c r="I152">
        <v>19674.310000000001</v>
      </c>
      <c r="J152">
        <v>2955.21</v>
      </c>
      <c r="K152">
        <v>104</v>
      </c>
      <c r="L152">
        <v>68.900000000000006</v>
      </c>
      <c r="M152" t="s">
        <v>23</v>
      </c>
      <c r="N152" t="s">
        <v>47</v>
      </c>
      <c r="O152">
        <v>326</v>
      </c>
    </row>
    <row r="153" spans="1:15" x14ac:dyDescent="0.3">
      <c r="A153" s="1">
        <v>44713</v>
      </c>
      <c r="B153" t="s">
        <v>30</v>
      </c>
      <c r="C153" t="s">
        <v>31</v>
      </c>
      <c r="D153" t="s">
        <v>40</v>
      </c>
      <c r="E153" t="s">
        <v>36</v>
      </c>
      <c r="F153">
        <v>969</v>
      </c>
      <c r="G153">
        <v>951</v>
      </c>
      <c r="H153">
        <v>8765.41</v>
      </c>
      <c r="I153">
        <v>6536.91</v>
      </c>
      <c r="J153">
        <v>2228.5100000000002</v>
      </c>
      <c r="K153">
        <v>196</v>
      </c>
      <c r="L153">
        <v>35.6</v>
      </c>
      <c r="M153" t="s">
        <v>23</v>
      </c>
      <c r="N153" t="s">
        <v>41</v>
      </c>
      <c r="O153">
        <v>205</v>
      </c>
    </row>
    <row r="154" spans="1:15" x14ac:dyDescent="0.3">
      <c r="A154" s="1">
        <v>44714</v>
      </c>
      <c r="B154" t="s">
        <v>15</v>
      </c>
      <c r="C154" t="s">
        <v>38</v>
      </c>
      <c r="D154" t="s">
        <v>21</v>
      </c>
      <c r="E154" t="s">
        <v>36</v>
      </c>
      <c r="F154">
        <v>2637</v>
      </c>
      <c r="G154">
        <v>2549</v>
      </c>
      <c r="H154">
        <v>36373.65</v>
      </c>
      <c r="I154">
        <v>23168.81</v>
      </c>
      <c r="J154">
        <v>13204.84</v>
      </c>
      <c r="K154">
        <v>187</v>
      </c>
      <c r="L154">
        <v>26.3</v>
      </c>
      <c r="M154" t="s">
        <v>23</v>
      </c>
      <c r="N154" t="s">
        <v>42</v>
      </c>
      <c r="O154">
        <v>496</v>
      </c>
    </row>
    <row r="155" spans="1:15" x14ac:dyDescent="0.3">
      <c r="A155" s="1">
        <v>44715</v>
      </c>
      <c r="B155" t="s">
        <v>15</v>
      </c>
      <c r="C155" t="s">
        <v>38</v>
      </c>
      <c r="D155" t="s">
        <v>45</v>
      </c>
      <c r="E155" t="s">
        <v>36</v>
      </c>
      <c r="F155">
        <v>944</v>
      </c>
      <c r="G155">
        <v>903</v>
      </c>
      <c r="H155">
        <v>17168.77</v>
      </c>
      <c r="I155">
        <v>12487.84</v>
      </c>
      <c r="J155">
        <v>4680.92</v>
      </c>
      <c r="K155">
        <v>197</v>
      </c>
      <c r="L155">
        <v>82.5</v>
      </c>
      <c r="M155" t="s">
        <v>23</v>
      </c>
      <c r="N155" t="s">
        <v>64</v>
      </c>
      <c r="O155">
        <v>222</v>
      </c>
    </row>
    <row r="156" spans="1:15" x14ac:dyDescent="0.3">
      <c r="A156" s="1">
        <v>44716</v>
      </c>
      <c r="B156" t="s">
        <v>25</v>
      </c>
      <c r="C156" t="s">
        <v>26</v>
      </c>
      <c r="D156" t="s">
        <v>21</v>
      </c>
      <c r="E156" t="s">
        <v>36</v>
      </c>
      <c r="F156">
        <v>1743</v>
      </c>
      <c r="G156">
        <v>1607</v>
      </c>
      <c r="H156">
        <v>28162.560000000001</v>
      </c>
      <c r="I156">
        <v>22360.560000000001</v>
      </c>
      <c r="J156">
        <v>5802</v>
      </c>
      <c r="K156">
        <v>295</v>
      </c>
      <c r="L156">
        <v>47</v>
      </c>
      <c r="M156" t="s">
        <v>19</v>
      </c>
      <c r="N156" t="s">
        <v>50</v>
      </c>
      <c r="O156">
        <v>201</v>
      </c>
    </row>
    <row r="157" spans="1:15" x14ac:dyDescent="0.3">
      <c r="A157" s="1">
        <v>44717</v>
      </c>
      <c r="B157" t="s">
        <v>25</v>
      </c>
      <c r="C157" t="s">
        <v>26</v>
      </c>
      <c r="D157" t="s">
        <v>17</v>
      </c>
      <c r="E157" t="s">
        <v>36</v>
      </c>
      <c r="F157">
        <v>1358</v>
      </c>
      <c r="G157">
        <v>1322</v>
      </c>
      <c r="H157">
        <v>15367.89</v>
      </c>
      <c r="I157">
        <v>12595.33</v>
      </c>
      <c r="J157">
        <v>2772.56</v>
      </c>
      <c r="K157">
        <v>179</v>
      </c>
      <c r="L157">
        <v>48.1</v>
      </c>
      <c r="M157" t="s">
        <v>23</v>
      </c>
      <c r="N157" t="s">
        <v>52</v>
      </c>
      <c r="O157">
        <v>452</v>
      </c>
    </row>
    <row r="158" spans="1:15" x14ac:dyDescent="0.3">
      <c r="A158" s="1">
        <v>44718</v>
      </c>
      <c r="B158" t="s">
        <v>25</v>
      </c>
      <c r="C158" t="s">
        <v>38</v>
      </c>
      <c r="D158" t="s">
        <v>17</v>
      </c>
      <c r="E158" t="s">
        <v>18</v>
      </c>
      <c r="F158">
        <v>1161</v>
      </c>
      <c r="G158">
        <v>986</v>
      </c>
      <c r="H158">
        <v>11582.8</v>
      </c>
      <c r="I158">
        <v>7749.75</v>
      </c>
      <c r="J158">
        <v>3833.05</v>
      </c>
      <c r="K158">
        <v>278</v>
      </c>
      <c r="L158">
        <v>59.2</v>
      </c>
      <c r="M158" t="s">
        <v>23</v>
      </c>
      <c r="N158" t="s">
        <v>49</v>
      </c>
      <c r="O158">
        <v>126</v>
      </c>
    </row>
    <row r="159" spans="1:15" x14ac:dyDescent="0.3">
      <c r="A159" s="1">
        <v>44719</v>
      </c>
      <c r="B159" t="s">
        <v>25</v>
      </c>
      <c r="C159" t="s">
        <v>38</v>
      </c>
      <c r="D159" t="s">
        <v>35</v>
      </c>
      <c r="E159" t="s">
        <v>36</v>
      </c>
      <c r="F159">
        <v>940</v>
      </c>
      <c r="G159">
        <v>788</v>
      </c>
      <c r="H159">
        <v>15644.5</v>
      </c>
      <c r="I159">
        <v>10027.06</v>
      </c>
      <c r="J159">
        <v>5617.44</v>
      </c>
      <c r="K159">
        <v>164</v>
      </c>
      <c r="L159">
        <v>70.8</v>
      </c>
      <c r="M159" t="s">
        <v>23</v>
      </c>
      <c r="N159" t="s">
        <v>32</v>
      </c>
      <c r="O159">
        <v>216</v>
      </c>
    </row>
    <row r="160" spans="1:15" x14ac:dyDescent="0.3">
      <c r="A160" s="1">
        <v>44720</v>
      </c>
      <c r="B160" t="s">
        <v>44</v>
      </c>
      <c r="C160" t="s">
        <v>31</v>
      </c>
      <c r="D160" t="s">
        <v>17</v>
      </c>
      <c r="E160" t="s">
        <v>22</v>
      </c>
      <c r="F160">
        <v>1625</v>
      </c>
      <c r="G160">
        <v>1584</v>
      </c>
      <c r="H160">
        <v>29884.22</v>
      </c>
      <c r="I160">
        <v>24857.3</v>
      </c>
      <c r="J160">
        <v>5026.92</v>
      </c>
      <c r="K160">
        <v>115</v>
      </c>
      <c r="L160">
        <v>17.7</v>
      </c>
      <c r="M160" t="s">
        <v>19</v>
      </c>
      <c r="N160" t="s">
        <v>63</v>
      </c>
      <c r="O160">
        <v>122</v>
      </c>
    </row>
    <row r="161" spans="1:15" x14ac:dyDescent="0.3">
      <c r="A161" s="1">
        <v>44721</v>
      </c>
      <c r="B161" t="s">
        <v>44</v>
      </c>
      <c r="C161" t="s">
        <v>31</v>
      </c>
      <c r="D161" t="s">
        <v>35</v>
      </c>
      <c r="E161" t="s">
        <v>36</v>
      </c>
      <c r="F161">
        <v>2414</v>
      </c>
      <c r="G161">
        <v>2345</v>
      </c>
      <c r="H161">
        <v>28749.599999999999</v>
      </c>
      <c r="I161">
        <v>17848.53</v>
      </c>
      <c r="J161">
        <v>10901.07</v>
      </c>
      <c r="K161">
        <v>128</v>
      </c>
      <c r="L161">
        <v>84.9</v>
      </c>
      <c r="M161" t="s">
        <v>23</v>
      </c>
      <c r="N161" t="s">
        <v>20</v>
      </c>
      <c r="O161">
        <v>76</v>
      </c>
    </row>
    <row r="162" spans="1:15" x14ac:dyDescent="0.3">
      <c r="A162" s="1">
        <v>44722</v>
      </c>
      <c r="B162" t="s">
        <v>34</v>
      </c>
      <c r="C162" t="s">
        <v>16</v>
      </c>
      <c r="D162" t="s">
        <v>21</v>
      </c>
      <c r="E162" t="s">
        <v>36</v>
      </c>
      <c r="F162">
        <v>557</v>
      </c>
      <c r="G162">
        <v>555</v>
      </c>
      <c r="H162">
        <v>5707.56</v>
      </c>
      <c r="I162">
        <v>3514.16</v>
      </c>
      <c r="J162">
        <v>2193.41</v>
      </c>
      <c r="K162">
        <v>251</v>
      </c>
      <c r="L162">
        <v>69.599999999999994</v>
      </c>
      <c r="M162" t="s">
        <v>23</v>
      </c>
      <c r="N162" t="s">
        <v>57</v>
      </c>
      <c r="O162">
        <v>335</v>
      </c>
    </row>
    <row r="163" spans="1:15" x14ac:dyDescent="0.3">
      <c r="A163" s="1">
        <v>44723</v>
      </c>
      <c r="B163" t="s">
        <v>34</v>
      </c>
      <c r="C163" t="s">
        <v>16</v>
      </c>
      <c r="D163" t="s">
        <v>17</v>
      </c>
      <c r="E163" t="s">
        <v>22</v>
      </c>
      <c r="F163">
        <v>1965</v>
      </c>
      <c r="G163">
        <v>1930</v>
      </c>
      <c r="H163">
        <v>37712.18</v>
      </c>
      <c r="I163">
        <v>29811.03</v>
      </c>
      <c r="J163">
        <v>7901.15</v>
      </c>
      <c r="K163">
        <v>126</v>
      </c>
      <c r="L163">
        <v>28.1</v>
      </c>
      <c r="M163" t="s">
        <v>23</v>
      </c>
      <c r="N163" t="s">
        <v>55</v>
      </c>
      <c r="O163">
        <v>207</v>
      </c>
    </row>
    <row r="164" spans="1:15" x14ac:dyDescent="0.3">
      <c r="A164" s="1">
        <v>44724</v>
      </c>
      <c r="B164" t="s">
        <v>30</v>
      </c>
      <c r="C164" t="s">
        <v>26</v>
      </c>
      <c r="D164" t="s">
        <v>35</v>
      </c>
      <c r="E164" t="s">
        <v>22</v>
      </c>
      <c r="F164">
        <v>736</v>
      </c>
      <c r="G164">
        <v>714</v>
      </c>
      <c r="H164">
        <v>9133.34</v>
      </c>
      <c r="I164">
        <v>5897.62</v>
      </c>
      <c r="J164">
        <v>3235.72</v>
      </c>
      <c r="K164">
        <v>84</v>
      </c>
      <c r="L164">
        <v>76.3</v>
      </c>
      <c r="M164" t="s">
        <v>19</v>
      </c>
      <c r="N164" t="s">
        <v>39</v>
      </c>
      <c r="O164">
        <v>170</v>
      </c>
    </row>
    <row r="165" spans="1:15" x14ac:dyDescent="0.3">
      <c r="A165" s="1">
        <v>44725</v>
      </c>
      <c r="B165" t="s">
        <v>30</v>
      </c>
      <c r="C165" t="s">
        <v>26</v>
      </c>
      <c r="D165" t="s">
        <v>28</v>
      </c>
      <c r="E165" t="s">
        <v>22</v>
      </c>
      <c r="F165">
        <v>648</v>
      </c>
      <c r="G165">
        <v>565</v>
      </c>
      <c r="H165">
        <v>8747.91</v>
      </c>
      <c r="I165">
        <v>5482.64</v>
      </c>
      <c r="J165">
        <v>3265.27</v>
      </c>
      <c r="K165">
        <v>111</v>
      </c>
      <c r="L165">
        <v>21.5</v>
      </c>
      <c r="M165" t="s">
        <v>19</v>
      </c>
      <c r="N165" t="s">
        <v>59</v>
      </c>
      <c r="O165">
        <v>275</v>
      </c>
    </row>
    <row r="166" spans="1:15" x14ac:dyDescent="0.3">
      <c r="A166" s="1">
        <v>44726</v>
      </c>
      <c r="B166" t="s">
        <v>34</v>
      </c>
      <c r="C166" t="s">
        <v>16</v>
      </c>
      <c r="D166" t="s">
        <v>40</v>
      </c>
      <c r="E166" t="s">
        <v>36</v>
      </c>
      <c r="F166">
        <v>2101</v>
      </c>
      <c r="G166">
        <v>1997</v>
      </c>
      <c r="H166">
        <v>18076.27</v>
      </c>
      <c r="I166">
        <v>15926.77</v>
      </c>
      <c r="J166">
        <v>2149.5</v>
      </c>
      <c r="K166">
        <v>280</v>
      </c>
      <c r="L166">
        <v>55.9</v>
      </c>
      <c r="M166" t="s">
        <v>19</v>
      </c>
      <c r="N166" t="s">
        <v>55</v>
      </c>
      <c r="O166">
        <v>456</v>
      </c>
    </row>
    <row r="167" spans="1:15" x14ac:dyDescent="0.3">
      <c r="A167" s="1">
        <v>44727</v>
      </c>
      <c r="B167" t="s">
        <v>34</v>
      </c>
      <c r="C167" t="s">
        <v>16</v>
      </c>
      <c r="D167" t="s">
        <v>28</v>
      </c>
      <c r="E167" t="s">
        <v>22</v>
      </c>
      <c r="F167">
        <v>810</v>
      </c>
      <c r="G167">
        <v>805</v>
      </c>
      <c r="H167">
        <v>15321.33</v>
      </c>
      <c r="I167">
        <v>11477.04</v>
      </c>
      <c r="J167">
        <v>3844.29</v>
      </c>
      <c r="K167">
        <v>165</v>
      </c>
      <c r="L167">
        <v>61</v>
      </c>
      <c r="M167" t="s">
        <v>23</v>
      </c>
      <c r="N167" t="s">
        <v>20</v>
      </c>
      <c r="O167">
        <v>288</v>
      </c>
    </row>
    <row r="168" spans="1:15" x14ac:dyDescent="0.3">
      <c r="A168" s="1">
        <v>44728</v>
      </c>
      <c r="B168" t="s">
        <v>44</v>
      </c>
      <c r="C168" t="s">
        <v>38</v>
      </c>
      <c r="D168" t="s">
        <v>17</v>
      </c>
      <c r="E168" t="s">
        <v>22</v>
      </c>
      <c r="F168">
        <v>2193</v>
      </c>
      <c r="G168">
        <v>2060</v>
      </c>
      <c r="H168">
        <v>19972.39</v>
      </c>
      <c r="I168">
        <v>13253.58</v>
      </c>
      <c r="J168">
        <v>6718.82</v>
      </c>
      <c r="K168">
        <v>93</v>
      </c>
      <c r="L168">
        <v>17.3</v>
      </c>
      <c r="M168" t="s">
        <v>23</v>
      </c>
      <c r="N168" t="s">
        <v>57</v>
      </c>
      <c r="O168">
        <v>396</v>
      </c>
    </row>
    <row r="169" spans="1:15" x14ac:dyDescent="0.3">
      <c r="A169" s="1">
        <v>44729</v>
      </c>
      <c r="B169" t="s">
        <v>44</v>
      </c>
      <c r="C169" t="s">
        <v>38</v>
      </c>
      <c r="D169" t="s">
        <v>40</v>
      </c>
      <c r="E169" t="s">
        <v>22</v>
      </c>
      <c r="F169">
        <v>2311</v>
      </c>
      <c r="G169">
        <v>2302</v>
      </c>
      <c r="H169">
        <v>41136.199999999997</v>
      </c>
      <c r="I169">
        <v>26317.19</v>
      </c>
      <c r="J169">
        <v>14819.01</v>
      </c>
      <c r="K169">
        <v>133</v>
      </c>
      <c r="L169">
        <v>38.200000000000003</v>
      </c>
      <c r="M169" t="s">
        <v>23</v>
      </c>
      <c r="N169" t="s">
        <v>39</v>
      </c>
      <c r="O169">
        <v>159</v>
      </c>
    </row>
    <row r="170" spans="1:15" x14ac:dyDescent="0.3">
      <c r="A170" s="1">
        <v>44730</v>
      </c>
      <c r="B170" t="s">
        <v>34</v>
      </c>
      <c r="C170" t="s">
        <v>31</v>
      </c>
      <c r="D170" t="s">
        <v>35</v>
      </c>
      <c r="E170" t="s">
        <v>36</v>
      </c>
      <c r="F170">
        <v>2176</v>
      </c>
      <c r="G170">
        <v>2060</v>
      </c>
      <c r="H170">
        <v>19489.95</v>
      </c>
      <c r="I170">
        <v>14490.2</v>
      </c>
      <c r="J170">
        <v>4999.75</v>
      </c>
      <c r="K170">
        <v>275</v>
      </c>
      <c r="L170">
        <v>22.2</v>
      </c>
      <c r="M170" t="s">
        <v>19</v>
      </c>
      <c r="N170" t="s">
        <v>29</v>
      </c>
      <c r="O170">
        <v>61</v>
      </c>
    </row>
    <row r="171" spans="1:15" x14ac:dyDescent="0.3">
      <c r="A171" s="1">
        <v>44731</v>
      </c>
      <c r="B171" t="s">
        <v>34</v>
      </c>
      <c r="C171" t="s">
        <v>31</v>
      </c>
      <c r="D171" t="s">
        <v>28</v>
      </c>
      <c r="E171" t="s">
        <v>36</v>
      </c>
      <c r="F171">
        <v>1042</v>
      </c>
      <c r="G171">
        <v>965</v>
      </c>
      <c r="H171">
        <v>17865.3</v>
      </c>
      <c r="I171">
        <v>12207.82</v>
      </c>
      <c r="J171">
        <v>5657.48</v>
      </c>
      <c r="K171">
        <v>270</v>
      </c>
      <c r="L171">
        <v>67.7</v>
      </c>
      <c r="M171" t="s">
        <v>23</v>
      </c>
      <c r="N171" t="s">
        <v>55</v>
      </c>
      <c r="O171">
        <v>179</v>
      </c>
    </row>
    <row r="172" spans="1:15" x14ac:dyDescent="0.3">
      <c r="A172" s="1">
        <v>44732</v>
      </c>
      <c r="B172" t="s">
        <v>30</v>
      </c>
      <c r="C172" t="s">
        <v>38</v>
      </c>
      <c r="D172" t="s">
        <v>17</v>
      </c>
      <c r="E172" t="s">
        <v>22</v>
      </c>
      <c r="F172">
        <v>2892</v>
      </c>
      <c r="G172">
        <v>2763</v>
      </c>
      <c r="H172">
        <v>38171.449999999997</v>
      </c>
      <c r="I172">
        <v>31540.16</v>
      </c>
      <c r="J172">
        <v>6631.29</v>
      </c>
      <c r="K172">
        <v>238</v>
      </c>
      <c r="L172">
        <v>72.599999999999994</v>
      </c>
      <c r="M172" t="s">
        <v>19</v>
      </c>
      <c r="N172" t="s">
        <v>58</v>
      </c>
      <c r="O172">
        <v>442</v>
      </c>
    </row>
    <row r="173" spans="1:15" x14ac:dyDescent="0.3">
      <c r="A173" s="1">
        <v>44733</v>
      </c>
      <c r="B173" t="s">
        <v>30</v>
      </c>
      <c r="C173" t="s">
        <v>38</v>
      </c>
      <c r="D173" t="s">
        <v>28</v>
      </c>
      <c r="E173" t="s">
        <v>18</v>
      </c>
      <c r="F173">
        <v>648</v>
      </c>
      <c r="G173">
        <v>576</v>
      </c>
      <c r="H173">
        <v>10018</v>
      </c>
      <c r="I173">
        <v>6808.39</v>
      </c>
      <c r="J173">
        <v>3209.6</v>
      </c>
      <c r="K173">
        <v>86</v>
      </c>
      <c r="L173">
        <v>72.3</v>
      </c>
      <c r="M173" t="s">
        <v>23</v>
      </c>
      <c r="N173" t="s">
        <v>47</v>
      </c>
      <c r="O173">
        <v>309</v>
      </c>
    </row>
    <row r="174" spans="1:15" x14ac:dyDescent="0.3">
      <c r="A174" s="1">
        <v>44734</v>
      </c>
      <c r="B174" t="s">
        <v>44</v>
      </c>
      <c r="C174" t="s">
        <v>16</v>
      </c>
      <c r="D174" t="s">
        <v>45</v>
      </c>
      <c r="E174" t="s">
        <v>22</v>
      </c>
      <c r="F174">
        <v>2008</v>
      </c>
      <c r="G174">
        <v>1893</v>
      </c>
      <c r="H174">
        <v>24339.4</v>
      </c>
      <c r="I174">
        <v>19379.580000000002</v>
      </c>
      <c r="J174">
        <v>4959.82</v>
      </c>
      <c r="K174">
        <v>86</v>
      </c>
      <c r="L174">
        <v>57.3</v>
      </c>
      <c r="M174" t="s">
        <v>23</v>
      </c>
      <c r="N174" t="s">
        <v>42</v>
      </c>
      <c r="O174">
        <v>278</v>
      </c>
    </row>
    <row r="175" spans="1:15" x14ac:dyDescent="0.3">
      <c r="A175" s="1">
        <v>44735</v>
      </c>
      <c r="B175" t="s">
        <v>44</v>
      </c>
      <c r="C175" t="s">
        <v>16</v>
      </c>
      <c r="D175" t="s">
        <v>28</v>
      </c>
      <c r="E175" t="s">
        <v>36</v>
      </c>
      <c r="F175">
        <v>1009</v>
      </c>
      <c r="G175">
        <v>827</v>
      </c>
      <c r="H175">
        <v>10745.91</v>
      </c>
      <c r="I175">
        <v>7999.29</v>
      </c>
      <c r="J175">
        <v>2746.62</v>
      </c>
      <c r="K175">
        <v>158</v>
      </c>
      <c r="L175">
        <v>62.4</v>
      </c>
      <c r="M175" t="s">
        <v>23</v>
      </c>
      <c r="N175" t="s">
        <v>64</v>
      </c>
      <c r="O175">
        <v>472</v>
      </c>
    </row>
    <row r="176" spans="1:15" x14ac:dyDescent="0.3">
      <c r="A176" s="1">
        <v>44736</v>
      </c>
      <c r="B176" t="s">
        <v>34</v>
      </c>
      <c r="C176" t="s">
        <v>16</v>
      </c>
      <c r="D176" t="s">
        <v>40</v>
      </c>
      <c r="E176" t="s">
        <v>22</v>
      </c>
      <c r="F176">
        <v>2520</v>
      </c>
      <c r="G176">
        <v>2348</v>
      </c>
      <c r="H176">
        <v>19985.23</v>
      </c>
      <c r="I176">
        <v>14217.95</v>
      </c>
      <c r="J176">
        <v>5767.29</v>
      </c>
      <c r="K176">
        <v>267</v>
      </c>
      <c r="L176">
        <v>68.099999999999994</v>
      </c>
      <c r="M176" t="s">
        <v>23</v>
      </c>
      <c r="N176" t="s">
        <v>33</v>
      </c>
      <c r="O176">
        <v>166</v>
      </c>
    </row>
    <row r="177" spans="1:15" x14ac:dyDescent="0.3">
      <c r="A177" s="1">
        <v>44737</v>
      </c>
      <c r="B177" t="s">
        <v>34</v>
      </c>
      <c r="C177" t="s">
        <v>16</v>
      </c>
      <c r="D177" t="s">
        <v>45</v>
      </c>
      <c r="E177" t="s">
        <v>22</v>
      </c>
      <c r="F177">
        <v>2231</v>
      </c>
      <c r="G177">
        <v>2198</v>
      </c>
      <c r="H177">
        <v>26147.65</v>
      </c>
      <c r="I177">
        <v>21472.639999999999</v>
      </c>
      <c r="J177">
        <v>4675.01</v>
      </c>
      <c r="K177">
        <v>259</v>
      </c>
      <c r="L177">
        <v>87.4</v>
      </c>
      <c r="M177" t="s">
        <v>23</v>
      </c>
      <c r="N177" t="s">
        <v>62</v>
      </c>
      <c r="O177">
        <v>446</v>
      </c>
    </row>
    <row r="178" spans="1:15" x14ac:dyDescent="0.3">
      <c r="A178" s="1">
        <v>44738</v>
      </c>
      <c r="B178" t="s">
        <v>44</v>
      </c>
      <c r="C178" t="s">
        <v>38</v>
      </c>
      <c r="D178" t="s">
        <v>28</v>
      </c>
      <c r="E178" t="s">
        <v>36</v>
      </c>
      <c r="F178">
        <v>1071</v>
      </c>
      <c r="G178">
        <v>1024</v>
      </c>
      <c r="H178">
        <v>11321.39</v>
      </c>
      <c r="I178">
        <v>9648.7900000000009</v>
      </c>
      <c r="J178">
        <v>1672.61</v>
      </c>
      <c r="K178">
        <v>137</v>
      </c>
      <c r="L178">
        <v>32.799999999999997</v>
      </c>
      <c r="M178" t="s">
        <v>19</v>
      </c>
      <c r="N178" t="s">
        <v>29</v>
      </c>
      <c r="O178">
        <v>252</v>
      </c>
    </row>
    <row r="179" spans="1:15" x14ac:dyDescent="0.3">
      <c r="A179" s="1">
        <v>44739</v>
      </c>
      <c r="B179" t="s">
        <v>44</v>
      </c>
      <c r="C179" t="s">
        <v>38</v>
      </c>
      <c r="D179" t="s">
        <v>45</v>
      </c>
      <c r="E179" t="s">
        <v>18</v>
      </c>
      <c r="F179">
        <v>1275</v>
      </c>
      <c r="G179">
        <v>1089</v>
      </c>
      <c r="H179">
        <v>14594.23</v>
      </c>
      <c r="I179">
        <v>9750.25</v>
      </c>
      <c r="J179">
        <v>4843.9799999999996</v>
      </c>
      <c r="K179">
        <v>224</v>
      </c>
      <c r="L179">
        <v>16</v>
      </c>
      <c r="M179" t="s">
        <v>23</v>
      </c>
      <c r="N179" t="s">
        <v>58</v>
      </c>
      <c r="O179">
        <v>118</v>
      </c>
    </row>
    <row r="180" spans="1:15" x14ac:dyDescent="0.3">
      <c r="A180" s="1">
        <v>44740</v>
      </c>
      <c r="B180" t="s">
        <v>30</v>
      </c>
      <c r="C180" t="s">
        <v>26</v>
      </c>
      <c r="D180" t="s">
        <v>45</v>
      </c>
      <c r="E180" t="s">
        <v>36</v>
      </c>
      <c r="F180">
        <v>586</v>
      </c>
      <c r="G180">
        <v>544</v>
      </c>
      <c r="H180">
        <v>8654.18</v>
      </c>
      <c r="I180">
        <v>7275.05</v>
      </c>
      <c r="J180">
        <v>1379.14</v>
      </c>
      <c r="K180">
        <v>231</v>
      </c>
      <c r="L180">
        <v>13.2</v>
      </c>
      <c r="M180" t="s">
        <v>23</v>
      </c>
      <c r="N180" t="s">
        <v>50</v>
      </c>
      <c r="O180">
        <v>363</v>
      </c>
    </row>
    <row r="181" spans="1:15" x14ac:dyDescent="0.3">
      <c r="A181" s="1">
        <v>44741</v>
      </c>
      <c r="B181" t="s">
        <v>30</v>
      </c>
      <c r="C181" t="s">
        <v>26</v>
      </c>
      <c r="D181" t="s">
        <v>28</v>
      </c>
      <c r="E181" t="s">
        <v>18</v>
      </c>
      <c r="F181">
        <v>865</v>
      </c>
      <c r="G181">
        <v>727</v>
      </c>
      <c r="H181">
        <v>14284.82</v>
      </c>
      <c r="I181">
        <v>12609.14</v>
      </c>
      <c r="J181">
        <v>1675.69</v>
      </c>
      <c r="K181">
        <v>107</v>
      </c>
      <c r="L181">
        <v>41.9</v>
      </c>
      <c r="M181" t="s">
        <v>23</v>
      </c>
      <c r="N181" t="s">
        <v>46</v>
      </c>
      <c r="O181">
        <v>399</v>
      </c>
    </row>
    <row r="182" spans="1:15" x14ac:dyDescent="0.3">
      <c r="A182" s="1">
        <v>44742</v>
      </c>
      <c r="B182" t="s">
        <v>30</v>
      </c>
      <c r="C182" t="s">
        <v>31</v>
      </c>
      <c r="D182" t="s">
        <v>45</v>
      </c>
      <c r="E182" t="s">
        <v>22</v>
      </c>
      <c r="F182">
        <v>1462</v>
      </c>
      <c r="G182">
        <v>1414</v>
      </c>
      <c r="H182">
        <v>15645.86</v>
      </c>
      <c r="I182">
        <v>10611.24</v>
      </c>
      <c r="J182">
        <v>5034.62</v>
      </c>
      <c r="K182">
        <v>184</v>
      </c>
      <c r="L182">
        <v>68</v>
      </c>
      <c r="M182" t="s">
        <v>23</v>
      </c>
      <c r="N182" t="s">
        <v>55</v>
      </c>
      <c r="O182">
        <v>304</v>
      </c>
    </row>
    <row r="183" spans="1:15" x14ac:dyDescent="0.3">
      <c r="A183" s="1">
        <v>44743</v>
      </c>
      <c r="B183" t="s">
        <v>30</v>
      </c>
      <c r="C183" t="s">
        <v>31</v>
      </c>
      <c r="D183" t="s">
        <v>17</v>
      </c>
      <c r="E183" t="s">
        <v>22</v>
      </c>
      <c r="F183">
        <v>2301</v>
      </c>
      <c r="G183">
        <v>2153</v>
      </c>
      <c r="H183">
        <v>20459.53</v>
      </c>
      <c r="I183">
        <v>15187.13</v>
      </c>
      <c r="J183">
        <v>5272.41</v>
      </c>
      <c r="K183">
        <v>81</v>
      </c>
      <c r="L183">
        <v>64.2</v>
      </c>
      <c r="M183" t="s">
        <v>23</v>
      </c>
      <c r="N183" t="s">
        <v>48</v>
      </c>
      <c r="O183">
        <v>337</v>
      </c>
    </row>
    <row r="184" spans="1:15" x14ac:dyDescent="0.3">
      <c r="A184" s="1">
        <v>44744</v>
      </c>
      <c r="B184" t="s">
        <v>30</v>
      </c>
      <c r="C184" t="s">
        <v>38</v>
      </c>
      <c r="D184" t="s">
        <v>17</v>
      </c>
      <c r="E184" t="s">
        <v>22</v>
      </c>
      <c r="F184">
        <v>2730</v>
      </c>
      <c r="G184">
        <v>2578</v>
      </c>
      <c r="H184">
        <v>32255.72</v>
      </c>
      <c r="I184">
        <v>24676.51</v>
      </c>
      <c r="J184">
        <v>7579.2</v>
      </c>
      <c r="K184">
        <v>296</v>
      </c>
      <c r="L184">
        <v>24.7</v>
      </c>
      <c r="M184" t="s">
        <v>23</v>
      </c>
      <c r="N184" t="s">
        <v>43</v>
      </c>
      <c r="O184">
        <v>262</v>
      </c>
    </row>
    <row r="185" spans="1:15" x14ac:dyDescent="0.3">
      <c r="A185" s="1">
        <v>44745</v>
      </c>
      <c r="B185" t="s">
        <v>30</v>
      </c>
      <c r="C185" t="s">
        <v>38</v>
      </c>
      <c r="D185" t="s">
        <v>21</v>
      </c>
      <c r="E185" t="s">
        <v>18</v>
      </c>
      <c r="F185">
        <v>1185</v>
      </c>
      <c r="G185">
        <v>1073</v>
      </c>
      <c r="H185">
        <v>16899.46</v>
      </c>
      <c r="I185">
        <v>11589.18</v>
      </c>
      <c r="J185">
        <v>5310.28</v>
      </c>
      <c r="K185">
        <v>111</v>
      </c>
      <c r="L185">
        <v>38.5</v>
      </c>
      <c r="M185" t="s">
        <v>19</v>
      </c>
      <c r="N185" t="s">
        <v>20</v>
      </c>
      <c r="O185">
        <v>282</v>
      </c>
    </row>
    <row r="186" spans="1:15" x14ac:dyDescent="0.3">
      <c r="A186" s="1">
        <v>44746</v>
      </c>
      <c r="B186" t="s">
        <v>25</v>
      </c>
      <c r="C186" t="s">
        <v>26</v>
      </c>
      <c r="D186" t="s">
        <v>45</v>
      </c>
      <c r="E186" t="s">
        <v>22</v>
      </c>
      <c r="F186">
        <v>2785</v>
      </c>
      <c r="G186">
        <v>2651</v>
      </c>
      <c r="H186">
        <v>26953.08</v>
      </c>
      <c r="I186">
        <v>16607.34</v>
      </c>
      <c r="J186">
        <v>10345.74</v>
      </c>
      <c r="K186">
        <v>165</v>
      </c>
      <c r="L186">
        <v>77.8</v>
      </c>
      <c r="M186" t="s">
        <v>23</v>
      </c>
      <c r="N186" t="s">
        <v>29</v>
      </c>
      <c r="O186">
        <v>334</v>
      </c>
    </row>
    <row r="187" spans="1:15" x14ac:dyDescent="0.3">
      <c r="A187" s="1">
        <v>44747</v>
      </c>
      <c r="B187" t="s">
        <v>25</v>
      </c>
      <c r="C187" t="s">
        <v>26</v>
      </c>
      <c r="D187" t="s">
        <v>17</v>
      </c>
      <c r="E187" t="s">
        <v>36</v>
      </c>
      <c r="F187">
        <v>1269</v>
      </c>
      <c r="G187">
        <v>1241</v>
      </c>
      <c r="H187">
        <v>20133.46</v>
      </c>
      <c r="I187">
        <v>12634.98</v>
      </c>
      <c r="J187">
        <v>7498.48</v>
      </c>
      <c r="K187">
        <v>129</v>
      </c>
      <c r="L187">
        <v>29.2</v>
      </c>
      <c r="M187" t="s">
        <v>23</v>
      </c>
      <c r="N187" t="s">
        <v>64</v>
      </c>
      <c r="O187">
        <v>93</v>
      </c>
    </row>
    <row r="188" spans="1:15" x14ac:dyDescent="0.3">
      <c r="A188" s="1">
        <v>44748</v>
      </c>
      <c r="B188" t="s">
        <v>34</v>
      </c>
      <c r="C188" t="s">
        <v>38</v>
      </c>
      <c r="D188" t="s">
        <v>28</v>
      </c>
      <c r="E188" t="s">
        <v>22</v>
      </c>
      <c r="F188">
        <v>2566</v>
      </c>
      <c r="G188">
        <v>2544</v>
      </c>
      <c r="H188">
        <v>41382.29</v>
      </c>
      <c r="I188">
        <v>35671.410000000003</v>
      </c>
      <c r="J188">
        <v>5710.89</v>
      </c>
      <c r="K188">
        <v>190</v>
      </c>
      <c r="L188">
        <v>88.9</v>
      </c>
      <c r="M188" t="s">
        <v>23</v>
      </c>
      <c r="N188" t="s">
        <v>50</v>
      </c>
      <c r="O188">
        <v>411</v>
      </c>
    </row>
    <row r="189" spans="1:15" x14ac:dyDescent="0.3">
      <c r="A189" s="1">
        <v>44749</v>
      </c>
      <c r="B189" t="s">
        <v>34</v>
      </c>
      <c r="C189" t="s">
        <v>38</v>
      </c>
      <c r="D189" t="s">
        <v>35</v>
      </c>
      <c r="E189" t="s">
        <v>22</v>
      </c>
      <c r="F189">
        <v>2676</v>
      </c>
      <c r="G189">
        <v>2569</v>
      </c>
      <c r="H189">
        <v>42947.360000000001</v>
      </c>
      <c r="I189">
        <v>38547.1</v>
      </c>
      <c r="J189">
        <v>4400.26</v>
      </c>
      <c r="K189">
        <v>183</v>
      </c>
      <c r="L189">
        <v>27.5</v>
      </c>
      <c r="M189" t="s">
        <v>19</v>
      </c>
      <c r="N189" t="s">
        <v>57</v>
      </c>
      <c r="O189">
        <v>59</v>
      </c>
    </row>
    <row r="190" spans="1:15" x14ac:dyDescent="0.3">
      <c r="A190" s="1">
        <v>44750</v>
      </c>
      <c r="B190" t="s">
        <v>34</v>
      </c>
      <c r="C190" t="s">
        <v>26</v>
      </c>
      <c r="D190" t="s">
        <v>17</v>
      </c>
      <c r="E190" t="s">
        <v>36</v>
      </c>
      <c r="F190">
        <v>1916</v>
      </c>
      <c r="G190">
        <v>1753</v>
      </c>
      <c r="H190">
        <v>14134.01</v>
      </c>
      <c r="I190">
        <v>11707.16</v>
      </c>
      <c r="J190">
        <v>2426.85</v>
      </c>
      <c r="K190">
        <v>133</v>
      </c>
      <c r="L190">
        <v>84.9</v>
      </c>
      <c r="M190" t="s">
        <v>23</v>
      </c>
      <c r="N190" t="s">
        <v>56</v>
      </c>
      <c r="O190">
        <v>467</v>
      </c>
    </row>
    <row r="191" spans="1:15" x14ac:dyDescent="0.3">
      <c r="A191" s="1">
        <v>44751</v>
      </c>
      <c r="B191" t="s">
        <v>34</v>
      </c>
      <c r="C191" t="s">
        <v>26</v>
      </c>
      <c r="D191" t="s">
        <v>21</v>
      </c>
      <c r="E191" t="s">
        <v>36</v>
      </c>
      <c r="F191">
        <v>2278</v>
      </c>
      <c r="G191">
        <v>2209</v>
      </c>
      <c r="H191">
        <v>40910.26</v>
      </c>
      <c r="I191">
        <v>36774.239999999998</v>
      </c>
      <c r="J191">
        <v>4136.01</v>
      </c>
      <c r="K191">
        <v>211</v>
      </c>
      <c r="L191">
        <v>44.7</v>
      </c>
      <c r="M191" t="s">
        <v>23</v>
      </c>
      <c r="N191" t="s">
        <v>62</v>
      </c>
      <c r="O191">
        <v>73</v>
      </c>
    </row>
    <row r="192" spans="1:15" x14ac:dyDescent="0.3">
      <c r="A192" s="1">
        <v>44752</v>
      </c>
      <c r="B192" t="s">
        <v>15</v>
      </c>
      <c r="C192" t="s">
        <v>16</v>
      </c>
      <c r="D192" t="s">
        <v>45</v>
      </c>
      <c r="E192" t="s">
        <v>18</v>
      </c>
      <c r="F192">
        <v>2952</v>
      </c>
      <c r="G192">
        <v>2915</v>
      </c>
      <c r="H192">
        <v>29157.64</v>
      </c>
      <c r="I192">
        <v>19080.64</v>
      </c>
      <c r="J192">
        <v>10077</v>
      </c>
      <c r="K192">
        <v>252</v>
      </c>
      <c r="L192">
        <v>18.399999999999999</v>
      </c>
      <c r="M192" t="s">
        <v>23</v>
      </c>
      <c r="N192" t="s">
        <v>47</v>
      </c>
      <c r="O192">
        <v>270</v>
      </c>
    </row>
    <row r="193" spans="1:15" x14ac:dyDescent="0.3">
      <c r="A193" s="1">
        <v>44753</v>
      </c>
      <c r="B193" t="s">
        <v>15</v>
      </c>
      <c r="C193" t="s">
        <v>16</v>
      </c>
      <c r="D193" t="s">
        <v>17</v>
      </c>
      <c r="E193" t="s">
        <v>22</v>
      </c>
      <c r="F193">
        <v>835</v>
      </c>
      <c r="G193">
        <v>650</v>
      </c>
      <c r="H193">
        <v>9579.58</v>
      </c>
      <c r="I193">
        <v>7359.01</v>
      </c>
      <c r="J193">
        <v>2220.5700000000002</v>
      </c>
      <c r="K193">
        <v>103</v>
      </c>
      <c r="L193">
        <v>70.900000000000006</v>
      </c>
      <c r="M193" t="s">
        <v>19</v>
      </c>
      <c r="N193" t="s">
        <v>29</v>
      </c>
      <c r="O193">
        <v>109</v>
      </c>
    </row>
    <row r="194" spans="1:15" x14ac:dyDescent="0.3">
      <c r="A194" s="1">
        <v>44754</v>
      </c>
      <c r="B194" t="s">
        <v>15</v>
      </c>
      <c r="C194" t="s">
        <v>16</v>
      </c>
      <c r="D194" t="s">
        <v>21</v>
      </c>
      <c r="E194" t="s">
        <v>22</v>
      </c>
      <c r="F194">
        <v>1640</v>
      </c>
      <c r="G194">
        <v>1482</v>
      </c>
      <c r="H194">
        <v>26530.12</v>
      </c>
      <c r="I194">
        <v>20059.13</v>
      </c>
      <c r="J194">
        <v>6470.99</v>
      </c>
      <c r="K194">
        <v>252</v>
      </c>
      <c r="L194">
        <v>23.3</v>
      </c>
      <c r="M194" t="s">
        <v>23</v>
      </c>
      <c r="N194" t="s">
        <v>33</v>
      </c>
      <c r="O194">
        <v>195</v>
      </c>
    </row>
    <row r="195" spans="1:15" x14ac:dyDescent="0.3">
      <c r="A195" s="1">
        <v>44755</v>
      </c>
      <c r="B195" t="s">
        <v>15</v>
      </c>
      <c r="C195" t="s">
        <v>16</v>
      </c>
      <c r="D195" t="s">
        <v>45</v>
      </c>
      <c r="E195" t="s">
        <v>18</v>
      </c>
      <c r="F195">
        <v>2151</v>
      </c>
      <c r="G195">
        <v>2039</v>
      </c>
      <c r="H195">
        <v>30949.38</v>
      </c>
      <c r="I195">
        <v>25400.12</v>
      </c>
      <c r="J195">
        <v>5549.26</v>
      </c>
      <c r="K195">
        <v>282</v>
      </c>
      <c r="L195">
        <v>76</v>
      </c>
      <c r="M195" t="s">
        <v>23</v>
      </c>
      <c r="N195" t="s">
        <v>39</v>
      </c>
      <c r="O195">
        <v>450</v>
      </c>
    </row>
    <row r="196" spans="1:15" x14ac:dyDescent="0.3">
      <c r="A196" s="1">
        <v>44756</v>
      </c>
      <c r="B196" t="s">
        <v>30</v>
      </c>
      <c r="C196" t="s">
        <v>26</v>
      </c>
      <c r="D196" t="s">
        <v>35</v>
      </c>
      <c r="E196" t="s">
        <v>22</v>
      </c>
      <c r="F196">
        <v>2671</v>
      </c>
      <c r="G196">
        <v>2597</v>
      </c>
      <c r="H196">
        <v>43836.94</v>
      </c>
      <c r="I196">
        <v>38799.800000000003</v>
      </c>
      <c r="J196">
        <v>5037.13</v>
      </c>
      <c r="K196">
        <v>148</v>
      </c>
      <c r="L196">
        <v>26.6</v>
      </c>
      <c r="M196" t="s">
        <v>23</v>
      </c>
      <c r="N196" t="s">
        <v>52</v>
      </c>
      <c r="O196">
        <v>308</v>
      </c>
    </row>
    <row r="197" spans="1:15" x14ac:dyDescent="0.3">
      <c r="A197" s="1">
        <v>44757</v>
      </c>
      <c r="B197" t="s">
        <v>30</v>
      </c>
      <c r="C197" t="s">
        <v>26</v>
      </c>
      <c r="D197" t="s">
        <v>21</v>
      </c>
      <c r="E197" t="s">
        <v>36</v>
      </c>
      <c r="F197">
        <v>2142</v>
      </c>
      <c r="G197">
        <v>2030</v>
      </c>
      <c r="H197">
        <v>30510.34</v>
      </c>
      <c r="I197">
        <v>23674.3</v>
      </c>
      <c r="J197">
        <v>6836.03</v>
      </c>
      <c r="K197">
        <v>277</v>
      </c>
      <c r="L197">
        <v>56.6</v>
      </c>
      <c r="M197" t="s">
        <v>23</v>
      </c>
      <c r="N197" t="s">
        <v>51</v>
      </c>
      <c r="O197">
        <v>452</v>
      </c>
    </row>
    <row r="198" spans="1:15" x14ac:dyDescent="0.3">
      <c r="A198" s="1">
        <v>44758</v>
      </c>
      <c r="B198" t="s">
        <v>25</v>
      </c>
      <c r="C198" t="s">
        <v>31</v>
      </c>
      <c r="D198" t="s">
        <v>40</v>
      </c>
      <c r="E198" t="s">
        <v>36</v>
      </c>
      <c r="F198">
        <v>2503</v>
      </c>
      <c r="G198">
        <v>2455</v>
      </c>
      <c r="H198">
        <v>32460.41</v>
      </c>
      <c r="I198">
        <v>28604.31</v>
      </c>
      <c r="J198">
        <v>3856.1</v>
      </c>
      <c r="K198">
        <v>179</v>
      </c>
      <c r="L198">
        <v>22</v>
      </c>
      <c r="M198" t="s">
        <v>23</v>
      </c>
      <c r="N198" t="s">
        <v>42</v>
      </c>
      <c r="O198">
        <v>344</v>
      </c>
    </row>
    <row r="199" spans="1:15" x14ac:dyDescent="0.3">
      <c r="A199" s="1">
        <v>44759</v>
      </c>
      <c r="B199" t="s">
        <v>25</v>
      </c>
      <c r="C199" t="s">
        <v>31</v>
      </c>
      <c r="D199" t="s">
        <v>17</v>
      </c>
      <c r="E199" t="s">
        <v>22</v>
      </c>
      <c r="F199">
        <v>1140</v>
      </c>
      <c r="G199">
        <v>1117</v>
      </c>
      <c r="H199">
        <v>18714.330000000002</v>
      </c>
      <c r="I199">
        <v>15526.41</v>
      </c>
      <c r="J199">
        <v>3187.91</v>
      </c>
      <c r="K199">
        <v>261</v>
      </c>
      <c r="L199">
        <v>30.3</v>
      </c>
      <c r="M199" t="s">
        <v>23</v>
      </c>
      <c r="N199" t="s">
        <v>56</v>
      </c>
      <c r="O199">
        <v>80</v>
      </c>
    </row>
    <row r="200" spans="1:15" x14ac:dyDescent="0.3">
      <c r="A200" s="1">
        <v>44760</v>
      </c>
      <c r="B200" t="s">
        <v>34</v>
      </c>
      <c r="C200" t="s">
        <v>38</v>
      </c>
      <c r="D200" t="s">
        <v>21</v>
      </c>
      <c r="E200" t="s">
        <v>18</v>
      </c>
      <c r="F200">
        <v>662</v>
      </c>
      <c r="G200">
        <v>480</v>
      </c>
      <c r="H200">
        <v>9060.0300000000007</v>
      </c>
      <c r="I200">
        <v>6114.28</v>
      </c>
      <c r="J200">
        <v>2945.74</v>
      </c>
      <c r="K200">
        <v>159</v>
      </c>
      <c r="L200">
        <v>43.4</v>
      </c>
      <c r="M200" t="s">
        <v>23</v>
      </c>
      <c r="N200" t="s">
        <v>56</v>
      </c>
      <c r="O200">
        <v>254</v>
      </c>
    </row>
    <row r="201" spans="1:15" x14ac:dyDescent="0.3">
      <c r="A201" s="1">
        <v>44761</v>
      </c>
      <c r="B201" t="s">
        <v>34</v>
      </c>
      <c r="C201" t="s">
        <v>38</v>
      </c>
      <c r="D201" t="s">
        <v>45</v>
      </c>
      <c r="E201" t="s">
        <v>22</v>
      </c>
      <c r="F201">
        <v>2079</v>
      </c>
      <c r="G201">
        <v>2007</v>
      </c>
      <c r="H201">
        <v>27798.66</v>
      </c>
      <c r="I201">
        <v>16959.52</v>
      </c>
      <c r="J201">
        <v>10839.14</v>
      </c>
      <c r="K201">
        <v>163</v>
      </c>
      <c r="L201">
        <v>65.8</v>
      </c>
      <c r="M201" t="s">
        <v>23</v>
      </c>
      <c r="N201" t="s">
        <v>51</v>
      </c>
      <c r="O201">
        <v>245</v>
      </c>
    </row>
    <row r="202" spans="1:15" x14ac:dyDescent="0.3">
      <c r="A202" s="1">
        <v>44762</v>
      </c>
      <c r="B202" t="s">
        <v>25</v>
      </c>
      <c r="C202" t="s">
        <v>16</v>
      </c>
      <c r="D202" t="s">
        <v>17</v>
      </c>
      <c r="E202" t="s">
        <v>18</v>
      </c>
      <c r="F202">
        <v>2501</v>
      </c>
      <c r="G202">
        <v>2342</v>
      </c>
      <c r="H202">
        <v>37391.15</v>
      </c>
      <c r="I202">
        <v>33241.410000000003</v>
      </c>
      <c r="J202">
        <v>4149.7299999999996</v>
      </c>
      <c r="K202">
        <v>222</v>
      </c>
      <c r="L202">
        <v>89.4</v>
      </c>
      <c r="M202" t="s">
        <v>23</v>
      </c>
      <c r="N202" t="s">
        <v>60</v>
      </c>
      <c r="O202">
        <v>425</v>
      </c>
    </row>
    <row r="203" spans="1:15" x14ac:dyDescent="0.3">
      <c r="A203" s="1">
        <v>44763</v>
      </c>
      <c r="B203" t="s">
        <v>25</v>
      </c>
      <c r="C203" t="s">
        <v>16</v>
      </c>
      <c r="D203" t="s">
        <v>35</v>
      </c>
      <c r="E203" t="s">
        <v>22</v>
      </c>
      <c r="F203">
        <v>1836</v>
      </c>
      <c r="G203">
        <v>1672</v>
      </c>
      <c r="H203">
        <v>33064.74</v>
      </c>
      <c r="I203">
        <v>22383.48</v>
      </c>
      <c r="J203">
        <v>10681.27</v>
      </c>
      <c r="K203">
        <v>210</v>
      </c>
      <c r="L203">
        <v>75.3</v>
      </c>
      <c r="M203" t="s">
        <v>23</v>
      </c>
      <c r="N203" t="s">
        <v>24</v>
      </c>
      <c r="O203">
        <v>452</v>
      </c>
    </row>
    <row r="204" spans="1:15" x14ac:dyDescent="0.3">
      <c r="A204" s="1">
        <v>44764</v>
      </c>
      <c r="B204" t="s">
        <v>15</v>
      </c>
      <c r="C204" t="s">
        <v>31</v>
      </c>
      <c r="D204" t="s">
        <v>28</v>
      </c>
      <c r="E204" t="s">
        <v>36</v>
      </c>
      <c r="F204">
        <v>2708</v>
      </c>
      <c r="G204">
        <v>2531</v>
      </c>
      <c r="H204">
        <v>42116.08</v>
      </c>
      <c r="I204">
        <v>30550.880000000001</v>
      </c>
      <c r="J204">
        <v>11565.2</v>
      </c>
      <c r="K204">
        <v>150</v>
      </c>
      <c r="L204">
        <v>71.5</v>
      </c>
      <c r="M204" t="s">
        <v>23</v>
      </c>
      <c r="N204" t="s">
        <v>64</v>
      </c>
      <c r="O204">
        <v>110</v>
      </c>
    </row>
    <row r="205" spans="1:15" x14ac:dyDescent="0.3">
      <c r="A205" s="1">
        <v>44765</v>
      </c>
      <c r="B205" t="s">
        <v>15</v>
      </c>
      <c r="C205" t="s">
        <v>31</v>
      </c>
      <c r="D205" t="s">
        <v>45</v>
      </c>
      <c r="E205" t="s">
        <v>36</v>
      </c>
      <c r="F205">
        <v>2575</v>
      </c>
      <c r="G205">
        <v>2390</v>
      </c>
      <c r="H205">
        <v>34680.21</v>
      </c>
      <c r="I205">
        <v>29045.03</v>
      </c>
      <c r="J205">
        <v>5635.19</v>
      </c>
      <c r="K205">
        <v>256</v>
      </c>
      <c r="L205">
        <v>58.9</v>
      </c>
      <c r="M205" t="s">
        <v>23</v>
      </c>
      <c r="N205" t="s">
        <v>59</v>
      </c>
      <c r="O205">
        <v>147</v>
      </c>
    </row>
    <row r="206" spans="1:15" x14ac:dyDescent="0.3">
      <c r="A206" s="1">
        <v>44766</v>
      </c>
      <c r="B206" t="s">
        <v>34</v>
      </c>
      <c r="C206" t="s">
        <v>38</v>
      </c>
      <c r="D206" t="s">
        <v>40</v>
      </c>
      <c r="E206" t="s">
        <v>18</v>
      </c>
      <c r="F206">
        <v>1136</v>
      </c>
      <c r="G206">
        <v>970</v>
      </c>
      <c r="H206">
        <v>14108.83</v>
      </c>
      <c r="I206">
        <v>8728.8799999999992</v>
      </c>
      <c r="J206">
        <v>5379.95</v>
      </c>
      <c r="K206">
        <v>247</v>
      </c>
      <c r="L206">
        <v>20.100000000000001</v>
      </c>
      <c r="M206" t="s">
        <v>23</v>
      </c>
      <c r="N206" t="s">
        <v>63</v>
      </c>
      <c r="O206">
        <v>241</v>
      </c>
    </row>
    <row r="207" spans="1:15" x14ac:dyDescent="0.3">
      <c r="A207" s="1">
        <v>44767</v>
      </c>
      <c r="B207" t="s">
        <v>34</v>
      </c>
      <c r="C207" t="s">
        <v>38</v>
      </c>
      <c r="D207" t="s">
        <v>45</v>
      </c>
      <c r="E207" t="s">
        <v>18</v>
      </c>
      <c r="F207">
        <v>2354</v>
      </c>
      <c r="G207">
        <v>2306</v>
      </c>
      <c r="H207">
        <v>24020.14</v>
      </c>
      <c r="I207">
        <v>16275.72</v>
      </c>
      <c r="J207">
        <v>7744.42</v>
      </c>
      <c r="K207">
        <v>99</v>
      </c>
      <c r="L207">
        <v>59</v>
      </c>
      <c r="M207" t="s">
        <v>19</v>
      </c>
      <c r="N207" t="s">
        <v>43</v>
      </c>
      <c r="O207">
        <v>263</v>
      </c>
    </row>
    <row r="208" spans="1:15" x14ac:dyDescent="0.3">
      <c r="A208" s="1">
        <v>44768</v>
      </c>
      <c r="B208" t="s">
        <v>34</v>
      </c>
      <c r="C208" t="s">
        <v>26</v>
      </c>
      <c r="D208" t="s">
        <v>45</v>
      </c>
      <c r="E208" t="s">
        <v>36</v>
      </c>
      <c r="F208">
        <v>2605</v>
      </c>
      <c r="G208">
        <v>2578</v>
      </c>
      <c r="H208">
        <v>44506.98</v>
      </c>
      <c r="I208">
        <v>27066.93</v>
      </c>
      <c r="J208">
        <v>17440.05</v>
      </c>
      <c r="K208">
        <v>232</v>
      </c>
      <c r="L208">
        <v>18.5</v>
      </c>
      <c r="M208" t="s">
        <v>23</v>
      </c>
      <c r="N208" t="s">
        <v>20</v>
      </c>
      <c r="O208">
        <v>146</v>
      </c>
    </row>
    <row r="209" spans="1:15" x14ac:dyDescent="0.3">
      <c r="A209" s="1">
        <v>44769</v>
      </c>
      <c r="B209" t="s">
        <v>34</v>
      </c>
      <c r="C209" t="s">
        <v>26</v>
      </c>
      <c r="D209" t="s">
        <v>21</v>
      </c>
      <c r="E209" t="s">
        <v>22</v>
      </c>
      <c r="F209">
        <v>1511</v>
      </c>
      <c r="G209">
        <v>1506</v>
      </c>
      <c r="H209">
        <v>18769.57</v>
      </c>
      <c r="I209">
        <v>13805.19</v>
      </c>
      <c r="J209">
        <v>4964.38</v>
      </c>
      <c r="K209">
        <v>202</v>
      </c>
      <c r="L209">
        <v>44.2</v>
      </c>
      <c r="M209" t="s">
        <v>19</v>
      </c>
      <c r="N209" t="s">
        <v>58</v>
      </c>
      <c r="O209">
        <v>316</v>
      </c>
    </row>
    <row r="210" spans="1:15" x14ac:dyDescent="0.3">
      <c r="A210" s="1">
        <v>44770</v>
      </c>
      <c r="B210" t="s">
        <v>30</v>
      </c>
      <c r="C210" t="s">
        <v>16</v>
      </c>
      <c r="D210" t="s">
        <v>45</v>
      </c>
      <c r="E210" t="s">
        <v>36</v>
      </c>
      <c r="F210">
        <v>1404</v>
      </c>
      <c r="G210">
        <v>1358</v>
      </c>
      <c r="H210">
        <v>14055.42</v>
      </c>
      <c r="I210">
        <v>12215.39</v>
      </c>
      <c r="J210">
        <v>1840.03</v>
      </c>
      <c r="K210">
        <v>289</v>
      </c>
      <c r="L210">
        <v>24.2</v>
      </c>
      <c r="M210" t="s">
        <v>23</v>
      </c>
      <c r="N210" t="s">
        <v>20</v>
      </c>
      <c r="O210">
        <v>435</v>
      </c>
    </row>
    <row r="211" spans="1:15" x14ac:dyDescent="0.3">
      <c r="A211" s="1">
        <v>44771</v>
      </c>
      <c r="B211" t="s">
        <v>30</v>
      </c>
      <c r="C211" t="s">
        <v>16</v>
      </c>
      <c r="D211" t="s">
        <v>35</v>
      </c>
      <c r="E211" t="s">
        <v>18</v>
      </c>
      <c r="F211">
        <v>1347</v>
      </c>
      <c r="G211">
        <v>1217</v>
      </c>
      <c r="H211">
        <v>15038.72</v>
      </c>
      <c r="I211">
        <v>13070.99</v>
      </c>
      <c r="J211">
        <v>1967.73</v>
      </c>
      <c r="K211">
        <v>186</v>
      </c>
      <c r="L211">
        <v>98.5</v>
      </c>
      <c r="M211" t="s">
        <v>23</v>
      </c>
      <c r="N211" t="s">
        <v>39</v>
      </c>
      <c r="O211">
        <v>57</v>
      </c>
    </row>
    <row r="212" spans="1:15" x14ac:dyDescent="0.3">
      <c r="A212" s="1">
        <v>44772</v>
      </c>
      <c r="B212" t="s">
        <v>30</v>
      </c>
      <c r="C212" t="s">
        <v>16</v>
      </c>
      <c r="D212" t="s">
        <v>40</v>
      </c>
      <c r="E212" t="s">
        <v>18</v>
      </c>
      <c r="F212">
        <v>1652</v>
      </c>
      <c r="G212">
        <v>1590</v>
      </c>
      <c r="H212">
        <v>21980.65</v>
      </c>
      <c r="I212">
        <v>13995.74</v>
      </c>
      <c r="J212">
        <v>7984.91</v>
      </c>
      <c r="K212">
        <v>237</v>
      </c>
      <c r="L212">
        <v>67.099999999999994</v>
      </c>
      <c r="M212" t="s">
        <v>23</v>
      </c>
      <c r="N212" t="s">
        <v>59</v>
      </c>
      <c r="O212">
        <v>272</v>
      </c>
    </row>
    <row r="213" spans="1:15" x14ac:dyDescent="0.3">
      <c r="A213" s="1">
        <v>44773</v>
      </c>
      <c r="B213" t="s">
        <v>30</v>
      </c>
      <c r="C213" t="s">
        <v>16</v>
      </c>
      <c r="D213" t="s">
        <v>28</v>
      </c>
      <c r="E213" t="s">
        <v>18</v>
      </c>
      <c r="F213">
        <v>746</v>
      </c>
      <c r="G213">
        <v>619</v>
      </c>
      <c r="H213">
        <v>5045.6499999999996</v>
      </c>
      <c r="I213">
        <v>3874.69</v>
      </c>
      <c r="J213">
        <v>1170.96</v>
      </c>
      <c r="K213">
        <v>176</v>
      </c>
      <c r="L213">
        <v>12.6</v>
      </c>
      <c r="M213" t="s">
        <v>19</v>
      </c>
      <c r="N213" t="s">
        <v>60</v>
      </c>
      <c r="O213">
        <v>431</v>
      </c>
    </row>
    <row r="214" spans="1:15" x14ac:dyDescent="0.3">
      <c r="A214" s="1">
        <v>44774</v>
      </c>
      <c r="B214" t="s">
        <v>34</v>
      </c>
      <c r="C214" t="s">
        <v>26</v>
      </c>
      <c r="D214" t="s">
        <v>28</v>
      </c>
      <c r="E214" t="s">
        <v>22</v>
      </c>
      <c r="F214">
        <v>1957</v>
      </c>
      <c r="G214">
        <v>1824</v>
      </c>
      <c r="H214">
        <v>30137.79</v>
      </c>
      <c r="I214">
        <v>20924.82</v>
      </c>
      <c r="J214">
        <v>9212.9699999999993</v>
      </c>
      <c r="K214">
        <v>218</v>
      </c>
      <c r="L214">
        <v>91.1</v>
      </c>
      <c r="M214" t="s">
        <v>23</v>
      </c>
      <c r="N214" t="s">
        <v>27</v>
      </c>
      <c r="O214">
        <v>262</v>
      </c>
    </row>
    <row r="215" spans="1:15" x14ac:dyDescent="0.3">
      <c r="A215" s="1">
        <v>44775</v>
      </c>
      <c r="B215" t="s">
        <v>34</v>
      </c>
      <c r="C215" t="s">
        <v>26</v>
      </c>
      <c r="D215" t="s">
        <v>35</v>
      </c>
      <c r="E215" t="s">
        <v>22</v>
      </c>
      <c r="F215">
        <v>1481</v>
      </c>
      <c r="G215">
        <v>1351</v>
      </c>
      <c r="H215">
        <v>25071.67</v>
      </c>
      <c r="I215">
        <v>18995.060000000001</v>
      </c>
      <c r="J215">
        <v>6076.61</v>
      </c>
      <c r="K215">
        <v>100</v>
      </c>
      <c r="L215">
        <v>20.2</v>
      </c>
      <c r="M215" t="s">
        <v>23</v>
      </c>
      <c r="N215" t="s">
        <v>39</v>
      </c>
      <c r="O215">
        <v>212</v>
      </c>
    </row>
    <row r="216" spans="1:15" x14ac:dyDescent="0.3">
      <c r="A216" s="1">
        <v>44776</v>
      </c>
      <c r="B216" t="s">
        <v>30</v>
      </c>
      <c r="C216" t="s">
        <v>38</v>
      </c>
      <c r="D216" t="s">
        <v>40</v>
      </c>
      <c r="E216" t="s">
        <v>22</v>
      </c>
      <c r="F216">
        <v>1598</v>
      </c>
      <c r="G216">
        <v>1414</v>
      </c>
      <c r="H216">
        <v>18701.66</v>
      </c>
      <c r="I216">
        <v>14459.65</v>
      </c>
      <c r="J216">
        <v>4242</v>
      </c>
      <c r="K216">
        <v>96</v>
      </c>
      <c r="L216">
        <v>85.7</v>
      </c>
      <c r="M216" t="s">
        <v>23</v>
      </c>
      <c r="N216" t="s">
        <v>41</v>
      </c>
      <c r="O216">
        <v>396</v>
      </c>
    </row>
    <row r="217" spans="1:15" x14ac:dyDescent="0.3">
      <c r="A217" s="1">
        <v>44777</v>
      </c>
      <c r="B217" t="s">
        <v>30</v>
      </c>
      <c r="C217" t="s">
        <v>38</v>
      </c>
      <c r="D217" t="s">
        <v>35</v>
      </c>
      <c r="E217" t="s">
        <v>18</v>
      </c>
      <c r="F217">
        <v>788</v>
      </c>
      <c r="G217">
        <v>664</v>
      </c>
      <c r="H217">
        <v>10699.78</v>
      </c>
      <c r="I217">
        <v>7463.43</v>
      </c>
      <c r="J217">
        <v>3236.35</v>
      </c>
      <c r="K217">
        <v>247</v>
      </c>
      <c r="L217">
        <v>10.3</v>
      </c>
      <c r="M217" t="s">
        <v>23</v>
      </c>
      <c r="N217" t="s">
        <v>59</v>
      </c>
      <c r="O217">
        <v>250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96080-4070-4F95-B547-8B03268AB7D7}">
  <dimension ref="A1:U19"/>
  <sheetViews>
    <sheetView topLeftCell="J1" workbookViewId="0">
      <selection activeCell="T1" sqref="T1:U6"/>
    </sheetView>
  </sheetViews>
  <sheetFormatPr defaultRowHeight="14.4" x14ac:dyDescent="0.3"/>
  <cols>
    <col min="1" max="1" width="21.109375" bestFit="1" customWidth="1"/>
    <col min="2" max="2" width="15.6640625" bestFit="1" customWidth="1"/>
    <col min="3" max="5" width="13.109375" bestFit="1" customWidth="1"/>
    <col min="6" max="6" width="3.88671875" bestFit="1" customWidth="1"/>
    <col min="7" max="7" width="5.44140625" bestFit="1" customWidth="1"/>
    <col min="8" max="8" width="10.77734375" bestFit="1" customWidth="1"/>
    <col min="9" max="9" width="19.5546875" bestFit="1" customWidth="1"/>
    <col min="11" max="11" width="12.44140625" bestFit="1" customWidth="1"/>
    <col min="12" max="12" width="19.5546875" bestFit="1" customWidth="1"/>
    <col min="14" max="14" width="12.44140625" bestFit="1" customWidth="1"/>
    <col min="15" max="15" width="16.77734375" bestFit="1" customWidth="1"/>
    <col min="17" max="17" width="12.44140625" bestFit="1" customWidth="1"/>
    <col min="18" max="18" width="21.109375" bestFit="1" customWidth="1"/>
    <col min="19" max="19" width="22.33203125" bestFit="1" customWidth="1"/>
    <col min="20" max="20" width="10.77734375" bestFit="1" customWidth="1"/>
    <col min="21" max="21" width="24.33203125" bestFit="1" customWidth="1"/>
    <col min="22" max="22" width="21.109375" bestFit="1" customWidth="1"/>
  </cols>
  <sheetData>
    <row r="1" spans="1:21" x14ac:dyDescent="0.3">
      <c r="A1" s="3" t="s">
        <v>75</v>
      </c>
      <c r="B1" s="3" t="s">
        <v>74</v>
      </c>
      <c r="H1" s="3" t="s">
        <v>76</v>
      </c>
      <c r="I1" t="s">
        <v>77</v>
      </c>
      <c r="K1" s="3" t="s">
        <v>79</v>
      </c>
      <c r="L1" t="s">
        <v>78</v>
      </c>
      <c r="N1" s="3" t="s">
        <v>79</v>
      </c>
      <c r="O1" t="s">
        <v>80</v>
      </c>
      <c r="Q1" s="3" t="s">
        <v>79</v>
      </c>
      <c r="R1" t="s">
        <v>77</v>
      </c>
      <c r="T1" s="3" t="s">
        <v>2</v>
      </c>
      <c r="U1" t="s">
        <v>82</v>
      </c>
    </row>
    <row r="2" spans="1:21" x14ac:dyDescent="0.3">
      <c r="A2" s="3" t="s">
        <v>76</v>
      </c>
      <c r="B2" t="s">
        <v>36</v>
      </c>
      <c r="C2" t="s">
        <v>18</v>
      </c>
      <c r="D2" t="s">
        <v>22</v>
      </c>
      <c r="E2" t="s">
        <v>65</v>
      </c>
      <c r="H2" s="4" t="s">
        <v>21</v>
      </c>
      <c r="I2" s="6">
        <v>883366.5900000002</v>
      </c>
      <c r="K2" s="4" t="s">
        <v>23</v>
      </c>
      <c r="L2" s="5">
        <v>162</v>
      </c>
      <c r="N2" s="4" t="s">
        <v>21</v>
      </c>
      <c r="O2" s="6">
        <v>223479.59</v>
      </c>
      <c r="Q2" s="4" t="s">
        <v>34</v>
      </c>
      <c r="R2" s="6">
        <v>1192917.6800000002</v>
      </c>
      <c r="T2" s="4" t="s">
        <v>31</v>
      </c>
      <c r="U2" s="6">
        <v>1681.2758620689656</v>
      </c>
    </row>
    <row r="3" spans="1:21" x14ac:dyDescent="0.3">
      <c r="A3" s="4" t="s">
        <v>66</v>
      </c>
      <c r="B3" s="6">
        <v>20813</v>
      </c>
      <c r="C3" s="6">
        <v>10388</v>
      </c>
      <c r="D3" s="6">
        <v>23153</v>
      </c>
      <c r="E3" s="6">
        <v>54354</v>
      </c>
      <c r="H3" s="4" t="s">
        <v>35</v>
      </c>
      <c r="I3" s="6">
        <v>848728.96000000008</v>
      </c>
      <c r="K3" s="4" t="s">
        <v>19</v>
      </c>
      <c r="L3" s="5">
        <v>54</v>
      </c>
      <c r="N3" s="4" t="s">
        <v>35</v>
      </c>
      <c r="O3" s="6">
        <v>197663.93000000002</v>
      </c>
      <c r="Q3" s="4" t="s">
        <v>44</v>
      </c>
      <c r="R3" s="6">
        <v>811187.84000000008</v>
      </c>
      <c r="T3" s="4" t="s">
        <v>16</v>
      </c>
      <c r="U3" s="6">
        <v>1677.1206896551723</v>
      </c>
    </row>
    <row r="4" spans="1:21" x14ac:dyDescent="0.3">
      <c r="A4" s="4" t="s">
        <v>67</v>
      </c>
      <c r="B4" s="6">
        <v>17993</v>
      </c>
      <c r="C4" s="6">
        <v>17418</v>
      </c>
      <c r="D4" s="6">
        <v>12850</v>
      </c>
      <c r="E4" s="6">
        <v>48261</v>
      </c>
      <c r="H4" s="4" t="s">
        <v>40</v>
      </c>
      <c r="I4" s="6">
        <v>581175.79999999993</v>
      </c>
      <c r="K4" s="4" t="s">
        <v>65</v>
      </c>
      <c r="L4" s="5">
        <v>216</v>
      </c>
      <c r="N4" s="4" t="s">
        <v>40</v>
      </c>
      <c r="O4" s="6">
        <v>152969.92000000004</v>
      </c>
      <c r="Q4" s="4" t="s">
        <v>25</v>
      </c>
      <c r="R4" s="6">
        <v>888924.16000000003</v>
      </c>
      <c r="T4" s="4" t="s">
        <v>38</v>
      </c>
      <c r="U4" s="6">
        <v>1709.9583333333333</v>
      </c>
    </row>
    <row r="5" spans="1:21" x14ac:dyDescent="0.3">
      <c r="A5" s="4" t="s">
        <v>68</v>
      </c>
      <c r="B5" s="6">
        <v>14688</v>
      </c>
      <c r="C5" s="6">
        <v>26655</v>
      </c>
      <c r="D5" s="6">
        <v>14324</v>
      </c>
      <c r="E5" s="6">
        <v>55667</v>
      </c>
      <c r="H5" s="4" t="s">
        <v>28</v>
      </c>
      <c r="I5" s="6">
        <v>1060450</v>
      </c>
      <c r="N5" s="4" t="s">
        <v>28</v>
      </c>
      <c r="O5" s="6">
        <v>253965.34</v>
      </c>
      <c r="Q5" s="4" t="s">
        <v>15</v>
      </c>
      <c r="R5" s="6">
        <v>1075255.7</v>
      </c>
      <c r="T5" s="4" t="s">
        <v>26</v>
      </c>
      <c r="U5" s="6">
        <v>1794.25</v>
      </c>
    </row>
    <row r="6" spans="1:21" x14ac:dyDescent="0.3">
      <c r="A6" s="4" t="s">
        <v>69</v>
      </c>
      <c r="B6" s="6">
        <v>14334</v>
      </c>
      <c r="C6" s="6">
        <v>11226</v>
      </c>
      <c r="D6" s="6">
        <v>21998</v>
      </c>
      <c r="E6" s="6">
        <v>47558</v>
      </c>
      <c r="H6" s="4" t="s">
        <v>45</v>
      </c>
      <c r="I6" s="6">
        <v>690598.08000000007</v>
      </c>
      <c r="N6" s="4" t="s">
        <v>45</v>
      </c>
      <c r="O6" s="6">
        <v>181995.19</v>
      </c>
      <c r="Q6" s="4" t="s">
        <v>30</v>
      </c>
      <c r="R6" s="6">
        <v>950166.87</v>
      </c>
      <c r="T6" s="4" t="s">
        <v>65</v>
      </c>
      <c r="U6" s="6">
        <v>1713.7314814814815</v>
      </c>
    </row>
    <row r="7" spans="1:21" x14ac:dyDescent="0.3">
      <c r="A7" s="4" t="s">
        <v>70</v>
      </c>
      <c r="B7" s="6">
        <v>11530</v>
      </c>
      <c r="C7" s="6">
        <v>27645</v>
      </c>
      <c r="D7" s="6">
        <v>13574</v>
      </c>
      <c r="E7" s="6">
        <v>52749</v>
      </c>
      <c r="H7" s="4" t="s">
        <v>17</v>
      </c>
      <c r="I7" s="6">
        <v>854132.82</v>
      </c>
      <c r="N7" s="4" t="s">
        <v>17</v>
      </c>
      <c r="O7" s="6">
        <v>186906.65000000008</v>
      </c>
      <c r="Q7" s="4" t="s">
        <v>65</v>
      </c>
      <c r="R7" s="6">
        <v>4918452.25</v>
      </c>
    </row>
    <row r="8" spans="1:21" x14ac:dyDescent="0.3">
      <c r="A8" s="4" t="s">
        <v>71</v>
      </c>
      <c r="B8" s="6">
        <v>19547</v>
      </c>
      <c r="C8" s="6">
        <v>3949</v>
      </c>
      <c r="D8" s="6">
        <v>21401</v>
      </c>
      <c r="E8" s="6">
        <v>44897</v>
      </c>
      <c r="H8" s="4" t="s">
        <v>65</v>
      </c>
      <c r="I8" s="5">
        <v>4918452.25</v>
      </c>
      <c r="K8" s="3" t="s">
        <v>79</v>
      </c>
      <c r="L8" t="s">
        <v>77</v>
      </c>
      <c r="N8" s="4" t="s">
        <v>65</v>
      </c>
      <c r="O8" s="6">
        <v>1196980.6200000001</v>
      </c>
    </row>
    <row r="9" spans="1:21" x14ac:dyDescent="0.3">
      <c r="A9" s="4" t="s">
        <v>72</v>
      </c>
      <c r="B9" s="6">
        <v>19400</v>
      </c>
      <c r="C9" s="6">
        <v>16686</v>
      </c>
      <c r="D9" s="6">
        <v>24770</v>
      </c>
      <c r="E9" s="6">
        <v>60856</v>
      </c>
      <c r="K9" s="4" t="s">
        <v>47</v>
      </c>
      <c r="L9" s="6">
        <v>177882.84999999998</v>
      </c>
    </row>
    <row r="10" spans="1:21" x14ac:dyDescent="0.3">
      <c r="A10" s="4" t="s">
        <v>73</v>
      </c>
      <c r="B10" s="6"/>
      <c r="C10" s="6">
        <v>788</v>
      </c>
      <c r="D10" s="6">
        <v>5036</v>
      </c>
      <c r="E10" s="6">
        <v>5824</v>
      </c>
      <c r="K10" s="4" t="s">
        <v>56</v>
      </c>
      <c r="L10" s="6">
        <v>186770.56000000003</v>
      </c>
    </row>
    <row r="11" spans="1:21" x14ac:dyDescent="0.3">
      <c r="A11" s="4" t="s">
        <v>65</v>
      </c>
      <c r="B11" s="6">
        <v>118305</v>
      </c>
      <c r="C11" s="6">
        <v>114755</v>
      </c>
      <c r="D11" s="6">
        <v>137106</v>
      </c>
      <c r="E11" s="6">
        <v>370166</v>
      </c>
      <c r="K11" s="4" t="s">
        <v>57</v>
      </c>
      <c r="L11" s="6">
        <v>192215.99</v>
      </c>
    </row>
    <row r="12" spans="1:21" x14ac:dyDescent="0.3">
      <c r="K12" s="4" t="s">
        <v>46</v>
      </c>
      <c r="L12" s="6">
        <v>209007.33000000002</v>
      </c>
      <c r="Q12" s="4"/>
      <c r="R12" s="6"/>
    </row>
    <row r="13" spans="1:21" x14ac:dyDescent="0.3">
      <c r="K13" s="4" t="s">
        <v>24</v>
      </c>
      <c r="L13" s="6">
        <v>210767.94</v>
      </c>
      <c r="Q13" s="4"/>
      <c r="R13" s="6"/>
    </row>
    <row r="14" spans="1:21" x14ac:dyDescent="0.3">
      <c r="K14" s="4" t="s">
        <v>33</v>
      </c>
      <c r="L14" s="6">
        <v>226350.78</v>
      </c>
      <c r="Q14" s="3" t="s">
        <v>2</v>
      </c>
      <c r="R14" t="s">
        <v>75</v>
      </c>
      <c r="S14" t="s">
        <v>81</v>
      </c>
    </row>
    <row r="15" spans="1:21" x14ac:dyDescent="0.3">
      <c r="K15" s="4" t="s">
        <v>55</v>
      </c>
      <c r="L15" s="6">
        <v>227411.31</v>
      </c>
      <c r="Q15" s="4" t="s">
        <v>31</v>
      </c>
      <c r="R15" s="6">
        <v>97514</v>
      </c>
      <c r="S15" s="6">
        <v>3378.2999999999997</v>
      </c>
    </row>
    <row r="16" spans="1:21" x14ac:dyDescent="0.3">
      <c r="K16" s="4" t="s">
        <v>27</v>
      </c>
      <c r="L16" s="6">
        <v>234312.75</v>
      </c>
      <c r="Q16" s="4" t="s">
        <v>16</v>
      </c>
      <c r="R16" s="6">
        <v>97273</v>
      </c>
      <c r="S16" s="6">
        <v>3026.1000000000008</v>
      </c>
    </row>
    <row r="17" spans="11:19" x14ac:dyDescent="0.3">
      <c r="K17" s="4" t="s">
        <v>51</v>
      </c>
      <c r="L17" s="6">
        <v>285696.94</v>
      </c>
      <c r="Q17" s="4" t="s">
        <v>38</v>
      </c>
      <c r="R17" s="6">
        <v>82078</v>
      </c>
      <c r="S17" s="6">
        <v>2844.2000000000003</v>
      </c>
    </row>
    <row r="18" spans="11:19" x14ac:dyDescent="0.3">
      <c r="K18" s="4" t="s">
        <v>39</v>
      </c>
      <c r="L18" s="6">
        <v>291675.55999999994</v>
      </c>
      <c r="Q18" s="4" t="s">
        <v>26</v>
      </c>
      <c r="R18" s="6">
        <v>93301</v>
      </c>
      <c r="S18" s="6">
        <v>2634.599999999999</v>
      </c>
    </row>
    <row r="19" spans="11:19" x14ac:dyDescent="0.3">
      <c r="K19" s="4" t="s">
        <v>65</v>
      </c>
      <c r="L19" s="6">
        <v>2242092.0100000002</v>
      </c>
      <c r="Q19" s="4" t="s">
        <v>65</v>
      </c>
      <c r="R19" s="6">
        <v>370166</v>
      </c>
      <c r="S19" s="6">
        <v>11883.199999999999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5B5FC-AE3A-49B6-9363-AF9B53798480}">
  <dimension ref="A1"/>
  <sheetViews>
    <sheetView topLeftCell="B1" workbookViewId="0">
      <selection activeCell="K80" sqref="K80"/>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 - Texttile</vt:lpstr>
      <vt:lpstr>Pivot Table</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saurabh sonawane</cp:lastModifiedBy>
  <dcterms:created xsi:type="dcterms:W3CDTF">2015-06-05T18:17:20Z</dcterms:created>
  <dcterms:modified xsi:type="dcterms:W3CDTF">2025-11-05T10:37:33Z</dcterms:modified>
</cp:coreProperties>
</file>