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6) Pivot Table and Pivot Chart Projects\"/>
    </mc:Choice>
  </mc:AlternateContent>
  <xr:revisionPtr revIDLastSave="0" documentId="13_ncr:1_{7D94B362-8323-48AA-A879-4FFF8B863A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al Industry - Dataset" sheetId="1" r:id="rId1"/>
    <sheet name="Combo Chart" sheetId="14" r:id="rId2"/>
    <sheet name="Scatter Chart" sheetId="13" r:id="rId3"/>
    <sheet name="Bar Chart" sheetId="12" r:id="rId4"/>
    <sheet name="Pie Chart" sheetId="11" r:id="rId5"/>
    <sheet name="Line Chart" sheetId="10" r:id="rId6"/>
    <sheet name="Column Chart" sheetId="9" r:id="rId7"/>
    <sheet name="Yearly Trend of Maintenance Cos" sheetId="8" r:id="rId8"/>
    <sheet name="Revenue per Employee by Company" sheetId="7" r:id="rId9"/>
    <sheet name="Accidents by Company" sheetId="6" r:id="rId10"/>
    <sheet name="Total Production by Region" sheetId="2" r:id="rId11"/>
    <sheet name="Revenue by Company and Year" sheetId="3" r:id="rId12"/>
    <sheet name="Average CO₂ Emission per Mine" sheetId="4" r:id="rId13"/>
    <sheet name="Top 5 Mines by Production" sheetId="5" r:id="rId14"/>
  </sheets>
  <calcPr calcId="162913"/>
  <pivotCaches>
    <pivotCache cacheId="24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<sst xmlns="http://schemas.openxmlformats.org/spreadsheetml/2006/main" count="517" uniqueCount="47">
  <si>
    <t>Year</t>
  </si>
  <si>
    <t>Company</t>
  </si>
  <si>
    <t>Region</t>
  </si>
  <si>
    <t>Mine Name</t>
  </si>
  <si>
    <t>Coal Type</t>
  </si>
  <si>
    <t>Production (Tons)</t>
  </si>
  <si>
    <t>Export (Tons)</t>
  </si>
  <si>
    <t>Domestic Sales (Tons)</t>
  </si>
  <si>
    <t>Revenue (₹ Crores)</t>
  </si>
  <si>
    <t>Employees</t>
  </si>
  <si>
    <t>Accidents</t>
  </si>
  <si>
    <t>Maintenance Cost (₹ Cr)</t>
  </si>
  <si>
    <t>CO2 Emission (Ton)</t>
  </si>
  <si>
    <t>Singareni Collieries</t>
  </si>
  <si>
    <t>Odisha</t>
  </si>
  <si>
    <t>Talcher</t>
  </si>
  <si>
    <t>Coking</t>
  </si>
  <si>
    <t>Western Coalfields</t>
  </si>
  <si>
    <t>Maharashtra</t>
  </si>
  <si>
    <t>Jayant</t>
  </si>
  <si>
    <t>Thermal</t>
  </si>
  <si>
    <t>Godavari</t>
  </si>
  <si>
    <t>Mahanadi Coalfields</t>
  </si>
  <si>
    <t>Jharkhand</t>
  </si>
  <si>
    <t>Singrauli</t>
  </si>
  <si>
    <t>Coal India Ltd</t>
  </si>
  <si>
    <t>Madhya Pradesh</t>
  </si>
  <si>
    <t>Chhattisgarh</t>
  </si>
  <si>
    <t>Northern Coalfields</t>
  </si>
  <si>
    <t>Ib Valley</t>
  </si>
  <si>
    <t>Telangana</t>
  </si>
  <si>
    <t>Chandrapur</t>
  </si>
  <si>
    <t>Manuguru</t>
  </si>
  <si>
    <t>Gevra</t>
  </si>
  <si>
    <t>Wani</t>
  </si>
  <si>
    <t>Rajmahal</t>
  </si>
  <si>
    <t>Sum of Production (Tons)</t>
  </si>
  <si>
    <t>Row Labels</t>
  </si>
  <si>
    <t>Grand Total</t>
  </si>
  <si>
    <t>Sum of Revenue (₹ Crores)</t>
  </si>
  <si>
    <t>Column Labels</t>
  </si>
  <si>
    <t>Sum of CO2 Emission (Ton)</t>
  </si>
  <si>
    <t>Average of CO2 Emission (Ton)</t>
  </si>
  <si>
    <t>Sum of Accidents</t>
  </si>
  <si>
    <t>Calculated Revenue Per EMP</t>
  </si>
  <si>
    <t>Sum of Maintenance Cost (₹ Cr)</t>
  </si>
  <si>
    <t>Sum of Export (Tons)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</si>
</sst>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6" fontId="0" fillId="0" borderId="0" xfId="0" applyNumberFormat="1"/>
    <xf numFmtId="0" fontId="1" fillId="2" borderId="3" xfId="0" applyNumberFormat="1" applyFont="1" applyFill="1" applyBorder="1"/>
  </cellXfs>
  <cellStyles count="1">
    <cellStyle name="Normal" xfId="0" builtinId="0"/>
  </cellStyles>
  <dxfs count="9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6" formatCode="0.0"/>
    </dxf>
    <dxf>
      <numFmt numFmtId="166" formatCode="0.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[5) Coal Industry - Pivot Table and Pivot Chart Projets.xlsx]Combo Chart!PivotTable13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Sum of Production (Tons)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Chart'!$A$4:$A$10</c:f>
              <c:strCache>
                <c:ptCount val="6"/>
                <c:pt idx="0">
                  <c:v>Chhattisgarh</c:v>
                </c:pt>
                <c:pt idx="1">
                  <c:v>Jharkhand</c:v>
                </c:pt>
                <c:pt idx="2">
                  <c:v>Madhya Pradesh</c:v>
                </c:pt>
                <c:pt idx="3">
                  <c:v>Maharashtra</c:v>
                </c:pt>
                <c:pt idx="4">
                  <c:v>Odisha</c:v>
                </c:pt>
                <c:pt idx="5">
                  <c:v>Telangana</c:v>
                </c:pt>
              </c:strCache>
            </c:strRef>
          </c:cat>
          <c:val>
            <c:numRef>
              <c:f>'Combo Chart'!$B$4:$B$10</c:f>
              <c:numCache>
                <c:formatCode>General</c:formatCode>
                <c:ptCount val="6"/>
                <c:pt idx="0">
                  <c:v>11087284</c:v>
                </c:pt>
                <c:pt idx="1">
                  <c:v>9714089</c:v>
                </c:pt>
                <c:pt idx="2">
                  <c:v>18708993</c:v>
                </c:pt>
                <c:pt idx="3">
                  <c:v>18579659</c:v>
                </c:pt>
                <c:pt idx="4">
                  <c:v>12906419</c:v>
                </c:pt>
                <c:pt idx="5">
                  <c:v>14978617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7-4AC0-B2B0-73AD7DE86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861968"/>
        <c:axId val="930865328"/>
      </c:barChart>
      <c:line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Sum of Revenue (₹ Crores)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Chart'!$A$4:$A$10</c:f>
              <c:strCache>
                <c:ptCount val="6"/>
                <c:pt idx="0">
                  <c:v>Chhattisgarh</c:v>
                </c:pt>
                <c:pt idx="1">
                  <c:v>Jharkhand</c:v>
                </c:pt>
                <c:pt idx="2">
                  <c:v>Madhya Pradesh</c:v>
                </c:pt>
                <c:pt idx="3">
                  <c:v>Maharashtra</c:v>
                </c:pt>
                <c:pt idx="4">
                  <c:v>Odisha</c:v>
                </c:pt>
                <c:pt idx="5">
                  <c:v>Telangana</c:v>
                </c:pt>
              </c:strCache>
            </c:strRef>
          </c:cat>
          <c:val>
            <c:numRef>
              <c:f>'Combo Chart'!$C$4:$C$10</c:f>
              <c:numCache>
                <c:formatCode>General</c:formatCode>
                <c:ptCount val="6"/>
                <c:pt idx="0">
                  <c:v>9168.83</c:v>
                </c:pt>
                <c:pt idx="1">
                  <c:v>8007.27</c:v>
                </c:pt>
                <c:pt idx="2">
                  <c:v>14802.730000000001</c:v>
                </c:pt>
                <c:pt idx="3">
                  <c:v>14981.109999999995</c:v>
                </c:pt>
                <c:pt idx="4">
                  <c:v>10772.980000000001</c:v>
                </c:pt>
                <c:pt idx="5">
                  <c:v>11499.429999999997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7-4AC0-B2B0-73AD7DE86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860048"/>
        <c:axId val="930858128"/>
      </c:lineChart>
      <c:catAx>
        <c:axId val="93086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58128"/>
        <c:crosses val="autoZero"/>
        <c:auto val="1"/>
        <c:lblAlgn val="ctr"/>
        <c:lblOffset val="100"/>
        <c:noMultiLvlLbl val="0"/>
      </c:catAx>
      <c:valAx>
        <c:axId val="9308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60048"/>
        <c:crosses val="autoZero"/>
        <c:crossBetween val="between"/>
      </c:valAx>
      <c:valAx>
        <c:axId val="930865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61968"/>
        <c:crosses val="max"/>
        <c:crossBetween val="between"/>
      </c:valAx>
      <c:catAx>
        <c:axId val="930861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08653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Chart'!$F$3</c:f>
              <c:strCache>
                <c:ptCount val="1"/>
                <c:pt idx="0">
                  <c:v>Sum of CO2 Emission (Ton)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Chart'!$E$4:$E$9</c:f>
              <c:numCache>
                <c:formatCode>General</c:formatCode>
                <c:ptCount val="6"/>
                <c:pt idx="0">
                  <c:v>304.48</c:v>
                </c:pt>
                <c:pt idx="1">
                  <c:v>174.79999999999998</c:v>
                </c:pt>
                <c:pt idx="2">
                  <c:v>224</c:v>
                </c:pt>
                <c:pt idx="3">
                  <c:v>243.54000000000002</c:v>
                </c:pt>
                <c:pt idx="4">
                  <c:v>343.84999999999997</c:v>
                </c:pt>
                <c:pt idx="5">
                  <c:v>1290.6699999999998</c:v>
                </c:pt>
              </c:numCache>
            </c:numRef>
          </c:xVal>
          <c:yVal>
            <c:numRef>
              <c:f>'Scatter Chart'!$F$4:$F$9</c:f>
              <c:numCache>
                <c:formatCode>General</c:formatCode>
                <c:ptCount val="6"/>
                <c:pt idx="0">
                  <c:v>328251</c:v>
                </c:pt>
                <c:pt idx="1">
                  <c:v>174436</c:v>
                </c:pt>
                <c:pt idx="2">
                  <c:v>235230</c:v>
                </c:pt>
                <c:pt idx="3">
                  <c:v>264417</c:v>
                </c:pt>
                <c:pt idx="4">
                  <c:v>376753</c:v>
                </c:pt>
                <c:pt idx="5">
                  <c:v>1379087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F-4B76-875E-0949782F2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465248"/>
        <c:axId val="1054464288"/>
      </c:scatterChart>
      <c:valAx>
        <c:axId val="105446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464288"/>
        <c:crosses val="autoZero"/>
        <c:crossBetween val="midCat"/>
      </c:valAx>
      <c:valAx>
        <c:axId val="105446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46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[5) Coal Industry - Pivot Table and Pivot Chart Projets.xlsx]Bar Chart!PivotTable11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Chart'!$A$4:$A$9</c:f>
              <c:strCache>
                <c:ptCount val="5"/>
                <c:pt idx="0">
                  <c:v>Western Coalfields</c:v>
                </c:pt>
                <c:pt idx="1">
                  <c:v>Coal India Ltd</c:v>
                </c:pt>
                <c:pt idx="2">
                  <c:v>Singareni Collieries</c:v>
                </c:pt>
                <c:pt idx="3">
                  <c:v>Northern Coalfields</c:v>
                </c:pt>
                <c:pt idx="4">
                  <c:v>Mahanadi Coalfields</c:v>
                </c:pt>
              </c:strCache>
            </c:strRef>
          </c:cat>
          <c:val>
            <c:numRef>
              <c:f>'Bar Chart'!$B$4:$B$9</c:f>
              <c:numCache>
                <c:formatCode>General</c:formatCode>
                <c:ptCount val="5"/>
                <c:pt idx="0">
                  <c:v>47</c:v>
                </c:pt>
                <c:pt idx="1">
                  <c:v>43</c:v>
                </c:pt>
                <c:pt idx="2">
                  <c:v>26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3-414E-B661-4856B11D5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1441440"/>
        <c:axId val="1051441920"/>
      </c:barChart>
      <c:catAx>
        <c:axId val="105144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41920"/>
        <c:crosses val="autoZero"/>
        <c:auto val="1"/>
        <c:lblAlgn val="ctr"/>
        <c:lblOffset val="100"/>
        <c:noMultiLvlLbl val="0"/>
      </c:catAx>
      <c:valAx>
        <c:axId val="105144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4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[5) Coal Industry - Pivot Table and Pivot Chart Projets.xlsx]Pie Chart!PivotTable10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Chart'!$A$4:$A$9</c:f>
              <c:strCache>
                <c:ptCount val="5"/>
                <c:pt idx="0">
                  <c:v>Coal India Ltd</c:v>
                </c:pt>
                <c:pt idx="1">
                  <c:v>Mahanadi Coalfields</c:v>
                </c:pt>
                <c:pt idx="2">
                  <c:v>Northern Coalfields</c:v>
                </c:pt>
                <c:pt idx="3">
                  <c:v>Singareni Collieries</c:v>
                </c:pt>
                <c:pt idx="4">
                  <c:v>Western Coalfields</c:v>
                </c:pt>
              </c:strCache>
            </c:strRef>
          </c:cat>
          <c:val>
            <c:numRef>
              <c:f>'Pie Chart'!$B$4:$B$9</c:f>
              <c:numCache>
                <c:formatCode>_(* #,##0.00_);_(* \(#,##0.00\);_(* "-"??_);_(@_)</c:formatCode>
                <c:ptCount val="5"/>
                <c:pt idx="0">
                  <c:v>2433985</c:v>
                </c:pt>
                <c:pt idx="1">
                  <c:v>1436576</c:v>
                </c:pt>
                <c:pt idx="2">
                  <c:v>1856258</c:v>
                </c:pt>
                <c:pt idx="3">
                  <c:v>2070599</c:v>
                </c:pt>
                <c:pt idx="4">
                  <c:v>3111137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F-4540-8264-5D526B0050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[5) Coal Industry - Pivot Table and Pivot Chart Projets.xlsx]Line Chart!PivotTable9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'Line Chart'!$B$4:$B$9</c:f>
              <c:numCache>
                <c:formatCode>General</c:formatCode>
                <c:ptCount val="5"/>
                <c:pt idx="0">
                  <c:v>13339.83</c:v>
                </c:pt>
                <c:pt idx="1">
                  <c:v>18298.780000000002</c:v>
                </c:pt>
                <c:pt idx="2">
                  <c:v>13556.900000000001</c:v>
                </c:pt>
                <c:pt idx="3">
                  <c:v>9921.9500000000007</c:v>
                </c:pt>
                <c:pt idx="4">
                  <c:v>14114.890000000001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8-4462-9CB3-D3DBCB19D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839408"/>
        <c:axId val="930849488"/>
      </c:lineChart>
      <c:catAx>
        <c:axId val="93083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49488"/>
        <c:crosses val="autoZero"/>
        <c:auto val="1"/>
        <c:lblAlgn val="ctr"/>
        <c:lblOffset val="100"/>
        <c:noMultiLvlLbl val="0"/>
      </c:catAx>
      <c:valAx>
        <c:axId val="93084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3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[5) Coal Industry - Pivot Table and Pivot Chart Projets.xlsx]Column Chart!PivotTable8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Chart'!$A$4:$A$10</c:f>
              <c:strCache>
                <c:ptCount val="6"/>
                <c:pt idx="0">
                  <c:v>Chhattisgarh</c:v>
                </c:pt>
                <c:pt idx="1">
                  <c:v>Jharkhand</c:v>
                </c:pt>
                <c:pt idx="2">
                  <c:v>Madhya Pradesh</c:v>
                </c:pt>
                <c:pt idx="3">
                  <c:v>Maharashtra</c:v>
                </c:pt>
                <c:pt idx="4">
                  <c:v>Odisha</c:v>
                </c:pt>
                <c:pt idx="5">
                  <c:v>Telangana</c:v>
                </c:pt>
              </c:strCache>
            </c:strRef>
          </c:cat>
          <c:val>
            <c:numRef>
              <c:f>'Column Chart'!$B$4:$B$10</c:f>
              <c:numCache>
                <c:formatCode>_(* #,##0.00_);_(* \(#,##0.00\);_(* "-"??_);_(@_)</c:formatCode>
                <c:ptCount val="6"/>
                <c:pt idx="0">
                  <c:v>11087284</c:v>
                </c:pt>
                <c:pt idx="1">
                  <c:v>9714089</c:v>
                </c:pt>
                <c:pt idx="2">
                  <c:v>18708993</c:v>
                </c:pt>
                <c:pt idx="3">
                  <c:v>18579659</c:v>
                </c:pt>
                <c:pt idx="4">
                  <c:v>12906419</c:v>
                </c:pt>
                <c:pt idx="5">
                  <c:v>14978617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4-4306-A150-A674F2808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344048"/>
        <c:axId val="1041344528"/>
      </c:barChart>
      <c:catAx>
        <c:axId val="10413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44528"/>
        <c:crosses val="autoZero"/>
        <c:auto val="1"/>
        <c:lblAlgn val="ctr"/>
        <c:lblOffset val="100"/>
        <c:noMultiLvlLbl val="0"/>
      </c:catAx>
      <c:valAx>
        <c:axId val="104134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4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163830</xdr:rowOff>
    </xdr:from>
    <xdr:to>
      <xdr:col>14</xdr:col>
      <xdr:colOff>571500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C26C7-5168-2953-B9E9-6BB8F8E94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10</xdr:row>
      <xdr:rowOff>26670</xdr:rowOff>
    </xdr:from>
    <xdr:to>
      <xdr:col>11</xdr:col>
      <xdr:colOff>144780</xdr:colOff>
      <xdr:row>25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AE714-EE95-9C35-DF1B-39BD56607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0</xdr:rowOff>
    </xdr:from>
    <xdr:to>
      <xdr:col>15</xdr:col>
      <xdr:colOff>15240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64938-678B-8128-6A54-A7F1514D4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0</xdr:rowOff>
    </xdr:from>
    <xdr:to>
      <xdr:col>10</xdr:col>
      <xdr:colOff>327660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A736E-7653-0DA2-C167-ABD4DE5F2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10</xdr:col>
      <xdr:colOff>312420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5D281-1184-4581-6795-F69D8FE7F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22860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D61122-D4F8-6D6A-DE78-C16C9C859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69.757273842595" createdVersion="8" refreshedVersion="8" minRefreshableVersion="3" recordCount="100" xr:uid="{8E6F34C1-D2A3-4690-9A9E-E03D2917E56C}">
  <cacheSource type="worksheet">
    <worksheetSource name="Table1"/>
  </cacheSource>
  <cacheFields count="14">
    <cacheField name="Year" numFmtId="0">
      <sharedItems containsSemiMixedTypes="0" containsString="0" containsNumber="1" containsInteger="1" minValue="2020" maxValue="2024" count="5">
        <n v="2022"/>
        <n v="2024"/>
        <n v="2020"/>
        <n v="2021"/>
        <n v="2023"/>
      </sharedItems>
    </cacheField>
    <cacheField name="Company" numFmtId="0">
      <sharedItems count="5">
        <s v="Singareni Collieries"/>
        <s v="Western Coalfields"/>
        <s v="Mahanadi Coalfields"/>
        <s v="Coal India Ltd"/>
        <s v="Northern Coalfields"/>
      </sharedItems>
    </cacheField>
    <cacheField name="Region" numFmtId="0">
      <sharedItems count="6">
        <s v="Odisha"/>
        <s v="Maharashtra"/>
        <s v="Jharkhand"/>
        <s v="Madhya Pradesh"/>
        <s v="Chhattisgarh"/>
        <s v="Telangana"/>
      </sharedItems>
    </cacheField>
    <cacheField name="Mine Name" numFmtId="0">
      <sharedItems count="10">
        <s v="Talcher"/>
        <s v="Jayant"/>
        <s v="Godavari"/>
        <s v="Singrauli"/>
        <s v="Ib Valley"/>
        <s v="Chandrapur"/>
        <s v="Manuguru"/>
        <s v="Gevra"/>
        <s v="Wani"/>
        <s v="Rajmahal"/>
      </sharedItems>
    </cacheField>
    <cacheField name="Coal Type" numFmtId="0">
      <sharedItems/>
    </cacheField>
    <cacheField name="Production (Tons)" numFmtId="0">
      <sharedItems containsSemiMixedTypes="0" containsString="0" containsNumber="1" containsInteger="1" minValue="514196" maxValue="1188465"/>
    </cacheField>
    <cacheField name="Export (Tons)" numFmtId="0">
      <sharedItems containsSemiMixedTypes="0" containsString="0" containsNumber="1" containsInteger="1" minValue="51828" maxValue="223687"/>
    </cacheField>
    <cacheField name="Domestic Sales (Tons)" numFmtId="0">
      <sharedItems containsSemiMixedTypes="0" containsString="0" containsNumber="1" containsInteger="1" minValue="420799" maxValue="1072245"/>
    </cacheField>
    <cacheField name="Revenue (₹ Crores)" numFmtId="0">
      <sharedItems containsSemiMixedTypes="0" containsString="0" containsNumber="1" minValue="449.01" maxValue="941.72" count="100">
        <n v="610.02"/>
        <n v="493.08"/>
        <n v="484.4"/>
        <n v="663.14"/>
        <n v="683.43"/>
        <n v="917.12"/>
        <n v="623.83000000000004"/>
        <n v="729.57"/>
        <n v="571.71"/>
        <n v="830.88"/>
        <n v="694.07"/>
        <n v="820.78"/>
        <n v="793.16"/>
        <n v="915.72"/>
        <n v="663.04"/>
        <n v="941.72"/>
        <n v="678.74"/>
        <n v="840.96"/>
        <n v="641"/>
        <n v="797.66"/>
        <n v="837.24"/>
        <n v="753.86"/>
        <n v="745.68"/>
        <n v="714.31"/>
        <n v="759.62"/>
        <n v="820.99"/>
        <n v="796.31"/>
        <n v="741.95"/>
        <n v="701.64"/>
        <n v="596.37"/>
        <n v="546.99"/>
        <n v="659.19"/>
        <n v="523.42999999999995"/>
        <n v="685.31"/>
        <n v="575.16999999999996"/>
        <n v="835.08"/>
        <n v="696.76"/>
        <n v="795.58"/>
        <n v="652.45000000000005"/>
        <n v="706.39"/>
        <n v="702.81"/>
        <n v="701.82"/>
        <n v="757.75"/>
        <n v="794.03"/>
        <n v="483.03"/>
        <n v="878.62"/>
        <n v="551.33000000000004"/>
        <n v="586.44000000000005"/>
        <n v="632.95000000000005"/>
        <n v="498.12"/>
        <n v="585.27"/>
        <n v="701.85"/>
        <n v="628.66999999999996"/>
        <n v="594.79999999999995"/>
        <n v="532.16999999999996"/>
        <n v="670.48"/>
        <n v="704.39"/>
        <n v="647.79999999999995"/>
        <n v="745.88"/>
        <n v="606.11"/>
        <n v="655.58"/>
        <n v="674.13"/>
        <n v="824.05"/>
        <n v="769.8"/>
        <n v="739.07"/>
        <n v="899.82"/>
        <n v="798.03"/>
        <n v="676.75"/>
        <n v="602.28"/>
        <n v="711.62"/>
        <n v="686.83"/>
        <n v="640.9"/>
        <n v="480.34"/>
        <n v="663.11"/>
        <n v="864.08"/>
        <n v="623.66999999999996"/>
        <n v="516.9"/>
        <n v="735.68"/>
        <n v="713.75"/>
        <n v="576.27"/>
        <n v="537.59"/>
        <n v="639.71"/>
        <n v="731.4"/>
        <n v="636.4"/>
        <n v="449.01"/>
        <n v="505.11"/>
        <n v="719.75"/>
        <n v="686.68"/>
        <n v="793.45"/>
        <n v="867.68"/>
        <n v="616.42999999999995"/>
        <n v="744.93"/>
        <n v="723.18"/>
        <n v="707.56"/>
        <n v="508.26"/>
        <n v="802.84"/>
        <n v="723.68"/>
        <n v="696.97"/>
        <n v="852.24"/>
        <n v="894.15"/>
      </sharedItems>
    </cacheField>
    <cacheField name="Employees" numFmtId="0">
      <sharedItems containsSemiMixedTypes="0" containsString="0" containsNumber="1" containsInteger="1" minValue="403" maxValue="700" count="85">
        <n v="671"/>
        <n v="543"/>
        <n v="504"/>
        <n v="465"/>
        <n v="672"/>
        <n v="648"/>
        <n v="667"/>
        <n v="534"/>
        <n v="572"/>
        <n v="432"/>
        <n v="621"/>
        <n v="698"/>
        <n v="515"/>
        <n v="427"/>
        <n v="694"/>
        <n v="500"/>
        <n v="571"/>
        <n v="429"/>
        <n v="670"/>
        <n v="623"/>
        <n v="684"/>
        <n v="569"/>
        <n v="441"/>
        <n v="643"/>
        <n v="528"/>
        <n v="494"/>
        <n v="473"/>
        <n v="662"/>
        <n v="464"/>
        <n v="424"/>
        <n v="631"/>
        <n v="409"/>
        <n v="533"/>
        <n v="471"/>
        <n v="521"/>
        <n v="619"/>
        <n v="540"/>
        <n v="439"/>
        <n v="403"/>
        <n v="490"/>
        <n v="661"/>
        <n v="651"/>
        <n v="565"/>
        <n v="680"/>
        <n v="406"/>
        <n v="567"/>
        <n v="489"/>
        <n v="545"/>
        <n v="700"/>
        <n v="664"/>
        <n v="506"/>
        <n v="434"/>
        <n v="430"/>
        <n v="437"/>
        <n v="629"/>
        <n v="551"/>
        <n v="546"/>
        <n v="669"/>
        <n v="676"/>
        <n v="422"/>
        <n v="513"/>
        <n v="523"/>
        <n v="646"/>
        <n v="517"/>
        <n v="435"/>
        <n v="618"/>
        <n v="468"/>
        <n v="514"/>
        <n v="563"/>
        <n v="690"/>
        <n v="488"/>
        <n v="689"/>
        <n v="628"/>
        <n v="616"/>
        <n v="413"/>
        <n v="470"/>
        <n v="525"/>
        <n v="496"/>
        <n v="561"/>
        <n v="449"/>
        <n v="601"/>
        <n v="416"/>
        <n v="566"/>
        <n v="428"/>
        <n v="452"/>
      </sharedItems>
    </cacheField>
    <cacheField name="Accidents" numFmtId="0">
      <sharedItems containsSemiMixedTypes="0" containsString="0" containsNumber="1" containsInteger="1" minValue="0" maxValue="3" count="4">
        <n v="1"/>
        <n v="3"/>
        <n v="0"/>
        <n v="2"/>
      </sharedItems>
    </cacheField>
    <cacheField name="Maintenance Cost (₹ Cr)" numFmtId="0">
      <sharedItems containsSemiMixedTypes="0" containsString="0" containsNumber="1" minValue="5.12" maxValue="19.940000000000001" count="96">
        <n v="17.87"/>
        <n v="13.06"/>
        <n v="11.97"/>
        <n v="16.649999999999999"/>
        <n v="8.1300000000000008"/>
        <n v="13.65"/>
        <n v="8.74"/>
        <n v="17.440000000000001"/>
        <n v="12.21"/>
        <n v="13.22"/>
        <n v="15.43"/>
        <n v="17.88"/>
        <n v="6.23"/>
        <n v="15.9"/>
        <n v="13.76"/>
        <n v="17.03"/>
        <n v="16.93"/>
        <n v="16.37"/>
        <n v="18.760000000000002"/>
        <n v="12.68"/>
        <n v="16.82"/>
        <n v="15.62"/>
        <n v="10.83"/>
        <n v="17.36"/>
        <n v="7.3"/>
        <n v="11.67"/>
        <n v="5.98"/>
        <n v="6.18"/>
        <n v="13.83"/>
        <n v="12.25"/>
        <n v="18.02"/>
        <n v="12.32"/>
        <n v="11.61"/>
        <n v="14.46"/>
        <n v="19.27"/>
        <n v="11.98"/>
        <n v="10.6"/>
        <n v="11.76"/>
        <n v="18"/>
        <n v="11.4"/>
        <n v="12.84"/>
        <n v="5.13"/>
        <n v="9.7899999999999991"/>
        <n v="18.71"/>
        <n v="14.02"/>
        <n v="16.809999999999999"/>
        <n v="18.14"/>
        <n v="6.49"/>
        <n v="17.21"/>
        <n v="5.58"/>
        <n v="18.059999999999999"/>
        <n v="16.07"/>
        <n v="19.45"/>
        <n v="9.92"/>
        <n v="8.64"/>
        <n v="12.72"/>
        <n v="15.89"/>
        <n v="17.68"/>
        <n v="11.51"/>
        <n v="7.32"/>
        <n v="11.6"/>
        <n v="7.73"/>
        <n v="5.73"/>
        <n v="13.89"/>
        <n v="16.3"/>
        <n v="13.19"/>
        <n v="8.4"/>
        <n v="6.5"/>
        <n v="12.97"/>
        <n v="9.3000000000000007"/>
        <n v="13.37"/>
        <n v="8.91"/>
        <n v="16"/>
        <n v="8.3699999999999992"/>
        <n v="12.81"/>
        <n v="15.03"/>
        <n v="16.22"/>
        <n v="10.77"/>
        <n v="6.73"/>
        <n v="19.059999999999999"/>
        <n v="19.940000000000001"/>
        <n v="5.12"/>
        <n v="19.87"/>
        <n v="6.44"/>
        <n v="9.1300000000000008"/>
        <n v="7.74"/>
        <n v="12.03"/>
        <n v="7.31"/>
        <n v="15.05"/>
        <n v="11.26"/>
        <n v="18.329999999999998"/>
        <n v="10.52"/>
        <n v="13.01"/>
        <n v="18.97"/>
        <n v="9.74"/>
        <n v="12.92"/>
      </sharedItems>
    </cacheField>
    <cacheField name="CO2 Emission (Ton)" numFmtId="0">
      <sharedItems containsSemiMixedTypes="0" containsString="0" containsNumber="1" containsInteger="1" minValue="10125" maxValue="17828"/>
    </cacheField>
    <cacheField name="Field1" numFmtId="0" formula="'Revenue (₹ Crores)' /Employe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s v="Coking"/>
    <n v="844632"/>
    <n v="144834"/>
    <n v="699798"/>
    <x v="0"/>
    <x v="0"/>
    <x v="0"/>
    <x v="0"/>
    <n v="15300"/>
  </r>
  <r>
    <x v="1"/>
    <x v="1"/>
    <x v="1"/>
    <x v="1"/>
    <s v="Thermal"/>
    <n v="596373"/>
    <n v="95350"/>
    <n v="501023"/>
    <x v="1"/>
    <x v="1"/>
    <x v="1"/>
    <x v="1"/>
    <n v="15994"/>
  </r>
  <r>
    <x v="2"/>
    <x v="0"/>
    <x v="0"/>
    <x v="2"/>
    <s v="Coking"/>
    <n v="700730"/>
    <n v="81869"/>
    <n v="618861"/>
    <x v="2"/>
    <x v="2"/>
    <x v="2"/>
    <x v="2"/>
    <n v="14908"/>
  </r>
  <r>
    <x v="3"/>
    <x v="2"/>
    <x v="2"/>
    <x v="3"/>
    <s v="Thermal"/>
    <n v="620004"/>
    <n v="103780"/>
    <n v="516224"/>
    <x v="3"/>
    <x v="3"/>
    <x v="1"/>
    <x v="3"/>
    <n v="13884"/>
  </r>
  <r>
    <x v="4"/>
    <x v="3"/>
    <x v="3"/>
    <x v="0"/>
    <s v="Thermal"/>
    <n v="1146386"/>
    <n v="209959"/>
    <n v="936427"/>
    <x v="4"/>
    <x v="4"/>
    <x v="2"/>
    <x v="4"/>
    <n v="14105"/>
  </r>
  <r>
    <x v="2"/>
    <x v="2"/>
    <x v="3"/>
    <x v="2"/>
    <s v="Thermal"/>
    <n v="1120829"/>
    <n v="91320"/>
    <n v="1029509"/>
    <x v="5"/>
    <x v="5"/>
    <x v="0"/>
    <x v="5"/>
    <n v="13059"/>
  </r>
  <r>
    <x v="4"/>
    <x v="3"/>
    <x v="3"/>
    <x v="3"/>
    <s v="Coking"/>
    <n v="726248"/>
    <n v="58859"/>
    <n v="667389"/>
    <x v="6"/>
    <x v="6"/>
    <x v="1"/>
    <x v="6"/>
    <n v="11117"/>
  </r>
  <r>
    <x v="2"/>
    <x v="1"/>
    <x v="4"/>
    <x v="0"/>
    <s v="Coking"/>
    <n v="714302"/>
    <n v="77720"/>
    <n v="636582"/>
    <x v="7"/>
    <x v="7"/>
    <x v="1"/>
    <x v="7"/>
    <n v="17360"/>
  </r>
  <r>
    <x v="3"/>
    <x v="4"/>
    <x v="0"/>
    <x v="4"/>
    <s v="Thermal"/>
    <n v="580884"/>
    <n v="70456"/>
    <n v="510428"/>
    <x v="8"/>
    <x v="8"/>
    <x v="0"/>
    <x v="8"/>
    <n v="13473"/>
  </r>
  <r>
    <x v="3"/>
    <x v="4"/>
    <x v="2"/>
    <x v="4"/>
    <s v="Coking"/>
    <n v="894857"/>
    <n v="162648"/>
    <n v="732209"/>
    <x v="9"/>
    <x v="9"/>
    <x v="3"/>
    <x v="9"/>
    <n v="12558"/>
  </r>
  <r>
    <x v="3"/>
    <x v="1"/>
    <x v="5"/>
    <x v="3"/>
    <s v="Thermal"/>
    <n v="1137404"/>
    <n v="109655"/>
    <n v="1027749"/>
    <x v="10"/>
    <x v="10"/>
    <x v="0"/>
    <x v="10"/>
    <n v="10699"/>
  </r>
  <r>
    <x v="1"/>
    <x v="3"/>
    <x v="4"/>
    <x v="3"/>
    <s v="Thermal"/>
    <n v="1059974"/>
    <n v="122438"/>
    <n v="937536"/>
    <x v="11"/>
    <x v="11"/>
    <x v="1"/>
    <x v="11"/>
    <n v="13641"/>
  </r>
  <r>
    <x v="3"/>
    <x v="3"/>
    <x v="4"/>
    <x v="5"/>
    <s v="Thermal"/>
    <n v="1073482"/>
    <n v="74198"/>
    <n v="999284"/>
    <x v="12"/>
    <x v="12"/>
    <x v="3"/>
    <x v="12"/>
    <n v="11332"/>
  </r>
  <r>
    <x v="2"/>
    <x v="2"/>
    <x v="5"/>
    <x v="6"/>
    <s v="Coking"/>
    <n v="1124502"/>
    <n v="114428"/>
    <n v="1010074"/>
    <x v="13"/>
    <x v="13"/>
    <x v="2"/>
    <x v="13"/>
    <n v="11249"/>
  </r>
  <r>
    <x v="1"/>
    <x v="3"/>
    <x v="4"/>
    <x v="7"/>
    <s v="Thermal"/>
    <n v="616044"/>
    <n v="109783"/>
    <n v="506261"/>
    <x v="14"/>
    <x v="14"/>
    <x v="1"/>
    <x v="14"/>
    <n v="16320"/>
  </r>
  <r>
    <x v="0"/>
    <x v="1"/>
    <x v="3"/>
    <x v="8"/>
    <s v="Coking"/>
    <n v="1128981"/>
    <n v="111834"/>
    <n v="1017147"/>
    <x v="15"/>
    <x v="15"/>
    <x v="0"/>
    <x v="15"/>
    <n v="16439"/>
  </r>
  <r>
    <x v="1"/>
    <x v="0"/>
    <x v="1"/>
    <x v="9"/>
    <s v="Coking"/>
    <n v="621710"/>
    <n v="85292"/>
    <n v="536418"/>
    <x v="16"/>
    <x v="16"/>
    <x v="2"/>
    <x v="16"/>
    <n v="14192"/>
  </r>
  <r>
    <x v="1"/>
    <x v="0"/>
    <x v="3"/>
    <x v="4"/>
    <s v="Coking"/>
    <n v="1107141"/>
    <n v="129332"/>
    <n v="977809"/>
    <x v="17"/>
    <x v="17"/>
    <x v="3"/>
    <x v="17"/>
    <n v="14423"/>
  </r>
  <r>
    <x v="1"/>
    <x v="2"/>
    <x v="4"/>
    <x v="2"/>
    <s v="Thermal"/>
    <n v="948584"/>
    <n v="145651"/>
    <n v="802933"/>
    <x v="18"/>
    <x v="18"/>
    <x v="0"/>
    <x v="18"/>
    <n v="15206"/>
  </r>
  <r>
    <x v="0"/>
    <x v="1"/>
    <x v="0"/>
    <x v="9"/>
    <s v="Thermal"/>
    <n v="1110429"/>
    <n v="77988"/>
    <n v="1032441"/>
    <x v="19"/>
    <x v="19"/>
    <x v="0"/>
    <x v="19"/>
    <n v="12173"/>
  </r>
  <r>
    <x v="2"/>
    <x v="0"/>
    <x v="5"/>
    <x v="4"/>
    <s v="Thermal"/>
    <n v="939794"/>
    <n v="68269"/>
    <n v="871525"/>
    <x v="20"/>
    <x v="20"/>
    <x v="1"/>
    <x v="20"/>
    <n v="10449"/>
  </r>
  <r>
    <x v="1"/>
    <x v="1"/>
    <x v="3"/>
    <x v="1"/>
    <s v="Thermal"/>
    <n v="795981"/>
    <n v="139127"/>
    <n v="656854"/>
    <x v="21"/>
    <x v="21"/>
    <x v="1"/>
    <x v="21"/>
    <n v="10210"/>
  </r>
  <r>
    <x v="3"/>
    <x v="2"/>
    <x v="1"/>
    <x v="6"/>
    <s v="Thermal"/>
    <n v="906392"/>
    <n v="109250"/>
    <n v="797142"/>
    <x v="22"/>
    <x v="22"/>
    <x v="3"/>
    <x v="22"/>
    <n v="11225"/>
  </r>
  <r>
    <x v="3"/>
    <x v="4"/>
    <x v="4"/>
    <x v="1"/>
    <s v="Thermal"/>
    <n v="697003"/>
    <n v="51828"/>
    <n v="645175"/>
    <x v="23"/>
    <x v="23"/>
    <x v="3"/>
    <x v="23"/>
    <n v="16204"/>
  </r>
  <r>
    <x v="3"/>
    <x v="1"/>
    <x v="5"/>
    <x v="2"/>
    <s v="Coking"/>
    <n v="1037404"/>
    <n v="187567"/>
    <n v="849837"/>
    <x v="24"/>
    <x v="24"/>
    <x v="2"/>
    <x v="24"/>
    <n v="17725"/>
  </r>
  <r>
    <x v="4"/>
    <x v="0"/>
    <x v="1"/>
    <x v="5"/>
    <s v="Coking"/>
    <n v="1048622"/>
    <n v="165308"/>
    <n v="883314"/>
    <x v="25"/>
    <x v="25"/>
    <x v="3"/>
    <x v="25"/>
    <n v="10388"/>
  </r>
  <r>
    <x v="0"/>
    <x v="4"/>
    <x v="2"/>
    <x v="5"/>
    <s v="Coking"/>
    <n v="1117212"/>
    <n v="219348"/>
    <n v="897864"/>
    <x v="26"/>
    <x v="26"/>
    <x v="1"/>
    <x v="26"/>
    <n v="10335"/>
  </r>
  <r>
    <x v="1"/>
    <x v="0"/>
    <x v="0"/>
    <x v="8"/>
    <s v="Thermal"/>
    <n v="1112839"/>
    <n v="162532"/>
    <n v="950307"/>
    <x v="27"/>
    <x v="27"/>
    <x v="3"/>
    <x v="27"/>
    <n v="15392"/>
  </r>
  <r>
    <x v="1"/>
    <x v="3"/>
    <x v="3"/>
    <x v="0"/>
    <s v="Coking"/>
    <n v="947590"/>
    <n v="60953"/>
    <n v="886637"/>
    <x v="28"/>
    <x v="28"/>
    <x v="1"/>
    <x v="28"/>
    <n v="11510"/>
  </r>
  <r>
    <x v="2"/>
    <x v="4"/>
    <x v="3"/>
    <x v="4"/>
    <s v="Thermal"/>
    <n v="976500"/>
    <n v="105549"/>
    <n v="870951"/>
    <x v="29"/>
    <x v="29"/>
    <x v="0"/>
    <x v="29"/>
    <n v="16790"/>
  </r>
  <r>
    <x v="2"/>
    <x v="4"/>
    <x v="1"/>
    <x v="7"/>
    <s v="Thermal"/>
    <n v="726180"/>
    <n v="70497"/>
    <n v="655683"/>
    <x v="30"/>
    <x v="30"/>
    <x v="3"/>
    <x v="30"/>
    <n v="12721"/>
  </r>
  <r>
    <x v="4"/>
    <x v="3"/>
    <x v="0"/>
    <x v="3"/>
    <s v="Coking"/>
    <n v="751918"/>
    <n v="63339"/>
    <n v="688579"/>
    <x v="31"/>
    <x v="31"/>
    <x v="1"/>
    <x v="31"/>
    <n v="11988"/>
  </r>
  <r>
    <x v="2"/>
    <x v="2"/>
    <x v="5"/>
    <x v="6"/>
    <s v="Coking"/>
    <n v="674892"/>
    <n v="75644"/>
    <n v="599248"/>
    <x v="32"/>
    <x v="32"/>
    <x v="0"/>
    <x v="32"/>
    <n v="11043"/>
  </r>
  <r>
    <x v="4"/>
    <x v="0"/>
    <x v="0"/>
    <x v="9"/>
    <s v="Coking"/>
    <n v="559035"/>
    <n v="76232"/>
    <n v="482803"/>
    <x v="33"/>
    <x v="33"/>
    <x v="2"/>
    <x v="33"/>
    <n v="16138"/>
  </r>
  <r>
    <x v="1"/>
    <x v="3"/>
    <x v="5"/>
    <x v="2"/>
    <s v="Coking"/>
    <n v="872213"/>
    <n v="76752"/>
    <n v="795461"/>
    <x v="34"/>
    <x v="20"/>
    <x v="2"/>
    <x v="34"/>
    <n v="14664"/>
  </r>
  <r>
    <x v="3"/>
    <x v="2"/>
    <x v="1"/>
    <x v="5"/>
    <s v="Coking"/>
    <n v="1082207"/>
    <n v="178826"/>
    <n v="903381"/>
    <x v="35"/>
    <x v="34"/>
    <x v="3"/>
    <x v="35"/>
    <n v="16045"/>
  </r>
  <r>
    <x v="0"/>
    <x v="1"/>
    <x v="0"/>
    <x v="0"/>
    <s v="Coking"/>
    <n v="670385"/>
    <n v="102846"/>
    <n v="567539"/>
    <x v="36"/>
    <x v="35"/>
    <x v="0"/>
    <x v="36"/>
    <n v="15113"/>
  </r>
  <r>
    <x v="2"/>
    <x v="3"/>
    <x v="3"/>
    <x v="3"/>
    <s v="Thermal"/>
    <n v="1022122"/>
    <n v="57202"/>
    <n v="964920"/>
    <x v="37"/>
    <x v="35"/>
    <x v="1"/>
    <x v="37"/>
    <n v="13222"/>
  </r>
  <r>
    <x v="0"/>
    <x v="4"/>
    <x v="5"/>
    <x v="6"/>
    <s v="Coking"/>
    <n v="806633"/>
    <n v="83024"/>
    <n v="723609"/>
    <x v="38"/>
    <x v="36"/>
    <x v="2"/>
    <x v="38"/>
    <n v="13895"/>
  </r>
  <r>
    <x v="3"/>
    <x v="4"/>
    <x v="0"/>
    <x v="0"/>
    <s v="Thermal"/>
    <n v="887855"/>
    <n v="65864"/>
    <n v="821991"/>
    <x v="39"/>
    <x v="37"/>
    <x v="2"/>
    <x v="39"/>
    <n v="11845"/>
  </r>
  <r>
    <x v="2"/>
    <x v="3"/>
    <x v="1"/>
    <x v="8"/>
    <s v="Coking"/>
    <n v="605346"/>
    <n v="66606"/>
    <n v="538740"/>
    <x v="40"/>
    <x v="38"/>
    <x v="0"/>
    <x v="40"/>
    <n v="10125"/>
  </r>
  <r>
    <x v="1"/>
    <x v="0"/>
    <x v="1"/>
    <x v="1"/>
    <s v="Coking"/>
    <n v="1073886"/>
    <n v="197642"/>
    <n v="876244"/>
    <x v="41"/>
    <x v="39"/>
    <x v="0"/>
    <x v="41"/>
    <n v="15918"/>
  </r>
  <r>
    <x v="0"/>
    <x v="3"/>
    <x v="1"/>
    <x v="6"/>
    <s v="Thermal"/>
    <n v="915732"/>
    <n v="65224"/>
    <n v="850508"/>
    <x v="42"/>
    <x v="40"/>
    <x v="2"/>
    <x v="42"/>
    <n v="10411"/>
  </r>
  <r>
    <x v="2"/>
    <x v="1"/>
    <x v="1"/>
    <x v="4"/>
    <s v="Thermal"/>
    <n v="856617"/>
    <n v="156322"/>
    <n v="700295"/>
    <x v="43"/>
    <x v="41"/>
    <x v="2"/>
    <x v="43"/>
    <n v="10313"/>
  </r>
  <r>
    <x v="0"/>
    <x v="3"/>
    <x v="1"/>
    <x v="5"/>
    <s v="Thermal"/>
    <n v="646080"/>
    <n v="108072"/>
    <n v="538008"/>
    <x v="44"/>
    <x v="42"/>
    <x v="3"/>
    <x v="44"/>
    <n v="17828"/>
  </r>
  <r>
    <x v="3"/>
    <x v="4"/>
    <x v="2"/>
    <x v="8"/>
    <s v="Thermal"/>
    <n v="1126880"/>
    <n v="190076"/>
    <n v="936804"/>
    <x v="45"/>
    <x v="43"/>
    <x v="2"/>
    <x v="45"/>
    <n v="13025"/>
  </r>
  <r>
    <x v="4"/>
    <x v="0"/>
    <x v="4"/>
    <x v="7"/>
    <s v="Coking"/>
    <n v="813575"/>
    <n v="123072"/>
    <n v="690503"/>
    <x v="46"/>
    <x v="44"/>
    <x v="2"/>
    <x v="46"/>
    <n v="13927"/>
  </r>
  <r>
    <x v="3"/>
    <x v="0"/>
    <x v="3"/>
    <x v="0"/>
    <s v="Thermal"/>
    <n v="757247"/>
    <n v="91199"/>
    <n v="666048"/>
    <x v="47"/>
    <x v="45"/>
    <x v="1"/>
    <x v="47"/>
    <n v="13340"/>
  </r>
  <r>
    <x v="3"/>
    <x v="3"/>
    <x v="0"/>
    <x v="9"/>
    <s v="Coking"/>
    <n v="1074077"/>
    <n v="98385"/>
    <n v="975692"/>
    <x v="48"/>
    <x v="46"/>
    <x v="1"/>
    <x v="48"/>
    <n v="15139"/>
  </r>
  <r>
    <x v="4"/>
    <x v="3"/>
    <x v="1"/>
    <x v="6"/>
    <s v="Thermal"/>
    <n v="650652"/>
    <n v="64819"/>
    <n v="585833"/>
    <x v="49"/>
    <x v="26"/>
    <x v="1"/>
    <x v="49"/>
    <n v="13495"/>
  </r>
  <r>
    <x v="1"/>
    <x v="3"/>
    <x v="3"/>
    <x v="2"/>
    <s v="Coking"/>
    <n v="624952"/>
    <n v="106674"/>
    <n v="518278"/>
    <x v="50"/>
    <x v="47"/>
    <x v="3"/>
    <x v="36"/>
    <n v="14942"/>
  </r>
  <r>
    <x v="1"/>
    <x v="1"/>
    <x v="4"/>
    <x v="9"/>
    <s v="Thermal"/>
    <n v="797228"/>
    <n v="78707"/>
    <n v="718521"/>
    <x v="51"/>
    <x v="48"/>
    <x v="3"/>
    <x v="50"/>
    <n v="11302"/>
  </r>
  <r>
    <x v="1"/>
    <x v="2"/>
    <x v="1"/>
    <x v="5"/>
    <s v="Coking"/>
    <n v="696201"/>
    <n v="131279"/>
    <n v="564922"/>
    <x v="52"/>
    <x v="49"/>
    <x v="1"/>
    <x v="51"/>
    <n v="14076"/>
  </r>
  <r>
    <x v="3"/>
    <x v="1"/>
    <x v="4"/>
    <x v="1"/>
    <s v="Coking"/>
    <n v="815954"/>
    <n v="156822"/>
    <n v="659132"/>
    <x v="53"/>
    <x v="50"/>
    <x v="3"/>
    <x v="52"/>
    <n v="15577"/>
  </r>
  <r>
    <x v="0"/>
    <x v="4"/>
    <x v="5"/>
    <x v="2"/>
    <s v="Coking"/>
    <n v="693158"/>
    <n v="119687"/>
    <n v="573471"/>
    <x v="54"/>
    <x v="19"/>
    <x v="1"/>
    <x v="53"/>
    <n v="15549"/>
  </r>
  <r>
    <x v="2"/>
    <x v="1"/>
    <x v="1"/>
    <x v="3"/>
    <s v="Coking"/>
    <n v="1084380"/>
    <n v="115300"/>
    <n v="969080"/>
    <x v="55"/>
    <x v="51"/>
    <x v="1"/>
    <x v="54"/>
    <n v="15375"/>
  </r>
  <r>
    <x v="4"/>
    <x v="1"/>
    <x v="3"/>
    <x v="5"/>
    <s v="Coking"/>
    <n v="889804"/>
    <n v="61066"/>
    <n v="828738"/>
    <x v="56"/>
    <x v="52"/>
    <x v="3"/>
    <x v="55"/>
    <n v="13439"/>
  </r>
  <r>
    <x v="3"/>
    <x v="3"/>
    <x v="0"/>
    <x v="4"/>
    <s v="Coking"/>
    <n v="683731"/>
    <n v="132924"/>
    <n v="550807"/>
    <x v="57"/>
    <x v="9"/>
    <x v="2"/>
    <x v="56"/>
    <n v="14804"/>
  </r>
  <r>
    <x v="0"/>
    <x v="0"/>
    <x v="3"/>
    <x v="9"/>
    <s v="Coking"/>
    <n v="982477"/>
    <n v="122394"/>
    <n v="860083"/>
    <x v="58"/>
    <x v="53"/>
    <x v="3"/>
    <x v="57"/>
    <n v="13943"/>
  </r>
  <r>
    <x v="3"/>
    <x v="4"/>
    <x v="2"/>
    <x v="2"/>
    <s v="Thermal"/>
    <n v="726809"/>
    <n v="132567"/>
    <n v="594242"/>
    <x v="59"/>
    <x v="54"/>
    <x v="0"/>
    <x v="58"/>
    <n v="14802"/>
  </r>
  <r>
    <x v="4"/>
    <x v="2"/>
    <x v="0"/>
    <x v="1"/>
    <s v="Thermal"/>
    <n v="581462"/>
    <n v="84947"/>
    <n v="496515"/>
    <x v="60"/>
    <x v="55"/>
    <x v="2"/>
    <x v="59"/>
    <n v="14043"/>
  </r>
  <r>
    <x v="4"/>
    <x v="4"/>
    <x v="1"/>
    <x v="0"/>
    <s v="Thermal"/>
    <n v="738030"/>
    <n v="92540"/>
    <n v="645490"/>
    <x v="61"/>
    <x v="56"/>
    <x v="2"/>
    <x v="60"/>
    <n v="13364"/>
  </r>
  <r>
    <x v="3"/>
    <x v="3"/>
    <x v="1"/>
    <x v="5"/>
    <s v="Thermal"/>
    <n v="1020900"/>
    <n v="168674"/>
    <n v="852226"/>
    <x v="62"/>
    <x v="57"/>
    <x v="3"/>
    <x v="61"/>
    <n v="13563"/>
  </r>
  <r>
    <x v="0"/>
    <x v="1"/>
    <x v="3"/>
    <x v="1"/>
    <s v="Thermal"/>
    <n v="834639"/>
    <n v="105348"/>
    <n v="729291"/>
    <x v="63"/>
    <x v="58"/>
    <x v="3"/>
    <x v="2"/>
    <n v="14396"/>
  </r>
  <r>
    <x v="0"/>
    <x v="2"/>
    <x v="0"/>
    <x v="3"/>
    <s v="Coking"/>
    <n v="1013441"/>
    <n v="135149"/>
    <n v="878292"/>
    <x v="64"/>
    <x v="59"/>
    <x v="3"/>
    <x v="62"/>
    <n v="15036"/>
  </r>
  <r>
    <x v="0"/>
    <x v="0"/>
    <x v="4"/>
    <x v="4"/>
    <s v="Coking"/>
    <n v="1138034"/>
    <n v="99515"/>
    <n v="1038519"/>
    <x v="65"/>
    <x v="60"/>
    <x v="0"/>
    <x v="63"/>
    <n v="15915"/>
  </r>
  <r>
    <x v="3"/>
    <x v="4"/>
    <x v="1"/>
    <x v="3"/>
    <s v="Coking"/>
    <n v="1104983"/>
    <n v="115193"/>
    <n v="989790"/>
    <x v="66"/>
    <x v="49"/>
    <x v="1"/>
    <x v="64"/>
    <n v="11169"/>
  </r>
  <r>
    <x v="1"/>
    <x v="1"/>
    <x v="2"/>
    <x v="4"/>
    <s v="Thermal"/>
    <n v="687173"/>
    <n v="108193"/>
    <n v="578980"/>
    <x v="67"/>
    <x v="61"/>
    <x v="2"/>
    <x v="65"/>
    <n v="15555"/>
  </r>
  <r>
    <x v="3"/>
    <x v="1"/>
    <x v="3"/>
    <x v="0"/>
    <s v="Thermal"/>
    <n v="814752"/>
    <n v="66513"/>
    <n v="748239"/>
    <x v="68"/>
    <x v="62"/>
    <x v="3"/>
    <x v="66"/>
    <n v="11707"/>
  </r>
  <r>
    <x v="0"/>
    <x v="3"/>
    <x v="3"/>
    <x v="8"/>
    <s v="Coking"/>
    <n v="867041"/>
    <n v="118421"/>
    <n v="748620"/>
    <x v="69"/>
    <x v="63"/>
    <x v="3"/>
    <x v="67"/>
    <n v="12382"/>
  </r>
  <r>
    <x v="2"/>
    <x v="3"/>
    <x v="4"/>
    <x v="2"/>
    <s v="Thermal"/>
    <n v="628246"/>
    <n v="82167"/>
    <n v="546079"/>
    <x v="70"/>
    <x v="64"/>
    <x v="0"/>
    <x v="68"/>
    <n v="11843"/>
  </r>
  <r>
    <x v="4"/>
    <x v="3"/>
    <x v="5"/>
    <x v="4"/>
    <s v="Coking"/>
    <n v="689983"/>
    <n v="100539"/>
    <n v="589444"/>
    <x v="71"/>
    <x v="65"/>
    <x v="0"/>
    <x v="69"/>
    <n v="10510"/>
  </r>
  <r>
    <x v="2"/>
    <x v="2"/>
    <x v="5"/>
    <x v="2"/>
    <s v="Thermal"/>
    <n v="629990"/>
    <n v="58506"/>
    <n v="571484"/>
    <x v="72"/>
    <x v="66"/>
    <x v="2"/>
    <x v="70"/>
    <n v="10842"/>
  </r>
  <r>
    <x v="1"/>
    <x v="1"/>
    <x v="5"/>
    <x v="0"/>
    <s v="Coking"/>
    <n v="834406"/>
    <n v="53347"/>
    <n v="781059"/>
    <x v="73"/>
    <x v="51"/>
    <x v="1"/>
    <x v="71"/>
    <n v="12470"/>
  </r>
  <r>
    <x v="3"/>
    <x v="2"/>
    <x v="4"/>
    <x v="5"/>
    <s v="Coking"/>
    <n v="1139465"/>
    <n v="67220"/>
    <n v="1072245"/>
    <x v="74"/>
    <x v="30"/>
    <x v="0"/>
    <x v="11"/>
    <n v="14925"/>
  </r>
  <r>
    <x v="1"/>
    <x v="3"/>
    <x v="2"/>
    <x v="6"/>
    <s v="Thermal"/>
    <n v="976857"/>
    <n v="80720"/>
    <n v="896137"/>
    <x v="75"/>
    <x v="67"/>
    <x v="2"/>
    <x v="72"/>
    <n v="12093"/>
  </r>
  <r>
    <x v="3"/>
    <x v="1"/>
    <x v="1"/>
    <x v="1"/>
    <s v="Coking"/>
    <n v="515185"/>
    <n v="86487"/>
    <n v="428698"/>
    <x v="76"/>
    <x v="68"/>
    <x v="3"/>
    <x v="73"/>
    <n v="12223"/>
  </r>
  <r>
    <x v="3"/>
    <x v="1"/>
    <x v="5"/>
    <x v="8"/>
    <s v="Coking"/>
    <n v="1163083"/>
    <n v="223687"/>
    <n v="939396"/>
    <x v="77"/>
    <x v="69"/>
    <x v="1"/>
    <x v="74"/>
    <n v="17059"/>
  </r>
  <r>
    <x v="3"/>
    <x v="1"/>
    <x v="5"/>
    <x v="9"/>
    <s v="Thermal"/>
    <n v="915109"/>
    <n v="98445"/>
    <n v="816664"/>
    <x v="78"/>
    <x v="70"/>
    <x v="3"/>
    <x v="75"/>
    <n v="12151"/>
  </r>
  <r>
    <x v="0"/>
    <x v="1"/>
    <x v="5"/>
    <x v="3"/>
    <s v="Thermal"/>
    <n v="911385"/>
    <n v="170786"/>
    <n v="740599"/>
    <x v="79"/>
    <x v="71"/>
    <x v="2"/>
    <x v="76"/>
    <n v="15957"/>
  </r>
  <r>
    <x v="1"/>
    <x v="4"/>
    <x v="2"/>
    <x v="0"/>
    <s v="Coking"/>
    <n v="831284"/>
    <n v="58002"/>
    <n v="773282"/>
    <x v="80"/>
    <x v="72"/>
    <x v="3"/>
    <x v="77"/>
    <n v="15158"/>
  </r>
  <r>
    <x v="4"/>
    <x v="1"/>
    <x v="5"/>
    <x v="2"/>
    <s v="Thermal"/>
    <n v="560227"/>
    <n v="93867"/>
    <n v="466360"/>
    <x v="81"/>
    <x v="73"/>
    <x v="1"/>
    <x v="78"/>
    <n v="13203"/>
  </r>
  <r>
    <x v="3"/>
    <x v="3"/>
    <x v="1"/>
    <x v="0"/>
    <s v="Coking"/>
    <n v="811902"/>
    <n v="91402"/>
    <n v="720500"/>
    <x v="82"/>
    <x v="74"/>
    <x v="1"/>
    <x v="79"/>
    <n v="16140"/>
  </r>
  <r>
    <x v="0"/>
    <x v="0"/>
    <x v="1"/>
    <x v="4"/>
    <s v="Coking"/>
    <n v="556492"/>
    <n v="81773"/>
    <n v="474719"/>
    <x v="83"/>
    <x v="57"/>
    <x v="3"/>
    <x v="80"/>
    <n v="16673"/>
  </r>
  <r>
    <x v="3"/>
    <x v="1"/>
    <x v="3"/>
    <x v="2"/>
    <s v="Thermal"/>
    <n v="514196"/>
    <n v="58659"/>
    <n v="455537"/>
    <x v="84"/>
    <x v="75"/>
    <x v="1"/>
    <x v="81"/>
    <n v="12396"/>
  </r>
  <r>
    <x v="1"/>
    <x v="3"/>
    <x v="0"/>
    <x v="0"/>
    <s v="Thermal"/>
    <n v="516924"/>
    <n v="96125"/>
    <n v="420799"/>
    <x v="85"/>
    <x v="76"/>
    <x v="1"/>
    <x v="45"/>
    <n v="10873"/>
  </r>
  <r>
    <x v="0"/>
    <x v="0"/>
    <x v="1"/>
    <x v="2"/>
    <s v="Thermal"/>
    <n v="1188465"/>
    <n v="175611"/>
    <n v="1012854"/>
    <x v="86"/>
    <x v="55"/>
    <x v="2"/>
    <x v="82"/>
    <n v="15682"/>
  </r>
  <r>
    <x v="1"/>
    <x v="1"/>
    <x v="3"/>
    <x v="7"/>
    <s v="Coking"/>
    <n v="904803"/>
    <n v="72290"/>
    <n v="832513"/>
    <x v="87"/>
    <x v="40"/>
    <x v="3"/>
    <x v="83"/>
    <n v="14925"/>
  </r>
  <r>
    <x v="0"/>
    <x v="0"/>
    <x v="3"/>
    <x v="0"/>
    <s v="Coking"/>
    <n v="902135"/>
    <n v="83057"/>
    <n v="819078"/>
    <x v="88"/>
    <x v="77"/>
    <x v="0"/>
    <x v="84"/>
    <n v="16543"/>
  </r>
  <r>
    <x v="2"/>
    <x v="3"/>
    <x v="2"/>
    <x v="9"/>
    <s v="Coking"/>
    <n v="934879"/>
    <n v="125668"/>
    <n v="809211"/>
    <x v="89"/>
    <x v="78"/>
    <x v="2"/>
    <x v="85"/>
    <n v="12558"/>
  </r>
  <r>
    <x v="4"/>
    <x v="1"/>
    <x v="3"/>
    <x v="4"/>
    <s v="Thermal"/>
    <n v="772920"/>
    <n v="153600"/>
    <n v="619320"/>
    <x v="90"/>
    <x v="79"/>
    <x v="0"/>
    <x v="86"/>
    <n v="15618"/>
  </r>
  <r>
    <x v="4"/>
    <x v="4"/>
    <x v="0"/>
    <x v="2"/>
    <s v="Thermal"/>
    <n v="665022"/>
    <n v="64323"/>
    <n v="600699"/>
    <x v="91"/>
    <x v="80"/>
    <x v="0"/>
    <x v="87"/>
    <n v="12272"/>
  </r>
  <r>
    <x v="2"/>
    <x v="2"/>
    <x v="1"/>
    <x v="2"/>
    <s v="Thermal"/>
    <n v="1133324"/>
    <n v="140576"/>
    <n v="992748"/>
    <x v="92"/>
    <x v="81"/>
    <x v="1"/>
    <x v="88"/>
    <n v="13803"/>
  </r>
  <r>
    <x v="2"/>
    <x v="0"/>
    <x v="5"/>
    <x v="9"/>
    <s v="Thermal"/>
    <n v="897141"/>
    <n v="59860"/>
    <n v="837281"/>
    <x v="93"/>
    <x v="43"/>
    <x v="1"/>
    <x v="89"/>
    <n v="15670"/>
  </r>
  <r>
    <x v="2"/>
    <x v="4"/>
    <x v="4"/>
    <x v="1"/>
    <s v="Coking"/>
    <n v="645393"/>
    <n v="57029"/>
    <n v="588364"/>
    <x v="94"/>
    <x v="27"/>
    <x v="0"/>
    <x v="90"/>
    <n v="17573"/>
  </r>
  <r>
    <x v="3"/>
    <x v="3"/>
    <x v="2"/>
    <x v="0"/>
    <s v="Thermal"/>
    <n v="802786"/>
    <n v="94082"/>
    <n v="708704"/>
    <x v="95"/>
    <x v="82"/>
    <x v="2"/>
    <x v="91"/>
    <n v="13646"/>
  </r>
  <r>
    <x v="4"/>
    <x v="4"/>
    <x v="2"/>
    <x v="3"/>
    <s v="Thermal"/>
    <n v="995348"/>
    <n v="197627"/>
    <n v="797721"/>
    <x v="96"/>
    <x v="83"/>
    <x v="2"/>
    <x v="92"/>
    <n v="14497"/>
  </r>
  <r>
    <x v="0"/>
    <x v="1"/>
    <x v="3"/>
    <x v="6"/>
    <s v="Thermal"/>
    <n v="872249"/>
    <n v="148337"/>
    <n v="723912"/>
    <x v="97"/>
    <x v="47"/>
    <x v="2"/>
    <x v="93"/>
    <n v="16082"/>
  </r>
  <r>
    <x v="2"/>
    <x v="0"/>
    <x v="5"/>
    <x v="0"/>
    <s v="Thermal"/>
    <n v="1091293"/>
    <n v="122808"/>
    <n v="968485"/>
    <x v="98"/>
    <x v="84"/>
    <x v="1"/>
    <x v="94"/>
    <n v="15616"/>
  </r>
  <r>
    <x v="1"/>
    <x v="1"/>
    <x v="0"/>
    <x v="4"/>
    <s v="Thermal"/>
    <n v="1153055"/>
    <n v="201274"/>
    <n v="951781"/>
    <x v="99"/>
    <x v="53"/>
    <x v="3"/>
    <x v="95"/>
    <n v="112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8EBD7-668B-4434-BEAC-CDE5BF690C66}" name="PivotTable1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0" firstHeaderRow="0" firstDataRow="1" firstDataCol="1"/>
  <pivotFields count="14">
    <pivotField showAll="0"/>
    <pivotField showAll="0"/>
    <pivotField axis="axisRow" showAll="0">
      <items count="7">
        <item x="4"/>
        <item x="2"/>
        <item x="3"/>
        <item x="1"/>
        <item x="0"/>
        <item x="5"/>
        <item t="default"/>
      </items>
    </pivotField>
    <pivotField showAll="0"/>
    <pivotField showAll="0"/>
    <pivotField dataField="1" showAll="0"/>
    <pivotField showAll="0"/>
    <pivotField showAll="0"/>
    <pivotField dataField="1" showAll="0">
      <items count="101">
        <item x="84"/>
        <item x="72"/>
        <item x="44"/>
        <item x="2"/>
        <item x="1"/>
        <item x="49"/>
        <item x="85"/>
        <item x="94"/>
        <item x="76"/>
        <item x="32"/>
        <item x="54"/>
        <item x="80"/>
        <item x="30"/>
        <item x="46"/>
        <item x="8"/>
        <item x="34"/>
        <item x="79"/>
        <item x="50"/>
        <item x="47"/>
        <item x="53"/>
        <item x="29"/>
        <item x="68"/>
        <item x="59"/>
        <item x="0"/>
        <item x="90"/>
        <item x="75"/>
        <item x="6"/>
        <item x="52"/>
        <item x="48"/>
        <item x="83"/>
        <item x="81"/>
        <item x="71"/>
        <item x="18"/>
        <item x="57"/>
        <item x="38"/>
        <item x="60"/>
        <item x="31"/>
        <item x="14"/>
        <item x="73"/>
        <item x="3"/>
        <item x="55"/>
        <item x="61"/>
        <item x="67"/>
        <item x="16"/>
        <item x="4"/>
        <item x="33"/>
        <item x="87"/>
        <item x="70"/>
        <item x="10"/>
        <item x="36"/>
        <item x="97"/>
        <item x="28"/>
        <item x="41"/>
        <item x="51"/>
        <item x="40"/>
        <item x="56"/>
        <item x="39"/>
        <item x="93"/>
        <item x="69"/>
        <item x="78"/>
        <item x="23"/>
        <item x="86"/>
        <item x="92"/>
        <item x="96"/>
        <item x="7"/>
        <item x="82"/>
        <item x="77"/>
        <item x="64"/>
        <item x="27"/>
        <item x="91"/>
        <item x="22"/>
        <item x="58"/>
        <item x="21"/>
        <item x="42"/>
        <item x="24"/>
        <item x="63"/>
        <item x="12"/>
        <item x="88"/>
        <item x="43"/>
        <item x="37"/>
        <item x="26"/>
        <item x="19"/>
        <item x="66"/>
        <item x="95"/>
        <item x="11"/>
        <item x="25"/>
        <item x="62"/>
        <item x="9"/>
        <item x="35"/>
        <item x="20"/>
        <item x="17"/>
        <item x="98"/>
        <item x="74"/>
        <item x="89"/>
        <item x="45"/>
        <item x="99"/>
        <item x="65"/>
        <item x="13"/>
        <item x="5"/>
        <item x="15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duction (Tons)" fld="5" baseField="0" baseItem="0"/>
    <dataField name="Sum of Revenue (₹ Crores)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85FC0-8C3E-4248-91EF-3BCD8EA23055}" name="PivotTable1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4"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7">
        <item x="81"/>
        <item x="41"/>
        <item x="49"/>
        <item x="62"/>
        <item x="26"/>
        <item x="27"/>
        <item x="12"/>
        <item x="83"/>
        <item x="47"/>
        <item x="67"/>
        <item x="78"/>
        <item x="24"/>
        <item x="87"/>
        <item x="59"/>
        <item x="61"/>
        <item x="85"/>
        <item x="4"/>
        <item x="73"/>
        <item x="66"/>
        <item x="54"/>
        <item x="6"/>
        <item x="71"/>
        <item x="84"/>
        <item x="69"/>
        <item x="94"/>
        <item x="42"/>
        <item x="53"/>
        <item x="91"/>
        <item x="36"/>
        <item x="77"/>
        <item x="22"/>
        <item x="89"/>
        <item x="39"/>
        <item x="58"/>
        <item x="60"/>
        <item x="32"/>
        <item x="25"/>
        <item x="37"/>
        <item x="2"/>
        <item x="35"/>
        <item x="86"/>
        <item x="8"/>
        <item x="29"/>
        <item x="31"/>
        <item x="19"/>
        <item x="55"/>
        <item x="74"/>
        <item x="40"/>
        <item x="95"/>
        <item x="68"/>
        <item x="92"/>
        <item x="1"/>
        <item x="65"/>
        <item x="9"/>
        <item x="70"/>
        <item x="5"/>
        <item x="14"/>
        <item x="28"/>
        <item x="63"/>
        <item x="44"/>
        <item x="33"/>
        <item x="75"/>
        <item x="88"/>
        <item x="10"/>
        <item x="21"/>
        <item x="56"/>
        <item x="13"/>
        <item x="72"/>
        <item x="51"/>
        <item x="76"/>
        <item x="64"/>
        <item x="17"/>
        <item x="3"/>
        <item x="45"/>
        <item x="20"/>
        <item x="16"/>
        <item x="15"/>
        <item x="48"/>
        <item x="23"/>
        <item x="7"/>
        <item x="57"/>
        <item x="0"/>
        <item x="11"/>
        <item x="38"/>
        <item x="30"/>
        <item x="50"/>
        <item x="46"/>
        <item x="90"/>
        <item x="43"/>
        <item x="18"/>
        <item x="93"/>
        <item x="79"/>
        <item x="34"/>
        <item x="52"/>
        <item x="82"/>
        <item x="80"/>
        <item t="default"/>
      </items>
    </pivotField>
    <pivotField dataField="1" showAl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intenance Cost (₹ Cr)" fld="11" baseField="0" baseItem="0"/>
    <dataField name="Sum of CO2 Emission (Ton)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8269E-7762-466C-9941-AD445A523A35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4">
    <pivotField showAll="0"/>
    <pivotField axis="axisRow" showAll="0" sortType="de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1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Accident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1800F-0F42-4D94-9A7D-D38CD47505E3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4"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port (Tons)" fld="6" baseField="0" baseItem="0" numFmtId="43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F8436-FCDB-43C3-8E82-998609A85CE3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4"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 (₹ Crores)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D7912-C08B-4D54-9FE2-06A6C8ABF9A9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4">
    <pivotField showAll="0"/>
    <pivotField showAll="0"/>
    <pivotField axis="axisRow" showAll="0">
      <items count="7">
        <item x="4"/>
        <item x="2"/>
        <item x="3"/>
        <item x="1"/>
        <item x="0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duction (Tons)" fld="5" baseField="0" baseItem="0" numFmtId="43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D33C0-D3F2-4C20-8913-49180E98C2DE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aintenance Cost (₹ Cr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4AE16-5062-4202-BE73-080F93B79083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9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6">
        <item x="38"/>
        <item x="44"/>
        <item x="31"/>
        <item x="74"/>
        <item x="81"/>
        <item x="59"/>
        <item x="29"/>
        <item x="13"/>
        <item x="83"/>
        <item x="17"/>
        <item x="52"/>
        <item x="9"/>
        <item x="51"/>
        <item x="64"/>
        <item x="53"/>
        <item x="37"/>
        <item x="22"/>
        <item x="79"/>
        <item x="84"/>
        <item x="28"/>
        <item x="3"/>
        <item x="66"/>
        <item x="75"/>
        <item x="33"/>
        <item x="26"/>
        <item x="70"/>
        <item x="46"/>
        <item x="39"/>
        <item x="25"/>
        <item x="77"/>
        <item x="15"/>
        <item x="2"/>
        <item x="50"/>
        <item x="60"/>
        <item x="67"/>
        <item x="12"/>
        <item x="63"/>
        <item x="34"/>
        <item x="61"/>
        <item x="76"/>
        <item x="24"/>
        <item x="32"/>
        <item x="7"/>
        <item x="36"/>
        <item x="1"/>
        <item x="47"/>
        <item x="56"/>
        <item x="55"/>
        <item x="78"/>
        <item x="68"/>
        <item x="42"/>
        <item x="82"/>
        <item x="45"/>
        <item x="21"/>
        <item x="16"/>
        <item x="8"/>
        <item x="80"/>
        <item x="73"/>
        <item x="65"/>
        <item x="35"/>
        <item x="10"/>
        <item x="19"/>
        <item x="72"/>
        <item x="54"/>
        <item x="30"/>
        <item x="23"/>
        <item x="62"/>
        <item x="5"/>
        <item x="41"/>
        <item x="40"/>
        <item x="27"/>
        <item x="49"/>
        <item x="6"/>
        <item x="57"/>
        <item x="18"/>
        <item x="0"/>
        <item x="4"/>
        <item x="58"/>
        <item x="43"/>
        <item x="20"/>
        <item x="71"/>
        <item x="69"/>
        <item x="14"/>
        <item x="11"/>
        <item x="48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₹ Crores)" fld="8" baseField="0" baseItem="0"/>
    <dataField name="Calculated Revenue Per EMP" fld="13" baseField="0" baseItem="0" numFmtId="166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8AA43-45B3-4C6F-83A4-C0272AF9E2D5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">
        <item x="2"/>
        <item x="0"/>
        <item x="3"/>
        <item x="1"/>
        <item t="default"/>
      </items>
    </pivotField>
    <pivotField showAll="0"/>
    <pivotField showAl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cident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A687A-6443-4276-8EA7-C22BDF0E6334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/>
    <pivotField showAll="0"/>
    <pivotField axis="axisRow" showAll="0">
      <items count="7">
        <item x="4"/>
        <item x="2"/>
        <item x="3"/>
        <item x="1"/>
        <item x="0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duction (Tons)" fld="5" baseField="0" baseItem="0" numFmtId="43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58FAC-0FE9-4E95-B30D-6D6BDFD0C3E5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14">
    <pivotField axis="axisCol" showAll="0">
      <items count="6">
        <item x="2"/>
        <item x="3"/>
        <item x="0"/>
        <item x="4"/>
        <item x="1"/>
        <item t="default"/>
      </items>
    </pivotField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 (₹ Crores)" fld="8" baseField="0" baseItem="0" numFmtId="43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AC318-0A0B-4F23-BFB8-3AEFC16D3754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axis="axisRow" showAll="0">
      <items count="11">
        <item x="5"/>
        <item x="7"/>
        <item x="2"/>
        <item x="4"/>
        <item x="1"/>
        <item x="6"/>
        <item x="9"/>
        <item x="3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O2 Emission (Ton)" fld="12" subtotal="average" baseField="3" baseItem="0" numFmtId="166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9BDCA-A97B-486D-B3C8-03AC92588067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showAll="0"/>
    <pivotField showAll="0"/>
    <pivotField showAll="0"/>
    <pivotField axis="axisRow" showAll="0" measureFilter="1" sortType="descending">
      <items count="11">
        <item x="5"/>
        <item x="7"/>
        <item x="2"/>
        <item x="4"/>
        <item x="1"/>
        <item x="6"/>
        <item x="9"/>
        <item x="3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6">
    <i>
      <x v="8"/>
    </i>
    <i>
      <x v="2"/>
    </i>
    <i>
      <x v="3"/>
    </i>
    <i>
      <x v="7"/>
    </i>
    <i>
      <x/>
    </i>
    <i t="grand">
      <x/>
    </i>
  </rowItems>
  <colItems count="1">
    <i/>
  </colItems>
  <dataFields count="1">
    <dataField name="Sum of Production (Tons)" fld="5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CFBCC-EE85-4125-A648-7AD1EE40CF85}" name="Table1" displayName="Table1" ref="A1:M101" totalsRowShown="0" headerRowDxfId="6" headerRowBorderDxfId="7" tableBorderDxfId="8">
  <autoFilter ref="A1:M101" xr:uid="{38FCFBCC-EE85-4125-A648-7AD1EE40CF85}"/>
  <tableColumns count="13">
    <tableColumn id="1" xr3:uid="{3C55D362-B2D5-4A8D-B30F-C9B14FBC37CC}" name="Year"/>
    <tableColumn id="2" xr3:uid="{833DFC35-BFFD-4B47-987D-EB7D8EB07B9A}" name="Company"/>
    <tableColumn id="3" xr3:uid="{8AA7C602-4449-4A87-A55F-EE5B15755E7D}" name="Region"/>
    <tableColumn id="4" xr3:uid="{C8DFE6D5-99E9-44CC-8FEF-834A3A4FBBEB}" name="Mine Name"/>
    <tableColumn id="5" xr3:uid="{55308DC7-AF00-4527-990E-E7BD0A93D32A}" name="Coal Type"/>
    <tableColumn id="6" xr3:uid="{11041387-FFCF-409C-B37B-D7B85ACDBF4F}" name="Production (Tons)"/>
    <tableColumn id="7" xr3:uid="{8E28E355-02DD-4BED-BB83-30B9768BDB91}" name="Export (Tons)"/>
    <tableColumn id="8" xr3:uid="{9DFFCD1C-6EA0-4D10-99DD-B682215F84C6}" name="Domestic Sales (Tons)"/>
    <tableColumn id="9" xr3:uid="{5AA332FA-C7F8-4650-9A7D-E71583E2147F}" name="Revenue (₹ Crores)"/>
    <tableColumn id="10" xr3:uid="{627D7616-11E5-4571-9374-83F239CF4854}" name="Employees"/>
    <tableColumn id="11" xr3:uid="{CDDF636E-905E-4937-A1A2-9F65F12CFDA9}" name="Accidents"/>
    <tableColumn id="12" xr3:uid="{15F52DDA-C758-4884-A15E-2A4EC39D89D6}" name="Maintenance Cost (₹ Cr)"/>
    <tableColumn id="13" xr3:uid="{C63F53E4-EAA0-4C03-961A-D8782334312E}" name="CO2 Emission (T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opLeftCell="A2" workbookViewId="0">
      <selection activeCell="B14" sqref="B14"/>
    </sheetView>
  </sheetViews>
  <sheetFormatPr defaultRowHeight="14.4" x14ac:dyDescent="0.3"/>
  <cols>
    <col min="1" max="1" width="9.109375" bestFit="1" customWidth="1"/>
    <col min="2" max="2" width="17.77734375" bestFit="1" customWidth="1"/>
    <col min="3" max="3" width="14.5546875" bestFit="1" customWidth="1"/>
    <col min="4" max="4" width="15.21875" bestFit="1" customWidth="1"/>
    <col min="5" max="5" width="13.6640625" bestFit="1" customWidth="1"/>
    <col min="6" max="6" width="20.6640625" bestFit="1" customWidth="1"/>
    <col min="7" max="7" width="16.6640625" bestFit="1" customWidth="1"/>
    <col min="8" max="8" width="23.88671875" bestFit="1" customWidth="1"/>
    <col min="9" max="9" width="21.44140625" bestFit="1" customWidth="1"/>
    <col min="10" max="10" width="14.5546875" bestFit="1" customWidth="1"/>
    <col min="11" max="11" width="13.5546875" bestFit="1" customWidth="1"/>
    <col min="12" max="12" width="26" bestFit="1" customWidth="1"/>
    <col min="13" max="13" width="2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2022</v>
      </c>
      <c r="B2" t="s">
        <v>13</v>
      </c>
      <c r="C2" t="s">
        <v>14</v>
      </c>
      <c r="D2" t="s">
        <v>15</v>
      </c>
      <c r="E2" t="s">
        <v>16</v>
      </c>
      <c r="F2">
        <v>844632</v>
      </c>
      <c r="G2">
        <v>144834</v>
      </c>
      <c r="H2">
        <v>699798</v>
      </c>
      <c r="I2">
        <v>610.02</v>
      </c>
      <c r="J2">
        <v>671</v>
      </c>
      <c r="K2">
        <v>1</v>
      </c>
      <c r="L2">
        <v>17.87</v>
      </c>
      <c r="M2">
        <v>15300</v>
      </c>
    </row>
    <row r="3" spans="1:13" x14ac:dyDescent="0.3">
      <c r="A3">
        <v>2024</v>
      </c>
      <c r="B3" t="s">
        <v>17</v>
      </c>
      <c r="C3" t="s">
        <v>18</v>
      </c>
      <c r="D3" t="s">
        <v>19</v>
      </c>
      <c r="E3" t="s">
        <v>20</v>
      </c>
      <c r="F3">
        <v>596373</v>
      </c>
      <c r="G3">
        <v>95350</v>
      </c>
      <c r="H3">
        <v>501023</v>
      </c>
      <c r="I3">
        <v>493.08</v>
      </c>
      <c r="J3">
        <v>543</v>
      </c>
      <c r="K3">
        <v>3</v>
      </c>
      <c r="L3">
        <v>13.06</v>
      </c>
      <c r="M3">
        <v>15994</v>
      </c>
    </row>
    <row r="4" spans="1:13" x14ac:dyDescent="0.3">
      <c r="A4">
        <v>2020</v>
      </c>
      <c r="B4" t="s">
        <v>13</v>
      </c>
      <c r="C4" t="s">
        <v>14</v>
      </c>
      <c r="D4" t="s">
        <v>21</v>
      </c>
      <c r="E4" t="s">
        <v>16</v>
      </c>
      <c r="F4">
        <v>700730</v>
      </c>
      <c r="G4">
        <v>81869</v>
      </c>
      <c r="H4">
        <v>618861</v>
      </c>
      <c r="I4">
        <v>484.4</v>
      </c>
      <c r="J4">
        <v>504</v>
      </c>
      <c r="K4">
        <v>0</v>
      </c>
      <c r="L4">
        <v>11.97</v>
      </c>
      <c r="M4">
        <v>14908</v>
      </c>
    </row>
    <row r="5" spans="1:13" x14ac:dyDescent="0.3">
      <c r="A5">
        <v>2021</v>
      </c>
      <c r="B5" t="s">
        <v>22</v>
      </c>
      <c r="C5" t="s">
        <v>23</v>
      </c>
      <c r="D5" t="s">
        <v>24</v>
      </c>
      <c r="E5" t="s">
        <v>20</v>
      </c>
      <c r="F5">
        <v>620004</v>
      </c>
      <c r="G5">
        <v>103780</v>
      </c>
      <c r="H5">
        <v>516224</v>
      </c>
      <c r="I5">
        <v>663.14</v>
      </c>
      <c r="J5">
        <v>465</v>
      </c>
      <c r="K5">
        <v>3</v>
      </c>
      <c r="L5">
        <v>16.649999999999999</v>
      </c>
      <c r="M5">
        <v>13884</v>
      </c>
    </row>
    <row r="6" spans="1:13" x14ac:dyDescent="0.3">
      <c r="A6">
        <v>2023</v>
      </c>
      <c r="B6" t="s">
        <v>25</v>
      </c>
      <c r="C6" t="s">
        <v>26</v>
      </c>
      <c r="D6" t="s">
        <v>15</v>
      </c>
      <c r="E6" t="s">
        <v>20</v>
      </c>
      <c r="F6">
        <v>1146386</v>
      </c>
      <c r="G6">
        <v>209959</v>
      </c>
      <c r="H6">
        <v>936427</v>
      </c>
      <c r="I6">
        <v>683.43</v>
      </c>
      <c r="J6">
        <v>672</v>
      </c>
      <c r="K6">
        <v>0</v>
      </c>
      <c r="L6">
        <v>8.1300000000000008</v>
      </c>
      <c r="M6">
        <v>14105</v>
      </c>
    </row>
    <row r="7" spans="1:13" x14ac:dyDescent="0.3">
      <c r="A7">
        <v>2020</v>
      </c>
      <c r="B7" t="s">
        <v>22</v>
      </c>
      <c r="C7" t="s">
        <v>26</v>
      </c>
      <c r="D7" t="s">
        <v>21</v>
      </c>
      <c r="E7" t="s">
        <v>20</v>
      </c>
      <c r="F7">
        <v>1120829</v>
      </c>
      <c r="G7">
        <v>91320</v>
      </c>
      <c r="H7">
        <v>1029509</v>
      </c>
      <c r="I7">
        <v>917.12</v>
      </c>
      <c r="J7">
        <v>648</v>
      </c>
      <c r="K7">
        <v>1</v>
      </c>
      <c r="L7">
        <v>13.65</v>
      </c>
      <c r="M7">
        <v>13059</v>
      </c>
    </row>
    <row r="8" spans="1:13" x14ac:dyDescent="0.3">
      <c r="A8">
        <v>2023</v>
      </c>
      <c r="B8" t="s">
        <v>25</v>
      </c>
      <c r="C8" t="s">
        <v>26</v>
      </c>
      <c r="D8" t="s">
        <v>24</v>
      </c>
      <c r="E8" t="s">
        <v>16</v>
      </c>
      <c r="F8">
        <v>726248</v>
      </c>
      <c r="G8">
        <v>58859</v>
      </c>
      <c r="H8">
        <v>667389</v>
      </c>
      <c r="I8">
        <v>623.83000000000004</v>
      </c>
      <c r="J8">
        <v>667</v>
      </c>
      <c r="K8">
        <v>3</v>
      </c>
      <c r="L8">
        <v>8.74</v>
      </c>
      <c r="M8">
        <v>11117</v>
      </c>
    </row>
    <row r="9" spans="1:13" x14ac:dyDescent="0.3">
      <c r="A9">
        <v>2020</v>
      </c>
      <c r="B9" t="s">
        <v>17</v>
      </c>
      <c r="C9" t="s">
        <v>27</v>
      </c>
      <c r="D9" t="s">
        <v>15</v>
      </c>
      <c r="E9" t="s">
        <v>16</v>
      </c>
      <c r="F9">
        <v>714302</v>
      </c>
      <c r="G9">
        <v>77720</v>
      </c>
      <c r="H9">
        <v>636582</v>
      </c>
      <c r="I9">
        <v>729.57</v>
      </c>
      <c r="J9">
        <v>534</v>
      </c>
      <c r="K9">
        <v>3</v>
      </c>
      <c r="L9">
        <v>17.440000000000001</v>
      </c>
      <c r="M9">
        <v>17360</v>
      </c>
    </row>
    <row r="10" spans="1:13" x14ac:dyDescent="0.3">
      <c r="A10">
        <v>2021</v>
      </c>
      <c r="B10" t="s">
        <v>28</v>
      </c>
      <c r="C10" t="s">
        <v>14</v>
      </c>
      <c r="D10" t="s">
        <v>29</v>
      </c>
      <c r="E10" t="s">
        <v>20</v>
      </c>
      <c r="F10">
        <v>580884</v>
      </c>
      <c r="G10">
        <v>70456</v>
      </c>
      <c r="H10">
        <v>510428</v>
      </c>
      <c r="I10">
        <v>571.71</v>
      </c>
      <c r="J10">
        <v>572</v>
      </c>
      <c r="K10">
        <v>1</v>
      </c>
      <c r="L10">
        <v>12.21</v>
      </c>
      <c r="M10">
        <v>13473</v>
      </c>
    </row>
    <row r="11" spans="1:13" x14ac:dyDescent="0.3">
      <c r="A11">
        <v>2021</v>
      </c>
      <c r="B11" t="s">
        <v>28</v>
      </c>
      <c r="C11" t="s">
        <v>23</v>
      </c>
      <c r="D11" t="s">
        <v>29</v>
      </c>
      <c r="E11" t="s">
        <v>16</v>
      </c>
      <c r="F11">
        <v>894857</v>
      </c>
      <c r="G11">
        <v>162648</v>
      </c>
      <c r="H11">
        <v>732209</v>
      </c>
      <c r="I11">
        <v>830.88</v>
      </c>
      <c r="J11">
        <v>432</v>
      </c>
      <c r="K11">
        <v>2</v>
      </c>
      <c r="L11">
        <v>13.22</v>
      </c>
      <c r="M11">
        <v>12558</v>
      </c>
    </row>
    <row r="12" spans="1:13" x14ac:dyDescent="0.3">
      <c r="A12">
        <v>2021</v>
      </c>
      <c r="B12" t="s">
        <v>17</v>
      </c>
      <c r="C12" t="s">
        <v>30</v>
      </c>
      <c r="D12" t="s">
        <v>24</v>
      </c>
      <c r="E12" t="s">
        <v>20</v>
      </c>
      <c r="F12">
        <v>1137404</v>
      </c>
      <c r="G12">
        <v>109655</v>
      </c>
      <c r="H12">
        <v>1027749</v>
      </c>
      <c r="I12">
        <v>694.07</v>
      </c>
      <c r="J12">
        <v>621</v>
      </c>
      <c r="K12">
        <v>1</v>
      </c>
      <c r="L12">
        <v>15.43</v>
      </c>
      <c r="M12">
        <v>10699</v>
      </c>
    </row>
    <row r="13" spans="1:13" x14ac:dyDescent="0.3">
      <c r="A13">
        <v>2024</v>
      </c>
      <c r="B13" t="s">
        <v>25</v>
      </c>
      <c r="C13" t="s">
        <v>27</v>
      </c>
      <c r="D13" t="s">
        <v>24</v>
      </c>
      <c r="E13" t="s">
        <v>20</v>
      </c>
      <c r="F13">
        <v>1059974</v>
      </c>
      <c r="G13">
        <v>122438</v>
      </c>
      <c r="H13">
        <v>937536</v>
      </c>
      <c r="I13">
        <v>820.78</v>
      </c>
      <c r="J13">
        <v>698</v>
      </c>
      <c r="K13">
        <v>3</v>
      </c>
      <c r="L13">
        <v>17.88</v>
      </c>
      <c r="M13">
        <v>13641</v>
      </c>
    </row>
    <row r="14" spans="1:13" x14ac:dyDescent="0.3">
      <c r="A14">
        <v>2021</v>
      </c>
      <c r="B14" t="s">
        <v>25</v>
      </c>
      <c r="C14" t="s">
        <v>27</v>
      </c>
      <c r="D14" t="s">
        <v>31</v>
      </c>
      <c r="E14" t="s">
        <v>20</v>
      </c>
      <c r="F14">
        <v>1073482</v>
      </c>
      <c r="G14">
        <v>74198</v>
      </c>
      <c r="H14">
        <v>999284</v>
      </c>
      <c r="I14">
        <v>793.16</v>
      </c>
      <c r="J14">
        <v>515</v>
      </c>
      <c r="K14">
        <v>2</v>
      </c>
      <c r="L14">
        <v>6.23</v>
      </c>
      <c r="M14">
        <v>11332</v>
      </c>
    </row>
    <row r="15" spans="1:13" x14ac:dyDescent="0.3">
      <c r="A15">
        <v>2020</v>
      </c>
      <c r="B15" t="s">
        <v>22</v>
      </c>
      <c r="C15" t="s">
        <v>30</v>
      </c>
      <c r="D15" t="s">
        <v>32</v>
      </c>
      <c r="E15" t="s">
        <v>16</v>
      </c>
      <c r="F15">
        <v>1124502</v>
      </c>
      <c r="G15">
        <v>114428</v>
      </c>
      <c r="H15">
        <v>1010074</v>
      </c>
      <c r="I15">
        <v>915.72</v>
      </c>
      <c r="J15">
        <v>427</v>
      </c>
      <c r="K15">
        <v>0</v>
      </c>
      <c r="L15">
        <v>15.9</v>
      </c>
      <c r="M15">
        <v>11249</v>
      </c>
    </row>
    <row r="16" spans="1:13" x14ac:dyDescent="0.3">
      <c r="A16">
        <v>2024</v>
      </c>
      <c r="B16" t="s">
        <v>25</v>
      </c>
      <c r="C16" t="s">
        <v>27</v>
      </c>
      <c r="D16" t="s">
        <v>33</v>
      </c>
      <c r="E16" t="s">
        <v>20</v>
      </c>
      <c r="F16">
        <v>616044</v>
      </c>
      <c r="G16">
        <v>109783</v>
      </c>
      <c r="H16">
        <v>506261</v>
      </c>
      <c r="I16">
        <v>663.04</v>
      </c>
      <c r="J16">
        <v>694</v>
      </c>
      <c r="K16">
        <v>3</v>
      </c>
      <c r="L16">
        <v>13.76</v>
      </c>
      <c r="M16">
        <v>16320</v>
      </c>
    </row>
    <row r="17" spans="1:13" x14ac:dyDescent="0.3">
      <c r="A17">
        <v>2022</v>
      </c>
      <c r="B17" t="s">
        <v>17</v>
      </c>
      <c r="C17" t="s">
        <v>26</v>
      </c>
      <c r="D17" t="s">
        <v>34</v>
      </c>
      <c r="E17" t="s">
        <v>16</v>
      </c>
      <c r="F17">
        <v>1128981</v>
      </c>
      <c r="G17">
        <v>111834</v>
      </c>
      <c r="H17">
        <v>1017147</v>
      </c>
      <c r="I17">
        <v>941.72</v>
      </c>
      <c r="J17">
        <v>500</v>
      </c>
      <c r="K17">
        <v>1</v>
      </c>
      <c r="L17">
        <v>17.03</v>
      </c>
      <c r="M17">
        <v>16439</v>
      </c>
    </row>
    <row r="18" spans="1:13" x14ac:dyDescent="0.3">
      <c r="A18">
        <v>2024</v>
      </c>
      <c r="B18" t="s">
        <v>13</v>
      </c>
      <c r="C18" t="s">
        <v>18</v>
      </c>
      <c r="D18" t="s">
        <v>35</v>
      </c>
      <c r="E18" t="s">
        <v>16</v>
      </c>
      <c r="F18">
        <v>621710</v>
      </c>
      <c r="G18">
        <v>85292</v>
      </c>
      <c r="H18">
        <v>536418</v>
      </c>
      <c r="I18">
        <v>678.74</v>
      </c>
      <c r="J18">
        <v>571</v>
      </c>
      <c r="K18">
        <v>0</v>
      </c>
      <c r="L18">
        <v>16.93</v>
      </c>
      <c r="M18">
        <v>14192</v>
      </c>
    </row>
    <row r="19" spans="1:13" x14ac:dyDescent="0.3">
      <c r="A19">
        <v>2024</v>
      </c>
      <c r="B19" t="s">
        <v>13</v>
      </c>
      <c r="C19" t="s">
        <v>26</v>
      </c>
      <c r="D19" t="s">
        <v>29</v>
      </c>
      <c r="E19" t="s">
        <v>16</v>
      </c>
      <c r="F19">
        <v>1107141</v>
      </c>
      <c r="G19">
        <v>129332</v>
      </c>
      <c r="H19">
        <v>977809</v>
      </c>
      <c r="I19">
        <v>840.96</v>
      </c>
      <c r="J19">
        <v>429</v>
      </c>
      <c r="K19">
        <v>2</v>
      </c>
      <c r="L19">
        <v>16.37</v>
      </c>
      <c r="M19">
        <v>14423</v>
      </c>
    </row>
    <row r="20" spans="1:13" x14ac:dyDescent="0.3">
      <c r="A20">
        <v>2024</v>
      </c>
      <c r="B20" t="s">
        <v>22</v>
      </c>
      <c r="C20" t="s">
        <v>27</v>
      </c>
      <c r="D20" t="s">
        <v>21</v>
      </c>
      <c r="E20" t="s">
        <v>20</v>
      </c>
      <c r="F20">
        <v>948584</v>
      </c>
      <c r="G20">
        <v>145651</v>
      </c>
      <c r="H20">
        <v>802933</v>
      </c>
      <c r="I20">
        <v>641</v>
      </c>
      <c r="J20">
        <v>670</v>
      </c>
      <c r="K20">
        <v>1</v>
      </c>
      <c r="L20">
        <v>18.760000000000002</v>
      </c>
      <c r="M20">
        <v>15206</v>
      </c>
    </row>
    <row r="21" spans="1:13" x14ac:dyDescent="0.3">
      <c r="A21">
        <v>2022</v>
      </c>
      <c r="B21" t="s">
        <v>17</v>
      </c>
      <c r="C21" t="s">
        <v>14</v>
      </c>
      <c r="D21" t="s">
        <v>35</v>
      </c>
      <c r="E21" t="s">
        <v>20</v>
      </c>
      <c r="F21">
        <v>1110429</v>
      </c>
      <c r="G21">
        <v>77988</v>
      </c>
      <c r="H21">
        <v>1032441</v>
      </c>
      <c r="I21">
        <v>797.66</v>
      </c>
      <c r="J21">
        <v>623</v>
      </c>
      <c r="K21">
        <v>1</v>
      </c>
      <c r="L21">
        <v>12.68</v>
      </c>
      <c r="M21">
        <v>12173</v>
      </c>
    </row>
    <row r="22" spans="1:13" x14ac:dyDescent="0.3">
      <c r="A22">
        <v>2020</v>
      </c>
      <c r="B22" t="s">
        <v>13</v>
      </c>
      <c r="C22" t="s">
        <v>30</v>
      </c>
      <c r="D22" t="s">
        <v>29</v>
      </c>
      <c r="E22" t="s">
        <v>20</v>
      </c>
      <c r="F22">
        <v>939794</v>
      </c>
      <c r="G22">
        <v>68269</v>
      </c>
      <c r="H22">
        <v>871525</v>
      </c>
      <c r="I22">
        <v>837.24</v>
      </c>
      <c r="J22">
        <v>684</v>
      </c>
      <c r="K22">
        <v>3</v>
      </c>
      <c r="L22">
        <v>16.82</v>
      </c>
      <c r="M22">
        <v>10449</v>
      </c>
    </row>
    <row r="23" spans="1:13" x14ac:dyDescent="0.3">
      <c r="A23">
        <v>2024</v>
      </c>
      <c r="B23" t="s">
        <v>17</v>
      </c>
      <c r="C23" t="s">
        <v>26</v>
      </c>
      <c r="D23" t="s">
        <v>19</v>
      </c>
      <c r="E23" t="s">
        <v>20</v>
      </c>
      <c r="F23">
        <v>795981</v>
      </c>
      <c r="G23">
        <v>139127</v>
      </c>
      <c r="H23">
        <v>656854</v>
      </c>
      <c r="I23">
        <v>753.86</v>
      </c>
      <c r="J23">
        <v>569</v>
      </c>
      <c r="K23">
        <v>3</v>
      </c>
      <c r="L23">
        <v>15.62</v>
      </c>
      <c r="M23">
        <v>10210</v>
      </c>
    </row>
    <row r="24" spans="1:13" x14ac:dyDescent="0.3">
      <c r="A24">
        <v>2021</v>
      </c>
      <c r="B24" t="s">
        <v>22</v>
      </c>
      <c r="C24" t="s">
        <v>18</v>
      </c>
      <c r="D24" t="s">
        <v>32</v>
      </c>
      <c r="E24" t="s">
        <v>20</v>
      </c>
      <c r="F24">
        <v>906392</v>
      </c>
      <c r="G24">
        <v>109250</v>
      </c>
      <c r="H24">
        <v>797142</v>
      </c>
      <c r="I24">
        <v>745.68</v>
      </c>
      <c r="J24">
        <v>441</v>
      </c>
      <c r="K24">
        <v>2</v>
      </c>
      <c r="L24">
        <v>10.83</v>
      </c>
      <c r="M24">
        <v>11225</v>
      </c>
    </row>
    <row r="25" spans="1:13" x14ac:dyDescent="0.3">
      <c r="A25">
        <v>2021</v>
      </c>
      <c r="B25" t="s">
        <v>28</v>
      </c>
      <c r="C25" t="s">
        <v>27</v>
      </c>
      <c r="D25" t="s">
        <v>19</v>
      </c>
      <c r="E25" t="s">
        <v>20</v>
      </c>
      <c r="F25">
        <v>697003</v>
      </c>
      <c r="G25">
        <v>51828</v>
      </c>
      <c r="H25">
        <v>645175</v>
      </c>
      <c r="I25">
        <v>714.31</v>
      </c>
      <c r="J25">
        <v>643</v>
      </c>
      <c r="K25">
        <v>2</v>
      </c>
      <c r="L25">
        <v>17.36</v>
      </c>
      <c r="M25">
        <v>16204</v>
      </c>
    </row>
    <row r="26" spans="1:13" x14ac:dyDescent="0.3">
      <c r="A26">
        <v>2021</v>
      </c>
      <c r="B26" t="s">
        <v>17</v>
      </c>
      <c r="C26" t="s">
        <v>30</v>
      </c>
      <c r="D26" t="s">
        <v>21</v>
      </c>
      <c r="E26" t="s">
        <v>16</v>
      </c>
      <c r="F26">
        <v>1037404</v>
      </c>
      <c r="G26">
        <v>187567</v>
      </c>
      <c r="H26">
        <v>849837</v>
      </c>
      <c r="I26">
        <v>759.62</v>
      </c>
      <c r="J26">
        <v>528</v>
      </c>
      <c r="K26">
        <v>0</v>
      </c>
      <c r="L26">
        <v>7.3</v>
      </c>
      <c r="M26">
        <v>17725</v>
      </c>
    </row>
    <row r="27" spans="1:13" x14ac:dyDescent="0.3">
      <c r="A27">
        <v>2023</v>
      </c>
      <c r="B27" t="s">
        <v>13</v>
      </c>
      <c r="C27" t="s">
        <v>18</v>
      </c>
      <c r="D27" t="s">
        <v>31</v>
      </c>
      <c r="E27" t="s">
        <v>16</v>
      </c>
      <c r="F27">
        <v>1048622</v>
      </c>
      <c r="G27">
        <v>165308</v>
      </c>
      <c r="H27">
        <v>883314</v>
      </c>
      <c r="I27">
        <v>820.99</v>
      </c>
      <c r="J27">
        <v>494</v>
      </c>
      <c r="K27">
        <v>2</v>
      </c>
      <c r="L27">
        <v>11.67</v>
      </c>
      <c r="M27">
        <v>10388</v>
      </c>
    </row>
    <row r="28" spans="1:13" x14ac:dyDescent="0.3">
      <c r="A28">
        <v>2022</v>
      </c>
      <c r="B28" t="s">
        <v>28</v>
      </c>
      <c r="C28" t="s">
        <v>23</v>
      </c>
      <c r="D28" t="s">
        <v>31</v>
      </c>
      <c r="E28" t="s">
        <v>16</v>
      </c>
      <c r="F28">
        <v>1117212</v>
      </c>
      <c r="G28">
        <v>219348</v>
      </c>
      <c r="H28">
        <v>897864</v>
      </c>
      <c r="I28">
        <v>796.31</v>
      </c>
      <c r="J28">
        <v>473</v>
      </c>
      <c r="K28">
        <v>3</v>
      </c>
      <c r="L28">
        <v>5.98</v>
      </c>
      <c r="M28">
        <v>10335</v>
      </c>
    </row>
    <row r="29" spans="1:13" x14ac:dyDescent="0.3">
      <c r="A29">
        <v>2024</v>
      </c>
      <c r="B29" t="s">
        <v>13</v>
      </c>
      <c r="C29" t="s">
        <v>14</v>
      </c>
      <c r="D29" t="s">
        <v>34</v>
      </c>
      <c r="E29" t="s">
        <v>20</v>
      </c>
      <c r="F29">
        <v>1112839</v>
      </c>
      <c r="G29">
        <v>162532</v>
      </c>
      <c r="H29">
        <v>950307</v>
      </c>
      <c r="I29">
        <v>741.95</v>
      </c>
      <c r="J29">
        <v>662</v>
      </c>
      <c r="K29">
        <v>2</v>
      </c>
      <c r="L29">
        <v>6.18</v>
      </c>
      <c r="M29">
        <v>15392</v>
      </c>
    </row>
    <row r="30" spans="1:13" x14ac:dyDescent="0.3">
      <c r="A30">
        <v>2024</v>
      </c>
      <c r="B30" t="s">
        <v>25</v>
      </c>
      <c r="C30" t="s">
        <v>26</v>
      </c>
      <c r="D30" t="s">
        <v>15</v>
      </c>
      <c r="E30" t="s">
        <v>16</v>
      </c>
      <c r="F30">
        <v>947590</v>
      </c>
      <c r="G30">
        <v>60953</v>
      </c>
      <c r="H30">
        <v>886637</v>
      </c>
      <c r="I30">
        <v>701.64</v>
      </c>
      <c r="J30">
        <v>464</v>
      </c>
      <c r="K30">
        <v>3</v>
      </c>
      <c r="L30">
        <v>13.83</v>
      </c>
      <c r="M30">
        <v>11510</v>
      </c>
    </row>
    <row r="31" spans="1:13" x14ac:dyDescent="0.3">
      <c r="A31">
        <v>2020</v>
      </c>
      <c r="B31" t="s">
        <v>28</v>
      </c>
      <c r="C31" t="s">
        <v>26</v>
      </c>
      <c r="D31" t="s">
        <v>29</v>
      </c>
      <c r="E31" t="s">
        <v>20</v>
      </c>
      <c r="F31">
        <v>976500</v>
      </c>
      <c r="G31">
        <v>105549</v>
      </c>
      <c r="H31">
        <v>870951</v>
      </c>
      <c r="I31">
        <v>596.37</v>
      </c>
      <c r="J31">
        <v>424</v>
      </c>
      <c r="K31">
        <v>1</v>
      </c>
      <c r="L31">
        <v>12.25</v>
      </c>
      <c r="M31">
        <v>16790</v>
      </c>
    </row>
    <row r="32" spans="1:13" x14ac:dyDescent="0.3">
      <c r="A32">
        <v>2020</v>
      </c>
      <c r="B32" t="s">
        <v>28</v>
      </c>
      <c r="C32" t="s">
        <v>18</v>
      </c>
      <c r="D32" t="s">
        <v>33</v>
      </c>
      <c r="E32" t="s">
        <v>20</v>
      </c>
      <c r="F32">
        <v>726180</v>
      </c>
      <c r="G32">
        <v>70497</v>
      </c>
      <c r="H32">
        <v>655683</v>
      </c>
      <c r="I32">
        <v>546.99</v>
      </c>
      <c r="J32">
        <v>631</v>
      </c>
      <c r="K32">
        <v>2</v>
      </c>
      <c r="L32">
        <v>18.02</v>
      </c>
      <c r="M32">
        <v>12721</v>
      </c>
    </row>
    <row r="33" spans="1:13" x14ac:dyDescent="0.3">
      <c r="A33">
        <v>2023</v>
      </c>
      <c r="B33" t="s">
        <v>25</v>
      </c>
      <c r="C33" t="s">
        <v>14</v>
      </c>
      <c r="D33" t="s">
        <v>24</v>
      </c>
      <c r="E33" t="s">
        <v>16</v>
      </c>
      <c r="F33">
        <v>751918</v>
      </c>
      <c r="G33">
        <v>63339</v>
      </c>
      <c r="H33">
        <v>688579</v>
      </c>
      <c r="I33">
        <v>659.19</v>
      </c>
      <c r="J33">
        <v>409</v>
      </c>
      <c r="K33">
        <v>3</v>
      </c>
      <c r="L33">
        <v>12.32</v>
      </c>
      <c r="M33">
        <v>11988</v>
      </c>
    </row>
    <row r="34" spans="1:13" x14ac:dyDescent="0.3">
      <c r="A34">
        <v>2020</v>
      </c>
      <c r="B34" t="s">
        <v>22</v>
      </c>
      <c r="C34" t="s">
        <v>30</v>
      </c>
      <c r="D34" t="s">
        <v>32</v>
      </c>
      <c r="E34" t="s">
        <v>16</v>
      </c>
      <c r="F34">
        <v>674892</v>
      </c>
      <c r="G34">
        <v>75644</v>
      </c>
      <c r="H34">
        <v>599248</v>
      </c>
      <c r="I34">
        <v>523.42999999999995</v>
      </c>
      <c r="J34">
        <v>533</v>
      </c>
      <c r="K34">
        <v>1</v>
      </c>
      <c r="L34">
        <v>11.61</v>
      </c>
      <c r="M34">
        <v>11043</v>
      </c>
    </row>
    <row r="35" spans="1:13" x14ac:dyDescent="0.3">
      <c r="A35">
        <v>2023</v>
      </c>
      <c r="B35" t="s">
        <v>13</v>
      </c>
      <c r="C35" t="s">
        <v>14</v>
      </c>
      <c r="D35" t="s">
        <v>35</v>
      </c>
      <c r="E35" t="s">
        <v>16</v>
      </c>
      <c r="F35">
        <v>559035</v>
      </c>
      <c r="G35">
        <v>76232</v>
      </c>
      <c r="H35">
        <v>482803</v>
      </c>
      <c r="I35">
        <v>685.31</v>
      </c>
      <c r="J35">
        <v>471</v>
      </c>
      <c r="K35">
        <v>0</v>
      </c>
      <c r="L35">
        <v>14.46</v>
      </c>
      <c r="M35">
        <v>16138</v>
      </c>
    </row>
    <row r="36" spans="1:13" x14ac:dyDescent="0.3">
      <c r="A36">
        <v>2024</v>
      </c>
      <c r="B36" t="s">
        <v>25</v>
      </c>
      <c r="C36" t="s">
        <v>30</v>
      </c>
      <c r="D36" t="s">
        <v>21</v>
      </c>
      <c r="E36" t="s">
        <v>16</v>
      </c>
      <c r="F36">
        <v>872213</v>
      </c>
      <c r="G36">
        <v>76752</v>
      </c>
      <c r="H36">
        <v>795461</v>
      </c>
      <c r="I36">
        <v>575.16999999999996</v>
      </c>
      <c r="J36">
        <v>684</v>
      </c>
      <c r="K36">
        <v>0</v>
      </c>
      <c r="L36">
        <v>19.27</v>
      </c>
      <c r="M36">
        <v>14664</v>
      </c>
    </row>
    <row r="37" spans="1:13" x14ac:dyDescent="0.3">
      <c r="A37">
        <v>2021</v>
      </c>
      <c r="B37" t="s">
        <v>22</v>
      </c>
      <c r="C37" t="s">
        <v>18</v>
      </c>
      <c r="D37" t="s">
        <v>31</v>
      </c>
      <c r="E37" t="s">
        <v>16</v>
      </c>
      <c r="F37">
        <v>1082207</v>
      </c>
      <c r="G37">
        <v>178826</v>
      </c>
      <c r="H37">
        <v>903381</v>
      </c>
      <c r="I37">
        <v>835.08</v>
      </c>
      <c r="J37">
        <v>521</v>
      </c>
      <c r="K37">
        <v>2</v>
      </c>
      <c r="L37">
        <v>11.98</v>
      </c>
      <c r="M37">
        <v>16045</v>
      </c>
    </row>
    <row r="38" spans="1:13" x14ac:dyDescent="0.3">
      <c r="A38">
        <v>2022</v>
      </c>
      <c r="B38" t="s">
        <v>17</v>
      </c>
      <c r="C38" t="s">
        <v>14</v>
      </c>
      <c r="D38" t="s">
        <v>15</v>
      </c>
      <c r="E38" t="s">
        <v>16</v>
      </c>
      <c r="F38">
        <v>670385</v>
      </c>
      <c r="G38">
        <v>102846</v>
      </c>
      <c r="H38">
        <v>567539</v>
      </c>
      <c r="I38">
        <v>696.76</v>
      </c>
      <c r="J38">
        <v>619</v>
      </c>
      <c r="K38">
        <v>1</v>
      </c>
      <c r="L38">
        <v>10.6</v>
      </c>
      <c r="M38">
        <v>15113</v>
      </c>
    </row>
    <row r="39" spans="1:13" x14ac:dyDescent="0.3">
      <c r="A39">
        <v>2020</v>
      </c>
      <c r="B39" t="s">
        <v>25</v>
      </c>
      <c r="C39" t="s">
        <v>26</v>
      </c>
      <c r="D39" t="s">
        <v>24</v>
      </c>
      <c r="E39" t="s">
        <v>20</v>
      </c>
      <c r="F39">
        <v>1022122</v>
      </c>
      <c r="G39">
        <v>57202</v>
      </c>
      <c r="H39">
        <v>964920</v>
      </c>
      <c r="I39">
        <v>795.58</v>
      </c>
      <c r="J39">
        <v>619</v>
      </c>
      <c r="K39">
        <v>3</v>
      </c>
      <c r="L39">
        <v>11.76</v>
      </c>
      <c r="M39">
        <v>13222</v>
      </c>
    </row>
    <row r="40" spans="1:13" x14ac:dyDescent="0.3">
      <c r="A40">
        <v>2022</v>
      </c>
      <c r="B40" t="s">
        <v>28</v>
      </c>
      <c r="C40" t="s">
        <v>30</v>
      </c>
      <c r="D40" t="s">
        <v>32</v>
      </c>
      <c r="E40" t="s">
        <v>16</v>
      </c>
      <c r="F40">
        <v>806633</v>
      </c>
      <c r="G40">
        <v>83024</v>
      </c>
      <c r="H40">
        <v>723609</v>
      </c>
      <c r="I40">
        <v>652.45000000000005</v>
      </c>
      <c r="J40">
        <v>540</v>
      </c>
      <c r="K40">
        <v>0</v>
      </c>
      <c r="L40">
        <v>18</v>
      </c>
      <c r="M40">
        <v>13895</v>
      </c>
    </row>
    <row r="41" spans="1:13" x14ac:dyDescent="0.3">
      <c r="A41">
        <v>2021</v>
      </c>
      <c r="B41" t="s">
        <v>28</v>
      </c>
      <c r="C41" t="s">
        <v>14</v>
      </c>
      <c r="D41" t="s">
        <v>15</v>
      </c>
      <c r="E41" t="s">
        <v>20</v>
      </c>
      <c r="F41">
        <v>887855</v>
      </c>
      <c r="G41">
        <v>65864</v>
      </c>
      <c r="H41">
        <v>821991</v>
      </c>
      <c r="I41">
        <v>706.39</v>
      </c>
      <c r="J41">
        <v>439</v>
      </c>
      <c r="K41">
        <v>0</v>
      </c>
      <c r="L41">
        <v>11.4</v>
      </c>
      <c r="M41">
        <v>11845</v>
      </c>
    </row>
    <row r="42" spans="1:13" x14ac:dyDescent="0.3">
      <c r="A42">
        <v>2020</v>
      </c>
      <c r="B42" t="s">
        <v>25</v>
      </c>
      <c r="C42" t="s">
        <v>18</v>
      </c>
      <c r="D42" t="s">
        <v>34</v>
      </c>
      <c r="E42" t="s">
        <v>16</v>
      </c>
      <c r="F42">
        <v>605346</v>
      </c>
      <c r="G42">
        <v>66606</v>
      </c>
      <c r="H42">
        <v>538740</v>
      </c>
      <c r="I42">
        <v>702.81</v>
      </c>
      <c r="J42">
        <v>403</v>
      </c>
      <c r="K42">
        <v>1</v>
      </c>
      <c r="L42">
        <v>12.84</v>
      </c>
      <c r="M42">
        <v>10125</v>
      </c>
    </row>
    <row r="43" spans="1:13" x14ac:dyDescent="0.3">
      <c r="A43">
        <v>2024</v>
      </c>
      <c r="B43" t="s">
        <v>13</v>
      </c>
      <c r="C43" t="s">
        <v>18</v>
      </c>
      <c r="D43" t="s">
        <v>19</v>
      </c>
      <c r="E43" t="s">
        <v>16</v>
      </c>
      <c r="F43">
        <v>1073886</v>
      </c>
      <c r="G43">
        <v>197642</v>
      </c>
      <c r="H43">
        <v>876244</v>
      </c>
      <c r="I43">
        <v>701.82</v>
      </c>
      <c r="J43">
        <v>490</v>
      </c>
      <c r="K43">
        <v>1</v>
      </c>
      <c r="L43">
        <v>5.13</v>
      </c>
      <c r="M43">
        <v>15918</v>
      </c>
    </row>
    <row r="44" spans="1:13" x14ac:dyDescent="0.3">
      <c r="A44">
        <v>2022</v>
      </c>
      <c r="B44" t="s">
        <v>25</v>
      </c>
      <c r="C44" t="s">
        <v>18</v>
      </c>
      <c r="D44" t="s">
        <v>32</v>
      </c>
      <c r="E44" t="s">
        <v>20</v>
      </c>
      <c r="F44">
        <v>915732</v>
      </c>
      <c r="G44">
        <v>65224</v>
      </c>
      <c r="H44">
        <v>850508</v>
      </c>
      <c r="I44">
        <v>757.75</v>
      </c>
      <c r="J44">
        <v>661</v>
      </c>
      <c r="K44">
        <v>0</v>
      </c>
      <c r="L44">
        <v>9.7899999999999991</v>
      </c>
      <c r="M44">
        <v>10411</v>
      </c>
    </row>
    <row r="45" spans="1:13" x14ac:dyDescent="0.3">
      <c r="A45">
        <v>2020</v>
      </c>
      <c r="B45" t="s">
        <v>17</v>
      </c>
      <c r="C45" t="s">
        <v>18</v>
      </c>
      <c r="D45" t="s">
        <v>29</v>
      </c>
      <c r="E45" t="s">
        <v>20</v>
      </c>
      <c r="F45">
        <v>856617</v>
      </c>
      <c r="G45">
        <v>156322</v>
      </c>
      <c r="H45">
        <v>700295</v>
      </c>
      <c r="I45">
        <v>794.03</v>
      </c>
      <c r="J45">
        <v>651</v>
      </c>
      <c r="K45">
        <v>0</v>
      </c>
      <c r="L45">
        <v>18.71</v>
      </c>
      <c r="M45">
        <v>10313</v>
      </c>
    </row>
    <row r="46" spans="1:13" x14ac:dyDescent="0.3">
      <c r="A46">
        <v>2022</v>
      </c>
      <c r="B46" t="s">
        <v>25</v>
      </c>
      <c r="C46" t="s">
        <v>18</v>
      </c>
      <c r="D46" t="s">
        <v>31</v>
      </c>
      <c r="E46" t="s">
        <v>20</v>
      </c>
      <c r="F46">
        <v>646080</v>
      </c>
      <c r="G46">
        <v>108072</v>
      </c>
      <c r="H46">
        <v>538008</v>
      </c>
      <c r="I46">
        <v>483.03</v>
      </c>
      <c r="J46">
        <v>565</v>
      </c>
      <c r="K46">
        <v>2</v>
      </c>
      <c r="L46">
        <v>14.02</v>
      </c>
      <c r="M46">
        <v>17828</v>
      </c>
    </row>
    <row r="47" spans="1:13" x14ac:dyDescent="0.3">
      <c r="A47">
        <v>2021</v>
      </c>
      <c r="B47" t="s">
        <v>28</v>
      </c>
      <c r="C47" t="s">
        <v>23</v>
      </c>
      <c r="D47" t="s">
        <v>34</v>
      </c>
      <c r="E47" t="s">
        <v>20</v>
      </c>
      <c r="F47">
        <v>1126880</v>
      </c>
      <c r="G47">
        <v>190076</v>
      </c>
      <c r="H47">
        <v>936804</v>
      </c>
      <c r="I47">
        <v>878.62</v>
      </c>
      <c r="J47">
        <v>680</v>
      </c>
      <c r="K47">
        <v>0</v>
      </c>
      <c r="L47">
        <v>16.809999999999999</v>
      </c>
      <c r="M47">
        <v>13025</v>
      </c>
    </row>
    <row r="48" spans="1:13" x14ac:dyDescent="0.3">
      <c r="A48">
        <v>2023</v>
      </c>
      <c r="B48" t="s">
        <v>13</v>
      </c>
      <c r="C48" t="s">
        <v>27</v>
      </c>
      <c r="D48" t="s">
        <v>33</v>
      </c>
      <c r="E48" t="s">
        <v>16</v>
      </c>
      <c r="F48">
        <v>813575</v>
      </c>
      <c r="G48">
        <v>123072</v>
      </c>
      <c r="H48">
        <v>690503</v>
      </c>
      <c r="I48">
        <v>551.33000000000004</v>
      </c>
      <c r="J48">
        <v>406</v>
      </c>
      <c r="K48">
        <v>0</v>
      </c>
      <c r="L48">
        <v>18.14</v>
      </c>
      <c r="M48">
        <v>13927</v>
      </c>
    </row>
    <row r="49" spans="1:13" x14ac:dyDescent="0.3">
      <c r="A49">
        <v>2021</v>
      </c>
      <c r="B49" t="s">
        <v>13</v>
      </c>
      <c r="C49" t="s">
        <v>26</v>
      </c>
      <c r="D49" t="s">
        <v>15</v>
      </c>
      <c r="E49" t="s">
        <v>20</v>
      </c>
      <c r="F49">
        <v>757247</v>
      </c>
      <c r="G49">
        <v>91199</v>
      </c>
      <c r="H49">
        <v>666048</v>
      </c>
      <c r="I49">
        <v>586.44000000000005</v>
      </c>
      <c r="J49">
        <v>567</v>
      </c>
      <c r="K49">
        <v>3</v>
      </c>
      <c r="L49">
        <v>6.49</v>
      </c>
      <c r="M49">
        <v>13340</v>
      </c>
    </row>
    <row r="50" spans="1:13" x14ac:dyDescent="0.3">
      <c r="A50">
        <v>2021</v>
      </c>
      <c r="B50" t="s">
        <v>25</v>
      </c>
      <c r="C50" t="s">
        <v>14</v>
      </c>
      <c r="D50" t="s">
        <v>35</v>
      </c>
      <c r="E50" t="s">
        <v>16</v>
      </c>
      <c r="F50">
        <v>1074077</v>
      </c>
      <c r="G50">
        <v>98385</v>
      </c>
      <c r="H50">
        <v>975692</v>
      </c>
      <c r="I50">
        <v>632.95000000000005</v>
      </c>
      <c r="J50">
        <v>489</v>
      </c>
      <c r="K50">
        <v>3</v>
      </c>
      <c r="L50">
        <v>17.21</v>
      </c>
      <c r="M50">
        <v>15139</v>
      </c>
    </row>
    <row r="51" spans="1:13" x14ac:dyDescent="0.3">
      <c r="A51">
        <v>2023</v>
      </c>
      <c r="B51" t="s">
        <v>25</v>
      </c>
      <c r="C51" t="s">
        <v>18</v>
      </c>
      <c r="D51" t="s">
        <v>32</v>
      </c>
      <c r="E51" t="s">
        <v>20</v>
      </c>
      <c r="F51">
        <v>650652</v>
      </c>
      <c r="G51">
        <v>64819</v>
      </c>
      <c r="H51">
        <v>585833</v>
      </c>
      <c r="I51">
        <v>498.12</v>
      </c>
      <c r="J51">
        <v>473</v>
      </c>
      <c r="K51">
        <v>3</v>
      </c>
      <c r="L51">
        <v>5.58</v>
      </c>
      <c r="M51">
        <v>13495</v>
      </c>
    </row>
    <row r="52" spans="1:13" x14ac:dyDescent="0.3">
      <c r="A52">
        <v>2024</v>
      </c>
      <c r="B52" t="s">
        <v>25</v>
      </c>
      <c r="C52" t="s">
        <v>26</v>
      </c>
      <c r="D52" t="s">
        <v>21</v>
      </c>
      <c r="E52" t="s">
        <v>16</v>
      </c>
      <c r="F52">
        <v>624952</v>
      </c>
      <c r="G52">
        <v>106674</v>
      </c>
      <c r="H52">
        <v>518278</v>
      </c>
      <c r="I52">
        <v>585.27</v>
      </c>
      <c r="J52">
        <v>545</v>
      </c>
      <c r="K52">
        <v>2</v>
      </c>
      <c r="L52">
        <v>10.6</v>
      </c>
      <c r="M52">
        <v>14942</v>
      </c>
    </row>
    <row r="53" spans="1:13" x14ac:dyDescent="0.3">
      <c r="A53">
        <v>2024</v>
      </c>
      <c r="B53" t="s">
        <v>17</v>
      </c>
      <c r="C53" t="s">
        <v>27</v>
      </c>
      <c r="D53" t="s">
        <v>35</v>
      </c>
      <c r="E53" t="s">
        <v>20</v>
      </c>
      <c r="F53">
        <v>797228</v>
      </c>
      <c r="G53">
        <v>78707</v>
      </c>
      <c r="H53">
        <v>718521</v>
      </c>
      <c r="I53">
        <v>701.85</v>
      </c>
      <c r="J53">
        <v>700</v>
      </c>
      <c r="K53">
        <v>2</v>
      </c>
      <c r="L53">
        <v>18.059999999999999</v>
      </c>
      <c r="M53">
        <v>11302</v>
      </c>
    </row>
    <row r="54" spans="1:13" x14ac:dyDescent="0.3">
      <c r="A54">
        <v>2024</v>
      </c>
      <c r="B54" t="s">
        <v>22</v>
      </c>
      <c r="C54" t="s">
        <v>18</v>
      </c>
      <c r="D54" t="s">
        <v>31</v>
      </c>
      <c r="E54" t="s">
        <v>16</v>
      </c>
      <c r="F54">
        <v>696201</v>
      </c>
      <c r="G54">
        <v>131279</v>
      </c>
      <c r="H54">
        <v>564922</v>
      </c>
      <c r="I54">
        <v>628.66999999999996</v>
      </c>
      <c r="J54">
        <v>664</v>
      </c>
      <c r="K54">
        <v>3</v>
      </c>
      <c r="L54">
        <v>16.07</v>
      </c>
      <c r="M54">
        <v>14076</v>
      </c>
    </row>
    <row r="55" spans="1:13" x14ac:dyDescent="0.3">
      <c r="A55">
        <v>2021</v>
      </c>
      <c r="B55" t="s">
        <v>17</v>
      </c>
      <c r="C55" t="s">
        <v>27</v>
      </c>
      <c r="D55" t="s">
        <v>19</v>
      </c>
      <c r="E55" t="s">
        <v>16</v>
      </c>
      <c r="F55">
        <v>815954</v>
      </c>
      <c r="G55">
        <v>156822</v>
      </c>
      <c r="H55">
        <v>659132</v>
      </c>
      <c r="I55">
        <v>594.79999999999995</v>
      </c>
      <c r="J55">
        <v>506</v>
      </c>
      <c r="K55">
        <v>2</v>
      </c>
      <c r="L55">
        <v>19.45</v>
      </c>
      <c r="M55">
        <v>15577</v>
      </c>
    </row>
    <row r="56" spans="1:13" x14ac:dyDescent="0.3">
      <c r="A56">
        <v>2022</v>
      </c>
      <c r="B56" t="s">
        <v>28</v>
      </c>
      <c r="C56" t="s">
        <v>30</v>
      </c>
      <c r="D56" t="s">
        <v>21</v>
      </c>
      <c r="E56" t="s">
        <v>16</v>
      </c>
      <c r="F56">
        <v>693158</v>
      </c>
      <c r="G56">
        <v>119687</v>
      </c>
      <c r="H56">
        <v>573471</v>
      </c>
      <c r="I56">
        <v>532.16999999999996</v>
      </c>
      <c r="J56">
        <v>623</v>
      </c>
      <c r="K56">
        <v>3</v>
      </c>
      <c r="L56">
        <v>9.92</v>
      </c>
      <c r="M56">
        <v>15549</v>
      </c>
    </row>
    <row r="57" spans="1:13" x14ac:dyDescent="0.3">
      <c r="A57">
        <v>2020</v>
      </c>
      <c r="B57" t="s">
        <v>17</v>
      </c>
      <c r="C57" t="s">
        <v>18</v>
      </c>
      <c r="D57" t="s">
        <v>24</v>
      </c>
      <c r="E57" t="s">
        <v>16</v>
      </c>
      <c r="F57">
        <v>1084380</v>
      </c>
      <c r="G57">
        <v>115300</v>
      </c>
      <c r="H57">
        <v>969080</v>
      </c>
      <c r="I57">
        <v>670.48</v>
      </c>
      <c r="J57">
        <v>434</v>
      </c>
      <c r="K57">
        <v>3</v>
      </c>
      <c r="L57">
        <v>8.64</v>
      </c>
      <c r="M57">
        <v>15375</v>
      </c>
    </row>
    <row r="58" spans="1:13" x14ac:dyDescent="0.3">
      <c r="A58">
        <v>2023</v>
      </c>
      <c r="B58" t="s">
        <v>17</v>
      </c>
      <c r="C58" t="s">
        <v>26</v>
      </c>
      <c r="D58" t="s">
        <v>31</v>
      </c>
      <c r="E58" t="s">
        <v>16</v>
      </c>
      <c r="F58">
        <v>889804</v>
      </c>
      <c r="G58">
        <v>61066</v>
      </c>
      <c r="H58">
        <v>828738</v>
      </c>
      <c r="I58">
        <v>704.39</v>
      </c>
      <c r="J58">
        <v>430</v>
      </c>
      <c r="K58">
        <v>2</v>
      </c>
      <c r="L58">
        <v>12.72</v>
      </c>
      <c r="M58">
        <v>13439</v>
      </c>
    </row>
    <row r="59" spans="1:13" x14ac:dyDescent="0.3">
      <c r="A59">
        <v>2021</v>
      </c>
      <c r="B59" t="s">
        <v>25</v>
      </c>
      <c r="C59" t="s">
        <v>14</v>
      </c>
      <c r="D59" t="s">
        <v>29</v>
      </c>
      <c r="E59" t="s">
        <v>16</v>
      </c>
      <c r="F59">
        <v>683731</v>
      </c>
      <c r="G59">
        <v>132924</v>
      </c>
      <c r="H59">
        <v>550807</v>
      </c>
      <c r="I59">
        <v>647.79999999999995</v>
      </c>
      <c r="J59">
        <v>432</v>
      </c>
      <c r="K59">
        <v>0</v>
      </c>
      <c r="L59">
        <v>15.89</v>
      </c>
      <c r="M59">
        <v>14804</v>
      </c>
    </row>
    <row r="60" spans="1:13" x14ac:dyDescent="0.3">
      <c r="A60">
        <v>2022</v>
      </c>
      <c r="B60" t="s">
        <v>13</v>
      </c>
      <c r="C60" t="s">
        <v>26</v>
      </c>
      <c r="D60" t="s">
        <v>35</v>
      </c>
      <c r="E60" t="s">
        <v>16</v>
      </c>
      <c r="F60">
        <v>982477</v>
      </c>
      <c r="G60">
        <v>122394</v>
      </c>
      <c r="H60">
        <v>860083</v>
      </c>
      <c r="I60">
        <v>745.88</v>
      </c>
      <c r="J60">
        <v>437</v>
      </c>
      <c r="K60">
        <v>2</v>
      </c>
      <c r="L60">
        <v>17.68</v>
      </c>
      <c r="M60">
        <v>13943</v>
      </c>
    </row>
    <row r="61" spans="1:13" x14ac:dyDescent="0.3">
      <c r="A61">
        <v>2021</v>
      </c>
      <c r="B61" t="s">
        <v>28</v>
      </c>
      <c r="C61" t="s">
        <v>23</v>
      </c>
      <c r="D61" t="s">
        <v>21</v>
      </c>
      <c r="E61" t="s">
        <v>20</v>
      </c>
      <c r="F61">
        <v>726809</v>
      </c>
      <c r="G61">
        <v>132567</v>
      </c>
      <c r="H61">
        <v>594242</v>
      </c>
      <c r="I61">
        <v>606.11</v>
      </c>
      <c r="J61">
        <v>629</v>
      </c>
      <c r="K61">
        <v>1</v>
      </c>
      <c r="L61">
        <v>11.51</v>
      </c>
      <c r="M61">
        <v>14802</v>
      </c>
    </row>
    <row r="62" spans="1:13" x14ac:dyDescent="0.3">
      <c r="A62">
        <v>2023</v>
      </c>
      <c r="B62" t="s">
        <v>22</v>
      </c>
      <c r="C62" t="s">
        <v>14</v>
      </c>
      <c r="D62" t="s">
        <v>19</v>
      </c>
      <c r="E62" t="s">
        <v>20</v>
      </c>
      <c r="F62">
        <v>581462</v>
      </c>
      <c r="G62">
        <v>84947</v>
      </c>
      <c r="H62">
        <v>496515</v>
      </c>
      <c r="I62">
        <v>655.58</v>
      </c>
      <c r="J62">
        <v>551</v>
      </c>
      <c r="K62">
        <v>0</v>
      </c>
      <c r="L62">
        <v>7.32</v>
      </c>
      <c r="M62">
        <v>14043</v>
      </c>
    </row>
    <row r="63" spans="1:13" x14ac:dyDescent="0.3">
      <c r="A63">
        <v>2023</v>
      </c>
      <c r="B63" t="s">
        <v>28</v>
      </c>
      <c r="C63" t="s">
        <v>18</v>
      </c>
      <c r="D63" t="s">
        <v>15</v>
      </c>
      <c r="E63" t="s">
        <v>20</v>
      </c>
      <c r="F63">
        <v>738030</v>
      </c>
      <c r="G63">
        <v>92540</v>
      </c>
      <c r="H63">
        <v>645490</v>
      </c>
      <c r="I63">
        <v>674.13</v>
      </c>
      <c r="J63">
        <v>546</v>
      </c>
      <c r="K63">
        <v>0</v>
      </c>
      <c r="L63">
        <v>11.6</v>
      </c>
      <c r="M63">
        <v>13364</v>
      </c>
    </row>
    <row r="64" spans="1:13" x14ac:dyDescent="0.3">
      <c r="A64">
        <v>2021</v>
      </c>
      <c r="B64" t="s">
        <v>25</v>
      </c>
      <c r="C64" t="s">
        <v>18</v>
      </c>
      <c r="D64" t="s">
        <v>31</v>
      </c>
      <c r="E64" t="s">
        <v>20</v>
      </c>
      <c r="F64">
        <v>1020900</v>
      </c>
      <c r="G64">
        <v>168674</v>
      </c>
      <c r="H64">
        <v>852226</v>
      </c>
      <c r="I64">
        <v>824.05</v>
      </c>
      <c r="J64">
        <v>669</v>
      </c>
      <c r="K64">
        <v>2</v>
      </c>
      <c r="L64">
        <v>7.73</v>
      </c>
      <c r="M64">
        <v>13563</v>
      </c>
    </row>
    <row r="65" spans="1:13" x14ac:dyDescent="0.3">
      <c r="A65">
        <v>2022</v>
      </c>
      <c r="B65" t="s">
        <v>17</v>
      </c>
      <c r="C65" t="s">
        <v>26</v>
      </c>
      <c r="D65" t="s">
        <v>19</v>
      </c>
      <c r="E65" t="s">
        <v>20</v>
      </c>
      <c r="F65">
        <v>834639</v>
      </c>
      <c r="G65">
        <v>105348</v>
      </c>
      <c r="H65">
        <v>729291</v>
      </c>
      <c r="I65">
        <v>769.8</v>
      </c>
      <c r="J65">
        <v>676</v>
      </c>
      <c r="K65">
        <v>2</v>
      </c>
      <c r="L65">
        <v>11.97</v>
      </c>
      <c r="M65">
        <v>14396</v>
      </c>
    </row>
    <row r="66" spans="1:13" x14ac:dyDescent="0.3">
      <c r="A66">
        <v>2022</v>
      </c>
      <c r="B66" t="s">
        <v>22</v>
      </c>
      <c r="C66" t="s">
        <v>14</v>
      </c>
      <c r="D66" t="s">
        <v>24</v>
      </c>
      <c r="E66" t="s">
        <v>16</v>
      </c>
      <c r="F66">
        <v>1013441</v>
      </c>
      <c r="G66">
        <v>135149</v>
      </c>
      <c r="H66">
        <v>878292</v>
      </c>
      <c r="I66">
        <v>739.07</v>
      </c>
      <c r="J66">
        <v>422</v>
      </c>
      <c r="K66">
        <v>2</v>
      </c>
      <c r="L66">
        <v>5.73</v>
      </c>
      <c r="M66">
        <v>15036</v>
      </c>
    </row>
    <row r="67" spans="1:13" x14ac:dyDescent="0.3">
      <c r="A67">
        <v>2022</v>
      </c>
      <c r="B67" t="s">
        <v>13</v>
      </c>
      <c r="C67" t="s">
        <v>27</v>
      </c>
      <c r="D67" t="s">
        <v>29</v>
      </c>
      <c r="E67" t="s">
        <v>16</v>
      </c>
      <c r="F67">
        <v>1138034</v>
      </c>
      <c r="G67">
        <v>99515</v>
      </c>
      <c r="H67">
        <v>1038519</v>
      </c>
      <c r="I67">
        <v>899.82</v>
      </c>
      <c r="J67">
        <v>513</v>
      </c>
      <c r="K67">
        <v>1</v>
      </c>
      <c r="L67">
        <v>13.89</v>
      </c>
      <c r="M67">
        <v>15915</v>
      </c>
    </row>
    <row r="68" spans="1:13" x14ac:dyDescent="0.3">
      <c r="A68">
        <v>2021</v>
      </c>
      <c r="B68" t="s">
        <v>28</v>
      </c>
      <c r="C68" t="s">
        <v>18</v>
      </c>
      <c r="D68" t="s">
        <v>24</v>
      </c>
      <c r="E68" t="s">
        <v>16</v>
      </c>
      <c r="F68">
        <v>1104983</v>
      </c>
      <c r="G68">
        <v>115193</v>
      </c>
      <c r="H68">
        <v>989790</v>
      </c>
      <c r="I68">
        <v>798.03</v>
      </c>
      <c r="J68">
        <v>664</v>
      </c>
      <c r="K68">
        <v>3</v>
      </c>
      <c r="L68">
        <v>16.3</v>
      </c>
      <c r="M68">
        <v>11169</v>
      </c>
    </row>
    <row r="69" spans="1:13" x14ac:dyDescent="0.3">
      <c r="A69">
        <v>2024</v>
      </c>
      <c r="B69" t="s">
        <v>17</v>
      </c>
      <c r="C69" t="s">
        <v>23</v>
      </c>
      <c r="D69" t="s">
        <v>29</v>
      </c>
      <c r="E69" t="s">
        <v>20</v>
      </c>
      <c r="F69">
        <v>687173</v>
      </c>
      <c r="G69">
        <v>108193</v>
      </c>
      <c r="H69">
        <v>578980</v>
      </c>
      <c r="I69">
        <v>676.75</v>
      </c>
      <c r="J69">
        <v>523</v>
      </c>
      <c r="K69">
        <v>0</v>
      </c>
      <c r="L69">
        <v>13.19</v>
      </c>
      <c r="M69">
        <v>15555</v>
      </c>
    </row>
    <row r="70" spans="1:13" x14ac:dyDescent="0.3">
      <c r="A70">
        <v>2021</v>
      </c>
      <c r="B70" t="s">
        <v>17</v>
      </c>
      <c r="C70" t="s">
        <v>26</v>
      </c>
      <c r="D70" t="s">
        <v>15</v>
      </c>
      <c r="E70" t="s">
        <v>20</v>
      </c>
      <c r="F70">
        <v>814752</v>
      </c>
      <c r="G70">
        <v>66513</v>
      </c>
      <c r="H70">
        <v>748239</v>
      </c>
      <c r="I70">
        <v>602.28</v>
      </c>
      <c r="J70">
        <v>646</v>
      </c>
      <c r="K70">
        <v>2</v>
      </c>
      <c r="L70">
        <v>8.4</v>
      </c>
      <c r="M70">
        <v>11707</v>
      </c>
    </row>
    <row r="71" spans="1:13" x14ac:dyDescent="0.3">
      <c r="A71">
        <v>2022</v>
      </c>
      <c r="B71" t="s">
        <v>25</v>
      </c>
      <c r="C71" t="s">
        <v>26</v>
      </c>
      <c r="D71" t="s">
        <v>34</v>
      </c>
      <c r="E71" t="s">
        <v>16</v>
      </c>
      <c r="F71">
        <v>867041</v>
      </c>
      <c r="G71">
        <v>118421</v>
      </c>
      <c r="H71">
        <v>748620</v>
      </c>
      <c r="I71">
        <v>711.62</v>
      </c>
      <c r="J71">
        <v>517</v>
      </c>
      <c r="K71">
        <v>2</v>
      </c>
      <c r="L71">
        <v>6.5</v>
      </c>
      <c r="M71">
        <v>12382</v>
      </c>
    </row>
    <row r="72" spans="1:13" x14ac:dyDescent="0.3">
      <c r="A72">
        <v>2020</v>
      </c>
      <c r="B72" t="s">
        <v>25</v>
      </c>
      <c r="C72" t="s">
        <v>27</v>
      </c>
      <c r="D72" t="s">
        <v>21</v>
      </c>
      <c r="E72" t="s">
        <v>20</v>
      </c>
      <c r="F72">
        <v>628246</v>
      </c>
      <c r="G72">
        <v>82167</v>
      </c>
      <c r="H72">
        <v>546079</v>
      </c>
      <c r="I72">
        <v>686.83</v>
      </c>
      <c r="J72">
        <v>435</v>
      </c>
      <c r="K72">
        <v>1</v>
      </c>
      <c r="L72">
        <v>12.97</v>
      </c>
      <c r="M72">
        <v>11843</v>
      </c>
    </row>
    <row r="73" spans="1:13" x14ac:dyDescent="0.3">
      <c r="A73">
        <v>2023</v>
      </c>
      <c r="B73" t="s">
        <v>25</v>
      </c>
      <c r="C73" t="s">
        <v>30</v>
      </c>
      <c r="D73" t="s">
        <v>29</v>
      </c>
      <c r="E73" t="s">
        <v>16</v>
      </c>
      <c r="F73">
        <v>689983</v>
      </c>
      <c r="G73">
        <v>100539</v>
      </c>
      <c r="H73">
        <v>589444</v>
      </c>
      <c r="I73">
        <v>640.9</v>
      </c>
      <c r="J73">
        <v>618</v>
      </c>
      <c r="K73">
        <v>1</v>
      </c>
      <c r="L73">
        <v>9.3000000000000007</v>
      </c>
      <c r="M73">
        <v>10510</v>
      </c>
    </row>
    <row r="74" spans="1:13" x14ac:dyDescent="0.3">
      <c r="A74">
        <v>2020</v>
      </c>
      <c r="B74" t="s">
        <v>22</v>
      </c>
      <c r="C74" t="s">
        <v>30</v>
      </c>
      <c r="D74" t="s">
        <v>21</v>
      </c>
      <c r="E74" t="s">
        <v>20</v>
      </c>
      <c r="F74">
        <v>629990</v>
      </c>
      <c r="G74">
        <v>58506</v>
      </c>
      <c r="H74">
        <v>571484</v>
      </c>
      <c r="I74">
        <v>480.34</v>
      </c>
      <c r="J74">
        <v>468</v>
      </c>
      <c r="K74">
        <v>0</v>
      </c>
      <c r="L74">
        <v>13.37</v>
      </c>
      <c r="M74">
        <v>10842</v>
      </c>
    </row>
    <row r="75" spans="1:13" x14ac:dyDescent="0.3">
      <c r="A75">
        <v>2024</v>
      </c>
      <c r="B75" t="s">
        <v>17</v>
      </c>
      <c r="C75" t="s">
        <v>30</v>
      </c>
      <c r="D75" t="s">
        <v>15</v>
      </c>
      <c r="E75" t="s">
        <v>16</v>
      </c>
      <c r="F75">
        <v>834406</v>
      </c>
      <c r="G75">
        <v>53347</v>
      </c>
      <c r="H75">
        <v>781059</v>
      </c>
      <c r="I75">
        <v>663.11</v>
      </c>
      <c r="J75">
        <v>434</v>
      </c>
      <c r="K75">
        <v>3</v>
      </c>
      <c r="L75">
        <v>8.91</v>
      </c>
      <c r="M75">
        <v>12470</v>
      </c>
    </row>
    <row r="76" spans="1:13" x14ac:dyDescent="0.3">
      <c r="A76">
        <v>2021</v>
      </c>
      <c r="B76" t="s">
        <v>22</v>
      </c>
      <c r="C76" t="s">
        <v>27</v>
      </c>
      <c r="D76" t="s">
        <v>31</v>
      </c>
      <c r="E76" t="s">
        <v>16</v>
      </c>
      <c r="F76">
        <v>1139465</v>
      </c>
      <c r="G76">
        <v>67220</v>
      </c>
      <c r="H76">
        <v>1072245</v>
      </c>
      <c r="I76">
        <v>864.08</v>
      </c>
      <c r="J76">
        <v>631</v>
      </c>
      <c r="K76">
        <v>1</v>
      </c>
      <c r="L76">
        <v>17.88</v>
      </c>
      <c r="M76">
        <v>14925</v>
      </c>
    </row>
    <row r="77" spans="1:13" x14ac:dyDescent="0.3">
      <c r="A77">
        <v>2024</v>
      </c>
      <c r="B77" t="s">
        <v>25</v>
      </c>
      <c r="C77" t="s">
        <v>23</v>
      </c>
      <c r="D77" t="s">
        <v>32</v>
      </c>
      <c r="E77" t="s">
        <v>20</v>
      </c>
      <c r="F77">
        <v>976857</v>
      </c>
      <c r="G77">
        <v>80720</v>
      </c>
      <c r="H77">
        <v>896137</v>
      </c>
      <c r="I77">
        <v>623.66999999999996</v>
      </c>
      <c r="J77">
        <v>514</v>
      </c>
      <c r="K77">
        <v>0</v>
      </c>
      <c r="L77">
        <v>16</v>
      </c>
      <c r="M77">
        <v>12093</v>
      </c>
    </row>
    <row r="78" spans="1:13" x14ac:dyDescent="0.3">
      <c r="A78">
        <v>2021</v>
      </c>
      <c r="B78" t="s">
        <v>17</v>
      </c>
      <c r="C78" t="s">
        <v>18</v>
      </c>
      <c r="D78" t="s">
        <v>19</v>
      </c>
      <c r="E78" t="s">
        <v>16</v>
      </c>
      <c r="F78">
        <v>515185</v>
      </c>
      <c r="G78">
        <v>86487</v>
      </c>
      <c r="H78">
        <v>428698</v>
      </c>
      <c r="I78">
        <v>516.9</v>
      </c>
      <c r="J78">
        <v>563</v>
      </c>
      <c r="K78">
        <v>2</v>
      </c>
      <c r="L78">
        <v>8.3699999999999992</v>
      </c>
      <c r="M78">
        <v>12223</v>
      </c>
    </row>
    <row r="79" spans="1:13" x14ac:dyDescent="0.3">
      <c r="A79">
        <v>2021</v>
      </c>
      <c r="B79" t="s">
        <v>17</v>
      </c>
      <c r="C79" t="s">
        <v>30</v>
      </c>
      <c r="D79" t="s">
        <v>34</v>
      </c>
      <c r="E79" t="s">
        <v>16</v>
      </c>
      <c r="F79">
        <v>1163083</v>
      </c>
      <c r="G79">
        <v>223687</v>
      </c>
      <c r="H79">
        <v>939396</v>
      </c>
      <c r="I79">
        <v>735.68</v>
      </c>
      <c r="J79">
        <v>690</v>
      </c>
      <c r="K79">
        <v>3</v>
      </c>
      <c r="L79">
        <v>12.81</v>
      </c>
      <c r="M79">
        <v>17059</v>
      </c>
    </row>
    <row r="80" spans="1:13" x14ac:dyDescent="0.3">
      <c r="A80">
        <v>2021</v>
      </c>
      <c r="B80" t="s">
        <v>17</v>
      </c>
      <c r="C80" t="s">
        <v>30</v>
      </c>
      <c r="D80" t="s">
        <v>35</v>
      </c>
      <c r="E80" t="s">
        <v>20</v>
      </c>
      <c r="F80">
        <v>915109</v>
      </c>
      <c r="G80">
        <v>98445</v>
      </c>
      <c r="H80">
        <v>816664</v>
      </c>
      <c r="I80">
        <v>713.75</v>
      </c>
      <c r="J80">
        <v>488</v>
      </c>
      <c r="K80">
        <v>2</v>
      </c>
      <c r="L80">
        <v>15.03</v>
      </c>
      <c r="M80">
        <v>12151</v>
      </c>
    </row>
    <row r="81" spans="1:13" x14ac:dyDescent="0.3">
      <c r="A81">
        <v>2022</v>
      </c>
      <c r="B81" t="s">
        <v>17</v>
      </c>
      <c r="C81" t="s">
        <v>30</v>
      </c>
      <c r="D81" t="s">
        <v>24</v>
      </c>
      <c r="E81" t="s">
        <v>20</v>
      </c>
      <c r="F81">
        <v>911385</v>
      </c>
      <c r="G81">
        <v>170786</v>
      </c>
      <c r="H81">
        <v>740599</v>
      </c>
      <c r="I81">
        <v>576.27</v>
      </c>
      <c r="J81">
        <v>689</v>
      </c>
      <c r="K81">
        <v>0</v>
      </c>
      <c r="L81">
        <v>16.22</v>
      </c>
      <c r="M81">
        <v>15957</v>
      </c>
    </row>
    <row r="82" spans="1:13" x14ac:dyDescent="0.3">
      <c r="A82">
        <v>2024</v>
      </c>
      <c r="B82" t="s">
        <v>28</v>
      </c>
      <c r="C82" t="s">
        <v>23</v>
      </c>
      <c r="D82" t="s">
        <v>15</v>
      </c>
      <c r="E82" t="s">
        <v>16</v>
      </c>
      <c r="F82">
        <v>831284</v>
      </c>
      <c r="G82">
        <v>58002</v>
      </c>
      <c r="H82">
        <v>773282</v>
      </c>
      <c r="I82">
        <v>537.59</v>
      </c>
      <c r="J82">
        <v>628</v>
      </c>
      <c r="K82">
        <v>2</v>
      </c>
      <c r="L82">
        <v>10.77</v>
      </c>
      <c r="M82">
        <v>15158</v>
      </c>
    </row>
    <row r="83" spans="1:13" x14ac:dyDescent="0.3">
      <c r="A83">
        <v>2023</v>
      </c>
      <c r="B83" t="s">
        <v>17</v>
      </c>
      <c r="C83" t="s">
        <v>30</v>
      </c>
      <c r="D83" t="s">
        <v>21</v>
      </c>
      <c r="E83" t="s">
        <v>20</v>
      </c>
      <c r="F83">
        <v>560227</v>
      </c>
      <c r="G83">
        <v>93867</v>
      </c>
      <c r="H83">
        <v>466360</v>
      </c>
      <c r="I83">
        <v>639.71</v>
      </c>
      <c r="J83">
        <v>616</v>
      </c>
      <c r="K83">
        <v>3</v>
      </c>
      <c r="L83">
        <v>6.73</v>
      </c>
      <c r="M83">
        <v>13203</v>
      </c>
    </row>
    <row r="84" spans="1:13" x14ac:dyDescent="0.3">
      <c r="A84">
        <v>2021</v>
      </c>
      <c r="B84" t="s">
        <v>25</v>
      </c>
      <c r="C84" t="s">
        <v>18</v>
      </c>
      <c r="D84" t="s">
        <v>15</v>
      </c>
      <c r="E84" t="s">
        <v>16</v>
      </c>
      <c r="F84">
        <v>811902</v>
      </c>
      <c r="G84">
        <v>91402</v>
      </c>
      <c r="H84">
        <v>720500</v>
      </c>
      <c r="I84">
        <v>731.4</v>
      </c>
      <c r="J84">
        <v>413</v>
      </c>
      <c r="K84">
        <v>3</v>
      </c>
      <c r="L84">
        <v>19.059999999999999</v>
      </c>
      <c r="M84">
        <v>16140</v>
      </c>
    </row>
    <row r="85" spans="1:13" x14ac:dyDescent="0.3">
      <c r="A85">
        <v>2022</v>
      </c>
      <c r="B85" t="s">
        <v>13</v>
      </c>
      <c r="C85" t="s">
        <v>18</v>
      </c>
      <c r="D85" t="s">
        <v>29</v>
      </c>
      <c r="E85" t="s">
        <v>16</v>
      </c>
      <c r="F85">
        <v>556492</v>
      </c>
      <c r="G85">
        <v>81773</v>
      </c>
      <c r="H85">
        <v>474719</v>
      </c>
      <c r="I85">
        <v>636.4</v>
      </c>
      <c r="J85">
        <v>669</v>
      </c>
      <c r="K85">
        <v>2</v>
      </c>
      <c r="L85">
        <v>19.940000000000001</v>
      </c>
      <c r="M85">
        <v>16673</v>
      </c>
    </row>
    <row r="86" spans="1:13" x14ac:dyDescent="0.3">
      <c r="A86">
        <v>2021</v>
      </c>
      <c r="B86" t="s">
        <v>17</v>
      </c>
      <c r="C86" t="s">
        <v>26</v>
      </c>
      <c r="D86" t="s">
        <v>21</v>
      </c>
      <c r="E86" t="s">
        <v>20</v>
      </c>
      <c r="F86">
        <v>514196</v>
      </c>
      <c r="G86">
        <v>58659</v>
      </c>
      <c r="H86">
        <v>455537</v>
      </c>
      <c r="I86">
        <v>449.01</v>
      </c>
      <c r="J86">
        <v>470</v>
      </c>
      <c r="K86">
        <v>3</v>
      </c>
      <c r="L86">
        <v>5.12</v>
      </c>
      <c r="M86">
        <v>12396</v>
      </c>
    </row>
    <row r="87" spans="1:13" x14ac:dyDescent="0.3">
      <c r="A87">
        <v>2024</v>
      </c>
      <c r="B87" t="s">
        <v>25</v>
      </c>
      <c r="C87" t="s">
        <v>14</v>
      </c>
      <c r="D87" t="s">
        <v>15</v>
      </c>
      <c r="E87" t="s">
        <v>20</v>
      </c>
      <c r="F87">
        <v>516924</v>
      </c>
      <c r="G87">
        <v>96125</v>
      </c>
      <c r="H87">
        <v>420799</v>
      </c>
      <c r="I87">
        <v>505.11</v>
      </c>
      <c r="J87">
        <v>525</v>
      </c>
      <c r="K87">
        <v>3</v>
      </c>
      <c r="L87">
        <v>16.809999999999999</v>
      </c>
      <c r="M87">
        <v>10873</v>
      </c>
    </row>
    <row r="88" spans="1:13" x14ac:dyDescent="0.3">
      <c r="A88">
        <v>2022</v>
      </c>
      <c r="B88" t="s">
        <v>13</v>
      </c>
      <c r="C88" t="s">
        <v>18</v>
      </c>
      <c r="D88" t="s">
        <v>21</v>
      </c>
      <c r="E88" t="s">
        <v>20</v>
      </c>
      <c r="F88">
        <v>1188465</v>
      </c>
      <c r="G88">
        <v>175611</v>
      </c>
      <c r="H88">
        <v>1012854</v>
      </c>
      <c r="I88">
        <v>719.75</v>
      </c>
      <c r="J88">
        <v>551</v>
      </c>
      <c r="K88">
        <v>0</v>
      </c>
      <c r="L88">
        <v>19.87</v>
      </c>
      <c r="M88">
        <v>15682</v>
      </c>
    </row>
    <row r="89" spans="1:13" x14ac:dyDescent="0.3">
      <c r="A89">
        <v>2024</v>
      </c>
      <c r="B89" t="s">
        <v>17</v>
      </c>
      <c r="C89" t="s">
        <v>26</v>
      </c>
      <c r="D89" t="s">
        <v>33</v>
      </c>
      <c r="E89" t="s">
        <v>16</v>
      </c>
      <c r="F89">
        <v>904803</v>
      </c>
      <c r="G89">
        <v>72290</v>
      </c>
      <c r="H89">
        <v>832513</v>
      </c>
      <c r="I89">
        <v>686.68</v>
      </c>
      <c r="J89">
        <v>661</v>
      </c>
      <c r="K89">
        <v>2</v>
      </c>
      <c r="L89">
        <v>6.44</v>
      </c>
      <c r="M89">
        <v>14925</v>
      </c>
    </row>
    <row r="90" spans="1:13" x14ac:dyDescent="0.3">
      <c r="A90">
        <v>2022</v>
      </c>
      <c r="B90" t="s">
        <v>13</v>
      </c>
      <c r="C90" t="s">
        <v>26</v>
      </c>
      <c r="D90" t="s">
        <v>15</v>
      </c>
      <c r="E90" t="s">
        <v>16</v>
      </c>
      <c r="F90">
        <v>902135</v>
      </c>
      <c r="G90">
        <v>83057</v>
      </c>
      <c r="H90">
        <v>819078</v>
      </c>
      <c r="I90">
        <v>793.45</v>
      </c>
      <c r="J90">
        <v>496</v>
      </c>
      <c r="K90">
        <v>1</v>
      </c>
      <c r="L90">
        <v>9.1300000000000008</v>
      </c>
      <c r="M90">
        <v>16543</v>
      </c>
    </row>
    <row r="91" spans="1:13" x14ac:dyDescent="0.3">
      <c r="A91">
        <v>2020</v>
      </c>
      <c r="B91" t="s">
        <v>25</v>
      </c>
      <c r="C91" t="s">
        <v>23</v>
      </c>
      <c r="D91" t="s">
        <v>35</v>
      </c>
      <c r="E91" t="s">
        <v>16</v>
      </c>
      <c r="F91">
        <v>934879</v>
      </c>
      <c r="G91">
        <v>125668</v>
      </c>
      <c r="H91">
        <v>809211</v>
      </c>
      <c r="I91">
        <v>867.68</v>
      </c>
      <c r="J91">
        <v>561</v>
      </c>
      <c r="K91">
        <v>0</v>
      </c>
      <c r="L91">
        <v>7.74</v>
      </c>
      <c r="M91">
        <v>12558</v>
      </c>
    </row>
    <row r="92" spans="1:13" x14ac:dyDescent="0.3">
      <c r="A92">
        <v>2023</v>
      </c>
      <c r="B92" t="s">
        <v>17</v>
      </c>
      <c r="C92" t="s">
        <v>26</v>
      </c>
      <c r="D92" t="s">
        <v>29</v>
      </c>
      <c r="E92" t="s">
        <v>20</v>
      </c>
      <c r="F92">
        <v>772920</v>
      </c>
      <c r="G92">
        <v>153600</v>
      </c>
      <c r="H92">
        <v>619320</v>
      </c>
      <c r="I92">
        <v>616.42999999999995</v>
      </c>
      <c r="J92">
        <v>449</v>
      </c>
      <c r="K92">
        <v>1</v>
      </c>
      <c r="L92">
        <v>12.03</v>
      </c>
      <c r="M92">
        <v>15618</v>
      </c>
    </row>
    <row r="93" spans="1:13" x14ac:dyDescent="0.3">
      <c r="A93">
        <v>2023</v>
      </c>
      <c r="B93" t="s">
        <v>28</v>
      </c>
      <c r="C93" t="s">
        <v>14</v>
      </c>
      <c r="D93" t="s">
        <v>21</v>
      </c>
      <c r="E93" t="s">
        <v>20</v>
      </c>
      <c r="F93">
        <v>665022</v>
      </c>
      <c r="G93">
        <v>64323</v>
      </c>
      <c r="H93">
        <v>600699</v>
      </c>
      <c r="I93">
        <v>744.93</v>
      </c>
      <c r="J93">
        <v>601</v>
      </c>
      <c r="K93">
        <v>1</v>
      </c>
      <c r="L93">
        <v>7.31</v>
      </c>
      <c r="M93">
        <v>12272</v>
      </c>
    </row>
    <row r="94" spans="1:13" x14ac:dyDescent="0.3">
      <c r="A94">
        <v>2020</v>
      </c>
      <c r="B94" t="s">
        <v>22</v>
      </c>
      <c r="C94" t="s">
        <v>18</v>
      </c>
      <c r="D94" t="s">
        <v>21</v>
      </c>
      <c r="E94" t="s">
        <v>20</v>
      </c>
      <c r="F94">
        <v>1133324</v>
      </c>
      <c r="G94">
        <v>140576</v>
      </c>
      <c r="H94">
        <v>992748</v>
      </c>
      <c r="I94">
        <v>723.18</v>
      </c>
      <c r="J94">
        <v>416</v>
      </c>
      <c r="K94">
        <v>3</v>
      </c>
      <c r="L94">
        <v>15.05</v>
      </c>
      <c r="M94">
        <v>13803</v>
      </c>
    </row>
    <row r="95" spans="1:13" x14ac:dyDescent="0.3">
      <c r="A95">
        <v>2020</v>
      </c>
      <c r="B95" t="s">
        <v>13</v>
      </c>
      <c r="C95" t="s">
        <v>30</v>
      </c>
      <c r="D95" t="s">
        <v>35</v>
      </c>
      <c r="E95" t="s">
        <v>20</v>
      </c>
      <c r="F95">
        <v>897141</v>
      </c>
      <c r="G95">
        <v>59860</v>
      </c>
      <c r="H95">
        <v>837281</v>
      </c>
      <c r="I95">
        <v>707.56</v>
      </c>
      <c r="J95">
        <v>680</v>
      </c>
      <c r="K95">
        <v>3</v>
      </c>
      <c r="L95">
        <v>11.26</v>
      </c>
      <c r="M95">
        <v>15670</v>
      </c>
    </row>
    <row r="96" spans="1:13" x14ac:dyDescent="0.3">
      <c r="A96">
        <v>2020</v>
      </c>
      <c r="B96" t="s">
        <v>28</v>
      </c>
      <c r="C96" t="s">
        <v>27</v>
      </c>
      <c r="D96" t="s">
        <v>19</v>
      </c>
      <c r="E96" t="s">
        <v>16</v>
      </c>
      <c r="F96">
        <v>645393</v>
      </c>
      <c r="G96">
        <v>57029</v>
      </c>
      <c r="H96">
        <v>588364</v>
      </c>
      <c r="I96">
        <v>508.26</v>
      </c>
      <c r="J96">
        <v>662</v>
      </c>
      <c r="K96">
        <v>1</v>
      </c>
      <c r="L96">
        <v>18.329999999999998</v>
      </c>
      <c r="M96">
        <v>17573</v>
      </c>
    </row>
    <row r="97" spans="1:13" x14ac:dyDescent="0.3">
      <c r="A97">
        <v>2021</v>
      </c>
      <c r="B97" t="s">
        <v>25</v>
      </c>
      <c r="C97" t="s">
        <v>23</v>
      </c>
      <c r="D97" t="s">
        <v>15</v>
      </c>
      <c r="E97" t="s">
        <v>20</v>
      </c>
      <c r="F97">
        <v>802786</v>
      </c>
      <c r="G97">
        <v>94082</v>
      </c>
      <c r="H97">
        <v>708704</v>
      </c>
      <c r="I97">
        <v>802.84</v>
      </c>
      <c r="J97">
        <v>566</v>
      </c>
      <c r="K97">
        <v>0</v>
      </c>
      <c r="L97">
        <v>10.52</v>
      </c>
      <c r="M97">
        <v>13646</v>
      </c>
    </row>
    <row r="98" spans="1:13" x14ac:dyDescent="0.3">
      <c r="A98">
        <v>2023</v>
      </c>
      <c r="B98" t="s">
        <v>28</v>
      </c>
      <c r="C98" t="s">
        <v>23</v>
      </c>
      <c r="D98" t="s">
        <v>24</v>
      </c>
      <c r="E98" t="s">
        <v>20</v>
      </c>
      <c r="F98">
        <v>995348</v>
      </c>
      <c r="G98">
        <v>197627</v>
      </c>
      <c r="H98">
        <v>797721</v>
      </c>
      <c r="I98">
        <v>723.68</v>
      </c>
      <c r="J98">
        <v>428</v>
      </c>
      <c r="K98">
        <v>0</v>
      </c>
      <c r="L98">
        <v>13.01</v>
      </c>
      <c r="M98">
        <v>14497</v>
      </c>
    </row>
    <row r="99" spans="1:13" x14ac:dyDescent="0.3">
      <c r="A99">
        <v>2022</v>
      </c>
      <c r="B99" t="s">
        <v>17</v>
      </c>
      <c r="C99" t="s">
        <v>26</v>
      </c>
      <c r="D99" t="s">
        <v>32</v>
      </c>
      <c r="E99" t="s">
        <v>20</v>
      </c>
      <c r="F99">
        <v>872249</v>
      </c>
      <c r="G99">
        <v>148337</v>
      </c>
      <c r="H99">
        <v>723912</v>
      </c>
      <c r="I99">
        <v>696.97</v>
      </c>
      <c r="J99">
        <v>545</v>
      </c>
      <c r="K99">
        <v>0</v>
      </c>
      <c r="L99">
        <v>18.97</v>
      </c>
      <c r="M99">
        <v>16082</v>
      </c>
    </row>
    <row r="100" spans="1:13" x14ac:dyDescent="0.3">
      <c r="A100">
        <v>2020</v>
      </c>
      <c r="B100" t="s">
        <v>13</v>
      </c>
      <c r="C100" t="s">
        <v>30</v>
      </c>
      <c r="D100" t="s">
        <v>15</v>
      </c>
      <c r="E100" t="s">
        <v>20</v>
      </c>
      <c r="F100">
        <v>1091293</v>
      </c>
      <c r="G100">
        <v>122808</v>
      </c>
      <c r="H100">
        <v>968485</v>
      </c>
      <c r="I100">
        <v>852.24</v>
      </c>
      <c r="J100">
        <v>452</v>
      </c>
      <c r="K100">
        <v>3</v>
      </c>
      <c r="L100">
        <v>9.74</v>
      </c>
      <c r="M100">
        <v>15616</v>
      </c>
    </row>
    <row r="101" spans="1:13" x14ac:dyDescent="0.3">
      <c r="A101">
        <v>2024</v>
      </c>
      <c r="B101" t="s">
        <v>17</v>
      </c>
      <c r="C101" t="s">
        <v>14</v>
      </c>
      <c r="D101" t="s">
        <v>29</v>
      </c>
      <c r="E101" t="s">
        <v>20</v>
      </c>
      <c r="F101">
        <v>1153055</v>
      </c>
      <c r="G101">
        <v>201274</v>
      </c>
      <c r="H101">
        <v>951781</v>
      </c>
      <c r="I101">
        <v>894.15</v>
      </c>
      <c r="J101">
        <v>437</v>
      </c>
      <c r="K101">
        <v>2</v>
      </c>
      <c r="L101">
        <v>12.92</v>
      </c>
      <c r="M101">
        <v>11292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F7C0-ADEF-4EBB-9A54-E2654E932C24}">
  <dimension ref="A3:C10"/>
  <sheetViews>
    <sheetView tabSelected="1" workbookViewId="0">
      <selection activeCell="B23" sqref="B23"/>
    </sheetView>
  </sheetViews>
  <sheetFormatPr defaultRowHeight="14.4" x14ac:dyDescent="0.3"/>
  <cols>
    <col min="1" max="1" width="14.5546875" bestFit="1" customWidth="1"/>
    <col min="2" max="2" width="22.88671875" bestFit="1" customWidth="1"/>
    <col min="3" max="3" width="23.6640625" bestFit="1" customWidth="1"/>
  </cols>
  <sheetData>
    <row r="3" spans="1:3" x14ac:dyDescent="0.3">
      <c r="A3" s="4" t="s">
        <v>37</v>
      </c>
      <c r="B3" t="s">
        <v>36</v>
      </c>
      <c r="C3" t="s">
        <v>39</v>
      </c>
    </row>
    <row r="4" spans="1:3" x14ac:dyDescent="0.3">
      <c r="A4" s="5" t="s">
        <v>27</v>
      </c>
      <c r="B4" s="2">
        <v>11087284</v>
      </c>
      <c r="C4" s="2">
        <v>9168.83</v>
      </c>
    </row>
    <row r="5" spans="1:3" x14ac:dyDescent="0.3">
      <c r="A5" s="5" t="s">
        <v>23</v>
      </c>
      <c r="B5" s="2">
        <v>9714089</v>
      </c>
      <c r="C5" s="2">
        <v>8007.27</v>
      </c>
    </row>
    <row r="6" spans="1:3" x14ac:dyDescent="0.3">
      <c r="A6" s="5" t="s">
        <v>26</v>
      </c>
      <c r="B6" s="2">
        <v>18708993</v>
      </c>
      <c r="C6" s="2">
        <v>14802.730000000001</v>
      </c>
    </row>
    <row r="7" spans="1:3" x14ac:dyDescent="0.3">
      <c r="A7" s="5" t="s">
        <v>18</v>
      </c>
      <c r="B7" s="2">
        <v>18579659</v>
      </c>
      <c r="C7" s="2">
        <v>14981.109999999995</v>
      </c>
    </row>
    <row r="8" spans="1:3" x14ac:dyDescent="0.3">
      <c r="A8" s="5" t="s">
        <v>14</v>
      </c>
      <c r="B8" s="2">
        <v>12906419</v>
      </c>
      <c r="C8" s="2">
        <v>10772.980000000001</v>
      </c>
    </row>
    <row r="9" spans="1:3" x14ac:dyDescent="0.3">
      <c r="A9" s="5" t="s">
        <v>30</v>
      </c>
      <c r="B9" s="2">
        <v>14978617</v>
      </c>
      <c r="C9" s="2">
        <v>11499.429999999997</v>
      </c>
    </row>
    <row r="10" spans="1:3" x14ac:dyDescent="0.3">
      <c r="A10" s="5" t="s">
        <v>38</v>
      </c>
      <c r="B10" s="2">
        <v>85975061</v>
      </c>
      <c r="C10" s="2">
        <v>69232.349999999991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F9FA-42FF-4DC4-888C-D02BBEEE8245}">
  <dimension ref="A3:F9"/>
  <sheetViews>
    <sheetView workbookViewId="0">
      <selection activeCell="E20" sqref="E20"/>
    </sheetView>
  </sheetViews>
  <sheetFormatPr defaultRowHeight="14.4" x14ac:dyDescent="0.3"/>
  <cols>
    <col min="1" max="1" width="17.77734375" bestFit="1" customWidth="1"/>
    <col min="2" max="2" width="28.109375" bestFit="1" customWidth="1"/>
    <col min="3" max="3" width="24" bestFit="1" customWidth="1"/>
    <col min="5" max="5" width="28.109375" bestFit="1" customWidth="1"/>
    <col min="6" max="6" width="24" bestFit="1" customWidth="1"/>
  </cols>
  <sheetData>
    <row r="3" spans="1:6" x14ac:dyDescent="0.3">
      <c r="A3" s="4" t="s">
        <v>37</v>
      </c>
      <c r="B3" t="s">
        <v>45</v>
      </c>
      <c r="C3" t="s">
        <v>41</v>
      </c>
      <c r="E3" s="3" t="s">
        <v>45</v>
      </c>
      <c r="F3" s="3" t="s">
        <v>41</v>
      </c>
    </row>
    <row r="4" spans="1:6" x14ac:dyDescent="0.3">
      <c r="A4" s="5" t="s">
        <v>25</v>
      </c>
      <c r="B4" s="2">
        <v>304.48</v>
      </c>
      <c r="C4" s="2">
        <v>328251</v>
      </c>
      <c r="E4" s="2">
        <v>304.48</v>
      </c>
      <c r="F4" s="2">
        <v>328251</v>
      </c>
    </row>
    <row r="5" spans="1:6" x14ac:dyDescent="0.3">
      <c r="A5" s="5" t="s">
        <v>22</v>
      </c>
      <c r="B5" s="2">
        <v>174.79999999999998</v>
      </c>
      <c r="C5" s="2">
        <v>174436</v>
      </c>
      <c r="E5" s="2">
        <v>174.79999999999998</v>
      </c>
      <c r="F5" s="2">
        <v>174436</v>
      </c>
    </row>
    <row r="6" spans="1:6" x14ac:dyDescent="0.3">
      <c r="A6" s="5" t="s">
        <v>28</v>
      </c>
      <c r="B6" s="2">
        <v>224</v>
      </c>
      <c r="C6" s="2">
        <v>235230</v>
      </c>
      <c r="E6" s="2">
        <v>224</v>
      </c>
      <c r="F6" s="2">
        <v>235230</v>
      </c>
    </row>
    <row r="7" spans="1:6" x14ac:dyDescent="0.3">
      <c r="A7" s="5" t="s">
        <v>13</v>
      </c>
      <c r="B7" s="2">
        <v>243.54000000000002</v>
      </c>
      <c r="C7" s="2">
        <v>264417</v>
      </c>
      <c r="E7" s="2">
        <v>243.54000000000002</v>
      </c>
      <c r="F7" s="2">
        <v>264417</v>
      </c>
    </row>
    <row r="8" spans="1:6" x14ac:dyDescent="0.3">
      <c r="A8" s="5" t="s">
        <v>17</v>
      </c>
      <c r="B8" s="2">
        <v>343.84999999999997</v>
      </c>
      <c r="C8" s="2">
        <v>376753</v>
      </c>
      <c r="E8" s="2">
        <v>343.84999999999997</v>
      </c>
      <c r="F8" s="2">
        <v>376753</v>
      </c>
    </row>
    <row r="9" spans="1:6" x14ac:dyDescent="0.3">
      <c r="A9" s="5" t="s">
        <v>38</v>
      </c>
      <c r="B9" s="2">
        <v>1290.6699999999998</v>
      </c>
      <c r="C9" s="2">
        <v>1379087</v>
      </c>
      <c r="E9" s="8">
        <v>1290.6699999999998</v>
      </c>
      <c r="F9" s="8">
        <v>1379087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ECBE-8F6A-449D-BA25-01D4CCC70AE2}">
  <dimension ref="A3:B9"/>
  <sheetViews>
    <sheetView workbookViewId="0">
      <selection activeCell="E24" sqref="E24"/>
    </sheetView>
  </sheetViews>
  <sheetFormatPr defaultRowHeight="14.4" x14ac:dyDescent="0.3"/>
  <cols>
    <col min="1" max="1" width="17.77734375" bestFit="1" customWidth="1"/>
    <col min="2" max="2" width="15.6640625" bestFit="1" customWidth="1"/>
  </cols>
  <sheetData>
    <row r="3" spans="1:2" x14ac:dyDescent="0.3">
      <c r="A3" s="4" t="s">
        <v>37</v>
      </c>
      <c r="B3" t="s">
        <v>43</v>
      </c>
    </row>
    <row r="4" spans="1:2" x14ac:dyDescent="0.3">
      <c r="A4" s="5" t="s">
        <v>17</v>
      </c>
      <c r="B4" s="2">
        <v>47</v>
      </c>
    </row>
    <row r="5" spans="1:2" x14ac:dyDescent="0.3">
      <c r="A5" s="5" t="s">
        <v>25</v>
      </c>
      <c r="B5" s="2">
        <v>43</v>
      </c>
    </row>
    <row r="6" spans="1:2" x14ac:dyDescent="0.3">
      <c r="A6" s="5" t="s">
        <v>13</v>
      </c>
      <c r="B6" s="2">
        <v>26</v>
      </c>
    </row>
    <row r="7" spans="1:2" x14ac:dyDescent="0.3">
      <c r="A7" s="5" t="s">
        <v>28</v>
      </c>
      <c r="B7" s="2">
        <v>22</v>
      </c>
    </row>
    <row r="8" spans="1:2" x14ac:dyDescent="0.3">
      <c r="A8" s="5" t="s">
        <v>22</v>
      </c>
      <c r="B8" s="2">
        <v>19</v>
      </c>
    </row>
    <row r="9" spans="1:2" x14ac:dyDescent="0.3">
      <c r="A9" s="5" t="s">
        <v>38</v>
      </c>
      <c r="B9" s="2">
        <v>157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96D9-B8DE-46EF-A2E4-A62D28AE956B}">
  <dimension ref="A3:B9"/>
  <sheetViews>
    <sheetView workbookViewId="0">
      <selection activeCell="N10" sqref="N10"/>
    </sheetView>
  </sheetViews>
  <sheetFormatPr defaultRowHeight="14.4" x14ac:dyDescent="0.3"/>
  <cols>
    <col min="1" max="1" width="17.77734375" bestFit="1" customWidth="1"/>
    <col min="2" max="2" width="18.88671875" bestFit="1" customWidth="1"/>
  </cols>
  <sheetData>
    <row r="3" spans="1:2" x14ac:dyDescent="0.3">
      <c r="A3" s="4" t="s">
        <v>37</v>
      </c>
      <c r="B3" t="s">
        <v>46</v>
      </c>
    </row>
    <row r="4" spans="1:2" x14ac:dyDescent="0.3">
      <c r="A4" s="5" t="s">
        <v>25</v>
      </c>
      <c r="B4" s="6">
        <v>2433985</v>
      </c>
    </row>
    <row r="5" spans="1:2" x14ac:dyDescent="0.3">
      <c r="A5" s="5" t="s">
        <v>22</v>
      </c>
      <c r="B5" s="6">
        <v>1436576</v>
      </c>
    </row>
    <row r="6" spans="1:2" x14ac:dyDescent="0.3">
      <c r="A6" s="5" t="s">
        <v>28</v>
      </c>
      <c r="B6" s="6">
        <v>1856258</v>
      </c>
    </row>
    <row r="7" spans="1:2" x14ac:dyDescent="0.3">
      <c r="A7" s="5" t="s">
        <v>13</v>
      </c>
      <c r="B7" s="6">
        <v>2070599</v>
      </c>
    </row>
    <row r="8" spans="1:2" x14ac:dyDescent="0.3">
      <c r="A8" s="5" t="s">
        <v>17</v>
      </c>
      <c r="B8" s="6">
        <v>3111137</v>
      </c>
    </row>
    <row r="9" spans="1:2" x14ac:dyDescent="0.3">
      <c r="A9" s="5" t="s">
        <v>38</v>
      </c>
      <c r="B9" s="6">
        <v>10908555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8C84-4813-431D-9369-7406FA90351C}">
  <dimension ref="A3:B9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23.6640625" bestFit="1" customWidth="1"/>
  </cols>
  <sheetData>
    <row r="3" spans="1:2" x14ac:dyDescent="0.3">
      <c r="A3" s="4" t="s">
        <v>37</v>
      </c>
      <c r="B3" t="s">
        <v>39</v>
      </c>
    </row>
    <row r="4" spans="1:2" x14ac:dyDescent="0.3">
      <c r="A4" s="5">
        <v>2020</v>
      </c>
      <c r="B4" s="2">
        <v>13339.83</v>
      </c>
    </row>
    <row r="5" spans="1:2" x14ac:dyDescent="0.3">
      <c r="A5" s="5">
        <v>2021</v>
      </c>
      <c r="B5" s="2">
        <v>18298.780000000002</v>
      </c>
    </row>
    <row r="6" spans="1:2" x14ac:dyDescent="0.3">
      <c r="A6" s="5">
        <v>2022</v>
      </c>
      <c r="B6" s="2">
        <v>13556.900000000001</v>
      </c>
    </row>
    <row r="7" spans="1:2" x14ac:dyDescent="0.3">
      <c r="A7" s="5">
        <v>2023</v>
      </c>
      <c r="B7" s="2">
        <v>9921.9500000000007</v>
      </c>
    </row>
    <row r="8" spans="1:2" x14ac:dyDescent="0.3">
      <c r="A8" s="5">
        <v>2024</v>
      </c>
      <c r="B8" s="2">
        <v>14114.890000000001</v>
      </c>
    </row>
    <row r="9" spans="1:2" x14ac:dyDescent="0.3">
      <c r="A9" s="5" t="s">
        <v>38</v>
      </c>
      <c r="B9" s="2">
        <v>69232.350000000006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1D46-C04F-460B-99C8-4C76D0105288}">
  <dimension ref="A3:B10"/>
  <sheetViews>
    <sheetView workbookViewId="0">
      <selection activeCell="K18" sqref="K18"/>
    </sheetView>
  </sheetViews>
  <sheetFormatPr defaultRowHeight="14.4" x14ac:dyDescent="0.3"/>
  <cols>
    <col min="1" max="1" width="14.5546875" bestFit="1" customWidth="1"/>
    <col min="2" max="2" width="22.88671875" bestFit="1" customWidth="1"/>
  </cols>
  <sheetData>
    <row r="3" spans="1:2" x14ac:dyDescent="0.3">
      <c r="A3" s="4" t="s">
        <v>37</v>
      </c>
      <c r="B3" t="s">
        <v>36</v>
      </c>
    </row>
    <row r="4" spans="1:2" x14ac:dyDescent="0.3">
      <c r="A4" s="5" t="s">
        <v>27</v>
      </c>
      <c r="B4" s="6">
        <v>11087284</v>
      </c>
    </row>
    <row r="5" spans="1:2" x14ac:dyDescent="0.3">
      <c r="A5" s="5" t="s">
        <v>23</v>
      </c>
      <c r="B5" s="6">
        <v>9714089</v>
      </c>
    </row>
    <row r="6" spans="1:2" x14ac:dyDescent="0.3">
      <c r="A6" s="5" t="s">
        <v>26</v>
      </c>
      <c r="B6" s="6">
        <v>18708993</v>
      </c>
    </row>
    <row r="7" spans="1:2" x14ac:dyDescent="0.3">
      <c r="A7" s="5" t="s">
        <v>18</v>
      </c>
      <c r="B7" s="6">
        <v>18579659</v>
      </c>
    </row>
    <row r="8" spans="1:2" x14ac:dyDescent="0.3">
      <c r="A8" s="5" t="s">
        <v>14</v>
      </c>
      <c r="B8" s="6">
        <v>12906419</v>
      </c>
    </row>
    <row r="9" spans="1:2" x14ac:dyDescent="0.3">
      <c r="A9" s="5" t="s">
        <v>30</v>
      </c>
      <c r="B9" s="6">
        <v>14978617</v>
      </c>
    </row>
    <row r="10" spans="1:2" x14ac:dyDescent="0.3">
      <c r="A10" s="5" t="s">
        <v>38</v>
      </c>
      <c r="B10" s="6">
        <v>85975061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73A8-7B5C-4B20-B1C9-B78600FB27D1}">
  <dimension ref="A3:B9"/>
  <sheetViews>
    <sheetView workbookViewId="0">
      <selection activeCell="F12" sqref="F12"/>
    </sheetView>
  </sheetViews>
  <sheetFormatPr defaultRowHeight="14.4" x14ac:dyDescent="0.3"/>
  <cols>
    <col min="1" max="1" width="12.5546875" bestFit="1" customWidth="1"/>
    <col min="2" max="2" width="28.109375" bestFit="1" customWidth="1"/>
  </cols>
  <sheetData>
    <row r="3" spans="1:2" x14ac:dyDescent="0.3">
      <c r="A3" s="4" t="s">
        <v>37</v>
      </c>
      <c r="B3" t="s">
        <v>45</v>
      </c>
    </row>
    <row r="4" spans="1:2" x14ac:dyDescent="0.3">
      <c r="A4" s="5">
        <v>2020</v>
      </c>
      <c r="B4" s="2">
        <v>258.07000000000005</v>
      </c>
    </row>
    <row r="5" spans="1:2" x14ac:dyDescent="0.3">
      <c r="A5" s="5">
        <v>2021</v>
      </c>
      <c r="B5" s="2">
        <v>331.18999999999994</v>
      </c>
    </row>
    <row r="6" spans="1:2" x14ac:dyDescent="0.3">
      <c r="A6" s="5">
        <v>2022</v>
      </c>
      <c r="B6" s="2">
        <v>255.78999999999996</v>
      </c>
    </row>
    <row r="7" spans="1:2" x14ac:dyDescent="0.3">
      <c r="A7" s="5">
        <v>2023</v>
      </c>
      <c r="B7" s="2">
        <v>159.06</v>
      </c>
    </row>
    <row r="8" spans="1:2" x14ac:dyDescent="0.3">
      <c r="A8" s="5">
        <v>2024</v>
      </c>
      <c r="B8" s="2">
        <v>286.56</v>
      </c>
    </row>
    <row r="9" spans="1:2" x14ac:dyDescent="0.3">
      <c r="A9" s="5" t="s">
        <v>38</v>
      </c>
      <c r="B9" s="2">
        <v>1290.6699999999998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21AE-BD8C-4FAF-B34C-BA252A04AFA7}">
  <dimension ref="A3:C89"/>
  <sheetViews>
    <sheetView workbookViewId="0">
      <selection activeCell="H12" sqref="H12"/>
    </sheetView>
  </sheetViews>
  <sheetFormatPr defaultRowHeight="14.4" x14ac:dyDescent="0.3"/>
  <cols>
    <col min="1" max="1" width="12.5546875" bestFit="1" customWidth="1"/>
    <col min="2" max="2" width="23.6640625" bestFit="1" customWidth="1"/>
    <col min="3" max="3" width="25.5546875" bestFit="1" customWidth="1"/>
  </cols>
  <sheetData>
    <row r="3" spans="1:3" x14ac:dyDescent="0.3">
      <c r="A3" s="4" t="s">
        <v>37</v>
      </c>
      <c r="B3" t="s">
        <v>39</v>
      </c>
      <c r="C3" t="s">
        <v>44</v>
      </c>
    </row>
    <row r="4" spans="1:3" x14ac:dyDescent="0.3">
      <c r="A4" s="5">
        <v>403</v>
      </c>
      <c r="B4" s="2">
        <v>702.81</v>
      </c>
      <c r="C4" s="7">
        <v>1.7439454094292803</v>
      </c>
    </row>
    <row r="5" spans="1:3" x14ac:dyDescent="0.3">
      <c r="A5" s="5">
        <v>406</v>
      </c>
      <c r="B5" s="2">
        <v>551.33000000000004</v>
      </c>
      <c r="C5" s="7">
        <v>1.3579556650246307</v>
      </c>
    </row>
    <row r="6" spans="1:3" x14ac:dyDescent="0.3">
      <c r="A6" s="5">
        <v>409</v>
      </c>
      <c r="B6" s="2">
        <v>659.19</v>
      </c>
      <c r="C6" s="7">
        <v>1.611711491442543</v>
      </c>
    </row>
    <row r="7" spans="1:3" x14ac:dyDescent="0.3">
      <c r="A7" s="5">
        <v>413</v>
      </c>
      <c r="B7" s="2">
        <v>731.4</v>
      </c>
      <c r="C7" s="7">
        <v>1.7709443099273607</v>
      </c>
    </row>
    <row r="8" spans="1:3" x14ac:dyDescent="0.3">
      <c r="A8" s="5">
        <v>416</v>
      </c>
      <c r="B8" s="2">
        <v>723.18</v>
      </c>
      <c r="C8" s="7">
        <v>1.7384134615384614</v>
      </c>
    </row>
    <row r="9" spans="1:3" x14ac:dyDescent="0.3">
      <c r="A9" s="5">
        <v>422</v>
      </c>
      <c r="B9" s="2">
        <v>739.07</v>
      </c>
      <c r="C9" s="7">
        <v>1.751350710900474</v>
      </c>
    </row>
    <row r="10" spans="1:3" x14ac:dyDescent="0.3">
      <c r="A10" s="5">
        <v>424</v>
      </c>
      <c r="B10" s="2">
        <v>596.37</v>
      </c>
      <c r="C10" s="7">
        <v>1.4065330188679246</v>
      </c>
    </row>
    <row r="11" spans="1:3" x14ac:dyDescent="0.3">
      <c r="A11" s="5">
        <v>427</v>
      </c>
      <c r="B11" s="2">
        <v>915.72</v>
      </c>
      <c r="C11" s="7">
        <v>2.1445433255269322</v>
      </c>
    </row>
    <row r="12" spans="1:3" x14ac:dyDescent="0.3">
      <c r="A12" s="5">
        <v>428</v>
      </c>
      <c r="B12" s="2">
        <v>723.68</v>
      </c>
      <c r="C12" s="7">
        <v>1.6908411214953269</v>
      </c>
    </row>
    <row r="13" spans="1:3" x14ac:dyDescent="0.3">
      <c r="A13" s="5">
        <v>429</v>
      </c>
      <c r="B13" s="2">
        <v>840.96</v>
      </c>
      <c r="C13" s="7">
        <v>1.9602797202797204</v>
      </c>
    </row>
    <row r="14" spans="1:3" x14ac:dyDescent="0.3">
      <c r="A14" s="5">
        <v>430</v>
      </c>
      <c r="B14" s="2">
        <v>704.39</v>
      </c>
      <c r="C14" s="7">
        <v>1.6381162790697674</v>
      </c>
    </row>
    <row r="15" spans="1:3" x14ac:dyDescent="0.3">
      <c r="A15" s="5">
        <v>432</v>
      </c>
      <c r="B15" s="2">
        <v>1478.6799999999998</v>
      </c>
      <c r="C15" s="7">
        <v>1.711435185185185</v>
      </c>
    </row>
    <row r="16" spans="1:3" x14ac:dyDescent="0.3">
      <c r="A16" s="5">
        <v>434</v>
      </c>
      <c r="B16" s="2">
        <v>1333.5900000000001</v>
      </c>
      <c r="C16" s="7">
        <v>1.53639400921659</v>
      </c>
    </row>
    <row r="17" spans="1:3" x14ac:dyDescent="0.3">
      <c r="A17" s="5">
        <v>435</v>
      </c>
      <c r="B17" s="2">
        <v>686.83</v>
      </c>
      <c r="C17" s="7">
        <v>1.5789195402298852</v>
      </c>
    </row>
    <row r="18" spans="1:3" x14ac:dyDescent="0.3">
      <c r="A18" s="5">
        <v>437</v>
      </c>
      <c r="B18" s="2">
        <v>1640.03</v>
      </c>
      <c r="C18" s="7">
        <v>1.8764645308924486</v>
      </c>
    </row>
    <row r="19" spans="1:3" x14ac:dyDescent="0.3">
      <c r="A19" s="5">
        <v>439</v>
      </c>
      <c r="B19" s="2">
        <v>706.39</v>
      </c>
      <c r="C19" s="7">
        <v>1.6090888382687927</v>
      </c>
    </row>
    <row r="20" spans="1:3" x14ac:dyDescent="0.3">
      <c r="A20" s="5">
        <v>441</v>
      </c>
      <c r="B20" s="2">
        <v>745.68</v>
      </c>
      <c r="C20" s="7">
        <v>1.6908843537414966</v>
      </c>
    </row>
    <row r="21" spans="1:3" x14ac:dyDescent="0.3">
      <c r="A21" s="5">
        <v>449</v>
      </c>
      <c r="B21" s="2">
        <v>616.42999999999995</v>
      </c>
      <c r="C21" s="7">
        <v>1.3728953229398662</v>
      </c>
    </row>
    <row r="22" spans="1:3" x14ac:dyDescent="0.3">
      <c r="A22" s="5">
        <v>452</v>
      </c>
      <c r="B22" s="2">
        <v>852.24</v>
      </c>
      <c r="C22" s="7">
        <v>1.8854867256637169</v>
      </c>
    </row>
    <row r="23" spans="1:3" x14ac:dyDescent="0.3">
      <c r="A23" s="5">
        <v>464</v>
      </c>
      <c r="B23" s="2">
        <v>701.64</v>
      </c>
      <c r="C23" s="7">
        <v>1.5121551724137932</v>
      </c>
    </row>
    <row r="24" spans="1:3" x14ac:dyDescent="0.3">
      <c r="A24" s="5">
        <v>465</v>
      </c>
      <c r="B24" s="2">
        <v>663.14</v>
      </c>
      <c r="C24" s="7">
        <v>1.4261075268817205</v>
      </c>
    </row>
    <row r="25" spans="1:3" x14ac:dyDescent="0.3">
      <c r="A25" s="5">
        <v>468</v>
      </c>
      <c r="B25" s="2">
        <v>480.34</v>
      </c>
      <c r="C25" s="7">
        <v>1.0263675213675214</v>
      </c>
    </row>
    <row r="26" spans="1:3" x14ac:dyDescent="0.3">
      <c r="A26" s="5">
        <v>470</v>
      </c>
      <c r="B26" s="2">
        <v>449.01</v>
      </c>
      <c r="C26" s="7">
        <v>0.95534042553191489</v>
      </c>
    </row>
    <row r="27" spans="1:3" x14ac:dyDescent="0.3">
      <c r="A27" s="5">
        <v>471</v>
      </c>
      <c r="B27" s="2">
        <v>685.31</v>
      </c>
      <c r="C27" s="7">
        <v>1.4550106157112526</v>
      </c>
    </row>
    <row r="28" spans="1:3" x14ac:dyDescent="0.3">
      <c r="A28" s="5">
        <v>473</v>
      </c>
      <c r="B28" s="2">
        <v>1294.4299999999998</v>
      </c>
      <c r="C28" s="7">
        <v>1.368319238900634</v>
      </c>
    </row>
    <row r="29" spans="1:3" x14ac:dyDescent="0.3">
      <c r="A29" s="5">
        <v>488</v>
      </c>
      <c r="B29" s="2">
        <v>713.75</v>
      </c>
      <c r="C29" s="7">
        <v>1.4626024590163935</v>
      </c>
    </row>
    <row r="30" spans="1:3" x14ac:dyDescent="0.3">
      <c r="A30" s="5">
        <v>489</v>
      </c>
      <c r="B30" s="2">
        <v>632.95000000000005</v>
      </c>
      <c r="C30" s="7">
        <v>1.2943762781186094</v>
      </c>
    </row>
    <row r="31" spans="1:3" x14ac:dyDescent="0.3">
      <c r="A31" s="5">
        <v>490</v>
      </c>
      <c r="B31" s="2">
        <v>701.82</v>
      </c>
      <c r="C31" s="7">
        <v>1.4322857142857144</v>
      </c>
    </row>
    <row r="32" spans="1:3" x14ac:dyDescent="0.3">
      <c r="A32" s="5">
        <v>494</v>
      </c>
      <c r="B32" s="2">
        <v>820.99</v>
      </c>
      <c r="C32" s="7">
        <v>1.6619230769230768</v>
      </c>
    </row>
    <row r="33" spans="1:3" x14ac:dyDescent="0.3">
      <c r="A33" s="5">
        <v>496</v>
      </c>
      <c r="B33" s="2">
        <v>793.45</v>
      </c>
      <c r="C33" s="7">
        <v>1.5996975806451614</v>
      </c>
    </row>
    <row r="34" spans="1:3" x14ac:dyDescent="0.3">
      <c r="A34" s="5">
        <v>500</v>
      </c>
      <c r="B34" s="2">
        <v>941.72</v>
      </c>
      <c r="C34" s="7">
        <v>1.88344</v>
      </c>
    </row>
    <row r="35" spans="1:3" x14ac:dyDescent="0.3">
      <c r="A35" s="5">
        <v>504</v>
      </c>
      <c r="B35" s="2">
        <v>484.4</v>
      </c>
      <c r="C35" s="7">
        <v>0.96111111111111103</v>
      </c>
    </row>
    <row r="36" spans="1:3" x14ac:dyDescent="0.3">
      <c r="A36" s="5">
        <v>506</v>
      </c>
      <c r="B36" s="2">
        <v>594.79999999999995</v>
      </c>
      <c r="C36" s="7">
        <v>1.1754940711462449</v>
      </c>
    </row>
    <row r="37" spans="1:3" x14ac:dyDescent="0.3">
      <c r="A37" s="5">
        <v>513</v>
      </c>
      <c r="B37" s="2">
        <v>899.82</v>
      </c>
      <c r="C37" s="7">
        <v>1.7540350877192983</v>
      </c>
    </row>
    <row r="38" spans="1:3" x14ac:dyDescent="0.3">
      <c r="A38" s="5">
        <v>514</v>
      </c>
      <c r="B38" s="2">
        <v>623.66999999999996</v>
      </c>
      <c r="C38" s="7">
        <v>1.2133657587548636</v>
      </c>
    </row>
    <row r="39" spans="1:3" x14ac:dyDescent="0.3">
      <c r="A39" s="5">
        <v>515</v>
      </c>
      <c r="B39" s="2">
        <v>793.16</v>
      </c>
      <c r="C39" s="7">
        <v>1.5401165048543688</v>
      </c>
    </row>
    <row r="40" spans="1:3" x14ac:dyDescent="0.3">
      <c r="A40" s="5">
        <v>517</v>
      </c>
      <c r="B40" s="2">
        <v>711.62</v>
      </c>
      <c r="C40" s="7">
        <v>1.3764410058027079</v>
      </c>
    </row>
    <row r="41" spans="1:3" x14ac:dyDescent="0.3">
      <c r="A41" s="5">
        <v>521</v>
      </c>
      <c r="B41" s="2">
        <v>835.08</v>
      </c>
      <c r="C41" s="7">
        <v>1.6028406909788868</v>
      </c>
    </row>
    <row r="42" spans="1:3" x14ac:dyDescent="0.3">
      <c r="A42" s="5">
        <v>523</v>
      </c>
      <c r="B42" s="2">
        <v>676.75</v>
      </c>
      <c r="C42" s="7">
        <v>1.2939770554493308</v>
      </c>
    </row>
    <row r="43" spans="1:3" x14ac:dyDescent="0.3">
      <c r="A43" s="5">
        <v>525</v>
      </c>
      <c r="B43" s="2">
        <v>505.11</v>
      </c>
      <c r="C43" s="7">
        <v>0.9621142857142857</v>
      </c>
    </row>
    <row r="44" spans="1:3" x14ac:dyDescent="0.3">
      <c r="A44" s="5">
        <v>528</v>
      </c>
      <c r="B44" s="2">
        <v>759.62</v>
      </c>
      <c r="C44" s="7">
        <v>1.4386742424242425</v>
      </c>
    </row>
    <row r="45" spans="1:3" x14ac:dyDescent="0.3">
      <c r="A45" s="5">
        <v>533</v>
      </c>
      <c r="B45" s="2">
        <v>523.42999999999995</v>
      </c>
      <c r="C45" s="7">
        <v>0.98204502814258898</v>
      </c>
    </row>
    <row r="46" spans="1:3" x14ac:dyDescent="0.3">
      <c r="A46" s="5">
        <v>534</v>
      </c>
      <c r="B46" s="2">
        <v>729.57</v>
      </c>
      <c r="C46" s="7">
        <v>1.3662359550561798</v>
      </c>
    </row>
    <row r="47" spans="1:3" x14ac:dyDescent="0.3">
      <c r="A47" s="5">
        <v>540</v>
      </c>
      <c r="B47" s="2">
        <v>652.45000000000005</v>
      </c>
      <c r="C47" s="7">
        <v>1.2082407407407407</v>
      </c>
    </row>
    <row r="48" spans="1:3" x14ac:dyDescent="0.3">
      <c r="A48" s="5">
        <v>543</v>
      </c>
      <c r="B48" s="2">
        <v>493.08</v>
      </c>
      <c r="C48" s="7">
        <v>0.90806629834254138</v>
      </c>
    </row>
    <row r="49" spans="1:3" x14ac:dyDescent="0.3">
      <c r="A49" s="5">
        <v>545</v>
      </c>
      <c r="B49" s="2">
        <v>1282.24</v>
      </c>
      <c r="C49" s="7">
        <v>1.1763669724770642</v>
      </c>
    </row>
    <row r="50" spans="1:3" x14ac:dyDescent="0.3">
      <c r="A50" s="5">
        <v>546</v>
      </c>
      <c r="B50" s="2">
        <v>674.13</v>
      </c>
      <c r="C50" s="7">
        <v>1.2346703296703296</v>
      </c>
    </row>
    <row r="51" spans="1:3" x14ac:dyDescent="0.3">
      <c r="A51" s="5">
        <v>551</v>
      </c>
      <c r="B51" s="2">
        <v>1375.33</v>
      </c>
      <c r="C51" s="7">
        <v>1.2480308529945552</v>
      </c>
    </row>
    <row r="52" spans="1:3" x14ac:dyDescent="0.3">
      <c r="A52" s="5">
        <v>561</v>
      </c>
      <c r="B52" s="2">
        <v>867.68</v>
      </c>
      <c r="C52" s="7">
        <v>1.5466666666666666</v>
      </c>
    </row>
    <row r="53" spans="1:3" x14ac:dyDescent="0.3">
      <c r="A53" s="5">
        <v>563</v>
      </c>
      <c r="B53" s="2">
        <v>516.9</v>
      </c>
      <c r="C53" s="7">
        <v>0.91811722912966243</v>
      </c>
    </row>
    <row r="54" spans="1:3" x14ac:dyDescent="0.3">
      <c r="A54" s="5">
        <v>565</v>
      </c>
      <c r="B54" s="2">
        <v>483.03</v>
      </c>
      <c r="C54" s="7">
        <v>0.85492035398230082</v>
      </c>
    </row>
    <row r="55" spans="1:3" x14ac:dyDescent="0.3">
      <c r="A55" s="5">
        <v>566</v>
      </c>
      <c r="B55" s="2">
        <v>802.84</v>
      </c>
      <c r="C55" s="7">
        <v>1.4184452296819789</v>
      </c>
    </row>
    <row r="56" spans="1:3" x14ac:dyDescent="0.3">
      <c r="A56" s="5">
        <v>567</v>
      </c>
      <c r="B56" s="2">
        <v>586.44000000000005</v>
      </c>
      <c r="C56" s="7">
        <v>1.0342857142857145</v>
      </c>
    </row>
    <row r="57" spans="1:3" x14ac:dyDescent="0.3">
      <c r="A57" s="5">
        <v>569</v>
      </c>
      <c r="B57" s="2">
        <v>753.86</v>
      </c>
      <c r="C57" s="7">
        <v>1.3248857644991212</v>
      </c>
    </row>
    <row r="58" spans="1:3" x14ac:dyDescent="0.3">
      <c r="A58" s="5">
        <v>571</v>
      </c>
      <c r="B58" s="2">
        <v>678.74</v>
      </c>
      <c r="C58" s="7">
        <v>1.1886865148861647</v>
      </c>
    </row>
    <row r="59" spans="1:3" x14ac:dyDescent="0.3">
      <c r="A59" s="5">
        <v>572</v>
      </c>
      <c r="B59" s="2">
        <v>571.71</v>
      </c>
      <c r="C59" s="7">
        <v>0.99949300699300703</v>
      </c>
    </row>
    <row r="60" spans="1:3" x14ac:dyDescent="0.3">
      <c r="A60" s="5">
        <v>601</v>
      </c>
      <c r="B60" s="2">
        <v>744.93</v>
      </c>
      <c r="C60" s="7">
        <v>1.2394841930116471</v>
      </c>
    </row>
    <row r="61" spans="1:3" x14ac:dyDescent="0.3">
      <c r="A61" s="5">
        <v>616</v>
      </c>
      <c r="B61" s="2">
        <v>639.71</v>
      </c>
      <c r="C61" s="7">
        <v>1.0384902597402599</v>
      </c>
    </row>
    <row r="62" spans="1:3" x14ac:dyDescent="0.3">
      <c r="A62" s="5">
        <v>618</v>
      </c>
      <c r="B62" s="2">
        <v>640.9</v>
      </c>
      <c r="C62" s="7">
        <v>1.0370550161812297</v>
      </c>
    </row>
    <row r="63" spans="1:3" x14ac:dyDescent="0.3">
      <c r="A63" s="5">
        <v>619</v>
      </c>
      <c r="B63" s="2">
        <v>1492.3400000000001</v>
      </c>
      <c r="C63" s="7">
        <v>1.2054442649434574</v>
      </c>
    </row>
    <row r="64" spans="1:3" x14ac:dyDescent="0.3">
      <c r="A64" s="5">
        <v>621</v>
      </c>
      <c r="B64" s="2">
        <v>694.07</v>
      </c>
      <c r="C64" s="7">
        <v>1.1176650563607087</v>
      </c>
    </row>
    <row r="65" spans="1:3" x14ac:dyDescent="0.3">
      <c r="A65" s="5">
        <v>623</v>
      </c>
      <c r="B65" s="2">
        <v>1329.83</v>
      </c>
      <c r="C65" s="7">
        <v>1.0672792937399678</v>
      </c>
    </row>
    <row r="66" spans="1:3" x14ac:dyDescent="0.3">
      <c r="A66" s="5">
        <v>628</v>
      </c>
      <c r="B66" s="2">
        <v>537.59</v>
      </c>
      <c r="C66" s="7">
        <v>0.85603503184713381</v>
      </c>
    </row>
    <row r="67" spans="1:3" x14ac:dyDescent="0.3">
      <c r="A67" s="5">
        <v>629</v>
      </c>
      <c r="B67" s="2">
        <v>606.11</v>
      </c>
      <c r="C67" s="7">
        <v>0.96360890302066771</v>
      </c>
    </row>
    <row r="68" spans="1:3" x14ac:dyDescent="0.3">
      <c r="A68" s="5">
        <v>631</v>
      </c>
      <c r="B68" s="2">
        <v>1411.0700000000002</v>
      </c>
      <c r="C68" s="7">
        <v>1.1181220285261491</v>
      </c>
    </row>
    <row r="69" spans="1:3" x14ac:dyDescent="0.3">
      <c r="A69" s="5">
        <v>643</v>
      </c>
      <c r="B69" s="2">
        <v>714.31</v>
      </c>
      <c r="C69" s="7">
        <v>1.1109020217729393</v>
      </c>
    </row>
    <row r="70" spans="1:3" x14ac:dyDescent="0.3">
      <c r="A70" s="5">
        <v>646</v>
      </c>
      <c r="B70" s="2">
        <v>602.28</v>
      </c>
      <c r="C70" s="7">
        <v>0.93232198142414857</v>
      </c>
    </row>
    <row r="71" spans="1:3" x14ac:dyDescent="0.3">
      <c r="A71" s="5">
        <v>648</v>
      </c>
      <c r="B71" s="2">
        <v>917.12</v>
      </c>
      <c r="C71" s="7">
        <v>1.4153086419753087</v>
      </c>
    </row>
    <row r="72" spans="1:3" x14ac:dyDescent="0.3">
      <c r="A72" s="5">
        <v>651</v>
      </c>
      <c r="B72" s="2">
        <v>794.03</v>
      </c>
      <c r="C72" s="7">
        <v>1.2197081413210444</v>
      </c>
    </row>
    <row r="73" spans="1:3" x14ac:dyDescent="0.3">
      <c r="A73" s="5">
        <v>661</v>
      </c>
      <c r="B73" s="2">
        <v>1444.4299999999998</v>
      </c>
      <c r="C73" s="7">
        <v>1.0926096822995459</v>
      </c>
    </row>
    <row r="74" spans="1:3" x14ac:dyDescent="0.3">
      <c r="A74" s="5">
        <v>662</v>
      </c>
      <c r="B74" s="2">
        <v>1250.21</v>
      </c>
      <c r="C74" s="7">
        <v>0.94426737160120844</v>
      </c>
    </row>
    <row r="75" spans="1:3" x14ac:dyDescent="0.3">
      <c r="A75" s="5">
        <v>664</v>
      </c>
      <c r="B75" s="2">
        <v>1426.6999999999998</v>
      </c>
      <c r="C75" s="7">
        <v>1.0743222891566264</v>
      </c>
    </row>
    <row r="76" spans="1:3" x14ac:dyDescent="0.3">
      <c r="A76" s="5">
        <v>667</v>
      </c>
      <c r="B76" s="2">
        <v>623.83000000000004</v>
      </c>
      <c r="C76" s="7">
        <v>0.93527736131934036</v>
      </c>
    </row>
    <row r="77" spans="1:3" x14ac:dyDescent="0.3">
      <c r="A77" s="5">
        <v>669</v>
      </c>
      <c r="B77" s="2">
        <v>1460.4499999999998</v>
      </c>
      <c r="C77" s="7">
        <v>1.0915171898355753</v>
      </c>
    </row>
    <row r="78" spans="1:3" x14ac:dyDescent="0.3">
      <c r="A78" s="5">
        <v>670</v>
      </c>
      <c r="B78" s="2">
        <v>641</v>
      </c>
      <c r="C78" s="7">
        <v>0.95671641791044781</v>
      </c>
    </row>
    <row r="79" spans="1:3" x14ac:dyDescent="0.3">
      <c r="A79" s="5">
        <v>671</v>
      </c>
      <c r="B79" s="2">
        <v>610.02</v>
      </c>
      <c r="C79" s="7">
        <v>0.90912071535022354</v>
      </c>
    </row>
    <row r="80" spans="1:3" x14ac:dyDescent="0.3">
      <c r="A80" s="5">
        <v>672</v>
      </c>
      <c r="B80" s="2">
        <v>683.43</v>
      </c>
      <c r="C80" s="7">
        <v>1.0170089285714285</v>
      </c>
    </row>
    <row r="81" spans="1:3" x14ac:dyDescent="0.3">
      <c r="A81" s="5">
        <v>676</v>
      </c>
      <c r="B81" s="2">
        <v>769.8</v>
      </c>
      <c r="C81" s="7">
        <v>1.138757396449704</v>
      </c>
    </row>
    <row r="82" spans="1:3" x14ac:dyDescent="0.3">
      <c r="A82" s="5">
        <v>680</v>
      </c>
      <c r="B82" s="2">
        <v>1586.1799999999998</v>
      </c>
      <c r="C82" s="7">
        <v>1.1663088235294117</v>
      </c>
    </row>
    <row r="83" spans="1:3" x14ac:dyDescent="0.3">
      <c r="A83" s="5">
        <v>684</v>
      </c>
      <c r="B83" s="2">
        <v>1412.4099999999999</v>
      </c>
      <c r="C83" s="7">
        <v>1.0324634502923975</v>
      </c>
    </row>
    <row r="84" spans="1:3" x14ac:dyDescent="0.3">
      <c r="A84" s="5">
        <v>689</v>
      </c>
      <c r="B84" s="2">
        <v>576.27</v>
      </c>
      <c r="C84" s="7">
        <v>0.8363860667634252</v>
      </c>
    </row>
    <row r="85" spans="1:3" x14ac:dyDescent="0.3">
      <c r="A85" s="5">
        <v>690</v>
      </c>
      <c r="B85" s="2">
        <v>735.68</v>
      </c>
      <c r="C85" s="7">
        <v>1.0662028985507246</v>
      </c>
    </row>
    <row r="86" spans="1:3" x14ac:dyDescent="0.3">
      <c r="A86" s="5">
        <v>694</v>
      </c>
      <c r="B86" s="2">
        <v>663.04</v>
      </c>
      <c r="C86" s="7">
        <v>0.95538904899135446</v>
      </c>
    </row>
    <row r="87" spans="1:3" x14ac:dyDescent="0.3">
      <c r="A87" s="5">
        <v>698</v>
      </c>
      <c r="B87" s="2">
        <v>820.78</v>
      </c>
      <c r="C87" s="7">
        <v>1.1759025787965616</v>
      </c>
    </row>
    <row r="88" spans="1:3" x14ac:dyDescent="0.3">
      <c r="A88" s="5">
        <v>700</v>
      </c>
      <c r="B88" s="2">
        <v>701.85</v>
      </c>
      <c r="C88" s="7">
        <v>1.0026428571428572</v>
      </c>
    </row>
    <row r="89" spans="1:3" x14ac:dyDescent="0.3">
      <c r="A89" s="5" t="s">
        <v>38</v>
      </c>
      <c r="B89" s="2">
        <v>69232.349999999991</v>
      </c>
      <c r="C89" s="7">
        <v>1.2548457550931631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F897-8D7B-4060-9075-45279BAECD6C}">
  <dimension ref="A3:B9"/>
  <sheetViews>
    <sheetView workbookViewId="0">
      <selection activeCell="B6" sqref="B6"/>
    </sheetView>
  </sheetViews>
  <sheetFormatPr defaultRowHeight="14.4" x14ac:dyDescent="0.3"/>
  <cols>
    <col min="1" max="1" width="17.77734375" bestFit="1" customWidth="1"/>
    <col min="2" max="2" width="15.6640625" bestFit="1" customWidth="1"/>
  </cols>
  <sheetData>
    <row r="3" spans="1:2" x14ac:dyDescent="0.3">
      <c r="A3" s="4" t="s">
        <v>37</v>
      </c>
      <c r="B3" t="s">
        <v>43</v>
      </c>
    </row>
    <row r="4" spans="1:2" x14ac:dyDescent="0.3">
      <c r="A4" s="5" t="s">
        <v>25</v>
      </c>
      <c r="B4" s="2">
        <v>43</v>
      </c>
    </row>
    <row r="5" spans="1:2" x14ac:dyDescent="0.3">
      <c r="A5" s="5" t="s">
        <v>22</v>
      </c>
      <c r="B5" s="2">
        <v>19</v>
      </c>
    </row>
    <row r="6" spans="1:2" x14ac:dyDescent="0.3">
      <c r="A6" s="5" t="s">
        <v>28</v>
      </c>
      <c r="B6" s="2">
        <v>22</v>
      </c>
    </row>
    <row r="7" spans="1:2" x14ac:dyDescent="0.3">
      <c r="A7" s="5" t="s">
        <v>13</v>
      </c>
      <c r="B7" s="2">
        <v>26</v>
      </c>
    </row>
    <row r="8" spans="1:2" x14ac:dyDescent="0.3">
      <c r="A8" s="5" t="s">
        <v>17</v>
      </c>
      <c r="B8" s="2">
        <v>47</v>
      </c>
    </row>
    <row r="9" spans="1:2" x14ac:dyDescent="0.3">
      <c r="A9" s="5" t="s">
        <v>38</v>
      </c>
      <c r="B9" s="2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FF7F-CB72-458E-B351-7D061DFF2902}">
  <dimension ref="A3:B10"/>
  <sheetViews>
    <sheetView workbookViewId="0">
      <selection activeCell="G18" sqref="G18"/>
    </sheetView>
  </sheetViews>
  <sheetFormatPr defaultRowHeight="14.4" x14ac:dyDescent="0.3"/>
  <cols>
    <col min="1" max="1" width="14.5546875" bestFit="1" customWidth="1"/>
    <col min="2" max="2" width="22.88671875" bestFit="1" customWidth="1"/>
  </cols>
  <sheetData>
    <row r="3" spans="1:2" x14ac:dyDescent="0.3">
      <c r="A3" s="4" t="s">
        <v>37</v>
      </c>
      <c r="B3" t="s">
        <v>36</v>
      </c>
    </row>
    <row r="4" spans="1:2" x14ac:dyDescent="0.3">
      <c r="A4" s="5" t="s">
        <v>27</v>
      </c>
      <c r="B4" s="6">
        <v>11087284</v>
      </c>
    </row>
    <row r="5" spans="1:2" x14ac:dyDescent="0.3">
      <c r="A5" s="5" t="s">
        <v>23</v>
      </c>
      <c r="B5" s="6">
        <v>9714089</v>
      </c>
    </row>
    <row r="6" spans="1:2" x14ac:dyDescent="0.3">
      <c r="A6" s="5" t="s">
        <v>26</v>
      </c>
      <c r="B6" s="6">
        <v>18708993</v>
      </c>
    </row>
    <row r="7" spans="1:2" x14ac:dyDescent="0.3">
      <c r="A7" s="5" t="s">
        <v>18</v>
      </c>
      <c r="B7" s="6">
        <v>18579659</v>
      </c>
    </row>
    <row r="8" spans="1:2" x14ac:dyDescent="0.3">
      <c r="A8" s="5" t="s">
        <v>14</v>
      </c>
      <c r="B8" s="6">
        <v>12906419</v>
      </c>
    </row>
    <row r="9" spans="1:2" x14ac:dyDescent="0.3">
      <c r="A9" s="5" t="s">
        <v>30</v>
      </c>
      <c r="B9" s="6">
        <v>14978617</v>
      </c>
    </row>
    <row r="10" spans="1:2" x14ac:dyDescent="0.3">
      <c r="A10" s="5" t="s">
        <v>38</v>
      </c>
      <c r="B10" s="6">
        <v>85975061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C479-472D-4AA4-9486-5924F5BD17EF}">
  <dimension ref="A3:G10"/>
  <sheetViews>
    <sheetView workbookViewId="0">
      <selection activeCell="C17" sqref="C17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4" width="10" bestFit="1" customWidth="1"/>
    <col min="5" max="5" width="9" bestFit="1" customWidth="1"/>
    <col min="6" max="6" width="10" bestFit="1" customWidth="1"/>
    <col min="7" max="7" width="10.77734375" bestFit="1" customWidth="1"/>
  </cols>
  <sheetData>
    <row r="3" spans="1:7" x14ac:dyDescent="0.3">
      <c r="A3" s="4" t="s">
        <v>39</v>
      </c>
      <c r="B3" s="4" t="s">
        <v>40</v>
      </c>
    </row>
    <row r="4" spans="1:7" x14ac:dyDescent="0.3">
      <c r="A4" s="4" t="s">
        <v>37</v>
      </c>
      <c r="B4">
        <v>2020</v>
      </c>
      <c r="C4">
        <v>2021</v>
      </c>
      <c r="D4">
        <v>2022</v>
      </c>
      <c r="E4">
        <v>2023</v>
      </c>
      <c r="F4">
        <v>2024</v>
      </c>
      <c r="G4" t="s">
        <v>38</v>
      </c>
    </row>
    <row r="5" spans="1:7" x14ac:dyDescent="0.3">
      <c r="A5" s="5" t="s">
        <v>25</v>
      </c>
      <c r="B5" s="6">
        <v>3052.8999999999996</v>
      </c>
      <c r="C5" s="6">
        <v>4432.2</v>
      </c>
      <c r="D5" s="6">
        <v>1952.4</v>
      </c>
      <c r="E5" s="6">
        <v>3105.4700000000003</v>
      </c>
      <c r="F5" s="6">
        <v>4474.68</v>
      </c>
      <c r="G5" s="6">
        <v>17017.650000000001</v>
      </c>
    </row>
    <row r="6" spans="1:7" x14ac:dyDescent="0.3">
      <c r="A6" s="5" t="s">
        <v>22</v>
      </c>
      <c r="B6" s="6">
        <v>3559.79</v>
      </c>
      <c r="C6" s="6">
        <v>3107.98</v>
      </c>
      <c r="D6" s="6">
        <v>739.07</v>
      </c>
      <c r="E6" s="6">
        <v>655.58</v>
      </c>
      <c r="F6" s="6">
        <v>1269.67</v>
      </c>
      <c r="G6" s="6">
        <v>9332.09</v>
      </c>
    </row>
    <row r="7" spans="1:7" x14ac:dyDescent="0.3">
      <c r="A7" s="5" t="s">
        <v>28</v>
      </c>
      <c r="B7" s="6">
        <v>1651.6200000000001</v>
      </c>
      <c r="C7" s="6">
        <v>5106.0499999999993</v>
      </c>
      <c r="D7" s="6">
        <v>1980.9299999999998</v>
      </c>
      <c r="E7" s="6">
        <v>2142.7399999999998</v>
      </c>
      <c r="F7" s="6">
        <v>537.59</v>
      </c>
      <c r="G7" s="6">
        <v>11418.929999999998</v>
      </c>
    </row>
    <row r="8" spans="1:7" x14ac:dyDescent="0.3">
      <c r="A8" s="5" t="s">
        <v>13</v>
      </c>
      <c r="B8" s="6">
        <v>2881.4399999999996</v>
      </c>
      <c r="C8" s="6">
        <v>586.44000000000005</v>
      </c>
      <c r="D8" s="6">
        <v>4405.3200000000006</v>
      </c>
      <c r="E8" s="6">
        <v>2057.63</v>
      </c>
      <c r="F8" s="6">
        <v>2963.4700000000003</v>
      </c>
      <c r="G8" s="6">
        <v>12894.300000000003</v>
      </c>
    </row>
    <row r="9" spans="1:7" x14ac:dyDescent="0.3">
      <c r="A9" s="5" t="s">
        <v>17</v>
      </c>
      <c r="B9" s="6">
        <v>2194.08</v>
      </c>
      <c r="C9" s="6">
        <v>5066.1099999999997</v>
      </c>
      <c r="D9" s="6">
        <v>4479.18</v>
      </c>
      <c r="E9" s="6">
        <v>1960.5299999999997</v>
      </c>
      <c r="F9" s="6">
        <v>4869.4799999999996</v>
      </c>
      <c r="G9" s="6">
        <v>18569.379999999997</v>
      </c>
    </row>
    <row r="10" spans="1:7" x14ac:dyDescent="0.3">
      <c r="A10" s="5" t="s">
        <v>38</v>
      </c>
      <c r="B10" s="6">
        <v>13339.83</v>
      </c>
      <c r="C10" s="6">
        <v>18298.78</v>
      </c>
      <c r="D10" s="6">
        <v>13556.900000000001</v>
      </c>
      <c r="E10" s="6">
        <v>9921.9500000000007</v>
      </c>
      <c r="F10" s="6">
        <v>14114.89</v>
      </c>
      <c r="G10" s="6">
        <v>69232.350000000006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C991-0673-4406-8423-01E963867834}">
  <dimension ref="A3:B14"/>
  <sheetViews>
    <sheetView workbookViewId="0">
      <selection activeCell="H18" sqref="H18"/>
    </sheetView>
  </sheetViews>
  <sheetFormatPr defaultRowHeight="14.4" x14ac:dyDescent="0.3"/>
  <cols>
    <col min="1" max="1" width="12.5546875" bestFit="1" customWidth="1"/>
    <col min="2" max="2" width="27.21875" bestFit="1" customWidth="1"/>
  </cols>
  <sheetData>
    <row r="3" spans="1:2" x14ac:dyDescent="0.3">
      <c r="A3" s="4" t="s">
        <v>37</v>
      </c>
      <c r="B3" t="s">
        <v>42</v>
      </c>
    </row>
    <row r="4" spans="1:2" x14ac:dyDescent="0.3">
      <c r="A4" s="5" t="s">
        <v>31</v>
      </c>
      <c r="B4" s="7">
        <v>13547.888888888889</v>
      </c>
    </row>
    <row r="5" spans="1:2" x14ac:dyDescent="0.3">
      <c r="A5" s="5" t="s">
        <v>33</v>
      </c>
      <c r="B5" s="7">
        <v>14473.25</v>
      </c>
    </row>
    <row r="6" spans="1:2" x14ac:dyDescent="0.3">
      <c r="A6" s="5" t="s">
        <v>21</v>
      </c>
      <c r="B6" s="7">
        <v>14059.733333333334</v>
      </c>
    </row>
    <row r="7" spans="1:2" x14ac:dyDescent="0.3">
      <c r="A7" s="5" t="s">
        <v>29</v>
      </c>
      <c r="B7" s="7">
        <v>13721</v>
      </c>
    </row>
    <row r="8" spans="1:2" x14ac:dyDescent="0.3">
      <c r="A8" s="5" t="s">
        <v>19</v>
      </c>
      <c r="B8" s="7">
        <v>14682</v>
      </c>
    </row>
    <row r="9" spans="1:2" x14ac:dyDescent="0.3">
      <c r="A9" s="5" t="s">
        <v>32</v>
      </c>
      <c r="B9" s="7">
        <v>12436.625</v>
      </c>
    </row>
    <row r="10" spans="1:2" x14ac:dyDescent="0.3">
      <c r="A10" s="5" t="s">
        <v>35</v>
      </c>
      <c r="B10" s="7">
        <v>13696.222222222223</v>
      </c>
    </row>
    <row r="11" spans="1:2" x14ac:dyDescent="0.3">
      <c r="A11" s="5" t="s">
        <v>24</v>
      </c>
      <c r="B11" s="7">
        <v>13325.90909090909</v>
      </c>
    </row>
    <row r="12" spans="1:2" x14ac:dyDescent="0.3">
      <c r="A12" s="5" t="s">
        <v>15</v>
      </c>
      <c r="B12" s="7">
        <v>14005.625</v>
      </c>
    </row>
    <row r="13" spans="1:2" x14ac:dyDescent="0.3">
      <c r="A13" s="5" t="s">
        <v>34</v>
      </c>
      <c r="B13" s="7">
        <v>14070.333333333334</v>
      </c>
    </row>
    <row r="14" spans="1:2" x14ac:dyDescent="0.3">
      <c r="A14" s="5" t="s">
        <v>38</v>
      </c>
      <c r="B14" s="7">
        <v>13790.87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6914-3B3D-498D-9DEF-BF172EC391F4}">
  <dimension ref="A3:B9"/>
  <sheetViews>
    <sheetView workbookViewId="0">
      <selection activeCell="K8" sqref="K8"/>
    </sheetView>
  </sheetViews>
  <sheetFormatPr defaultRowHeight="14.4" x14ac:dyDescent="0.3"/>
  <cols>
    <col min="1" max="1" width="12.5546875" bestFit="1" customWidth="1"/>
    <col min="2" max="2" width="22.88671875" bestFit="1" customWidth="1"/>
  </cols>
  <sheetData>
    <row r="3" spans="1:2" x14ac:dyDescent="0.3">
      <c r="A3" s="4" t="s">
        <v>37</v>
      </c>
      <c r="B3" t="s">
        <v>36</v>
      </c>
    </row>
    <row r="4" spans="1:2" x14ac:dyDescent="0.3">
      <c r="A4" s="5" t="s">
        <v>15</v>
      </c>
      <c r="B4" s="2">
        <v>13311909</v>
      </c>
    </row>
    <row r="5" spans="1:2" x14ac:dyDescent="0.3">
      <c r="A5" s="5" t="s">
        <v>21</v>
      </c>
      <c r="B5" s="2">
        <v>12044149</v>
      </c>
    </row>
    <row r="6" spans="1:2" x14ac:dyDescent="0.3">
      <c r="A6" s="5" t="s">
        <v>29</v>
      </c>
      <c r="B6" s="2">
        <v>11037181</v>
      </c>
    </row>
    <row r="7" spans="1:2" x14ac:dyDescent="0.3">
      <c r="A7" s="5" t="s">
        <v>24</v>
      </c>
      <c r="B7" s="2">
        <v>10427207</v>
      </c>
    </row>
    <row r="8" spans="1:2" x14ac:dyDescent="0.3">
      <c r="A8" s="5" t="s">
        <v>31</v>
      </c>
      <c r="B8" s="2">
        <v>8713973</v>
      </c>
    </row>
    <row r="9" spans="1:2" x14ac:dyDescent="0.3">
      <c r="A9" s="5" t="s">
        <v>38</v>
      </c>
      <c r="B9" s="2">
        <v>55534419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Coal Industry - Dataset</vt:lpstr>
      <vt:lpstr>Combo Chart</vt:lpstr>
      <vt:lpstr>Scatter Chart</vt:lpstr>
      <vt:lpstr>Bar Chart</vt:lpstr>
      <vt:lpstr>Pie Chart</vt:lpstr>
      <vt:lpstr>Line Chart</vt:lpstr>
      <vt:lpstr>Column Chart</vt:lpstr>
      <vt:lpstr>Yearly Trend of Maintenance Cos</vt:lpstr>
      <vt:lpstr>Revenue per Employee by Company</vt:lpstr>
      <vt:lpstr>Accidents by Company</vt:lpstr>
      <vt:lpstr>Total Production by Region</vt:lpstr>
      <vt:lpstr>Revenue by Company and Year</vt:lpstr>
      <vt:lpstr>Average CO₂ Emission per Mine</vt:lpstr>
      <vt:lpstr>Top 5 Mines by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2025-11-08T12:57:29Z</dcterms:modified>
</cp:coreProperties>
</file>