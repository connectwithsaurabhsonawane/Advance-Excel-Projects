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D:\PW DataAnalyticsFinalNotes\1 - Excel Final\Excel Projects\6) Pivot Table and Pivot Chart Projects\"/>
    </mc:Choice>
  </mc:AlternateContent>
  <xr:revisionPtr revIDLastSave="0" documentId="13_ncr:1_{A72DD48D-3815-4488-B87A-862B99D518C7}" xr6:coauthVersionLast="47" xr6:coauthVersionMax="47" xr10:uidLastSave="{00000000-0000-0000-0000-000000000000}"/>
  <bookViews>
    <workbookView xWindow="-108" yWindow="-108" windowWidth="23256" windowHeight="12456" firstSheet="7" activeTab="9" xr2:uid="{00000000-000D-0000-FFFF-FFFF00000000}"/>
  </bookViews>
  <sheets>
    <sheet name="Dataset - Energy Industry" sheetId="1" r:id="rId1"/>
    <sheet name="1) Total Revenue by Company" sheetId="2" r:id="rId2"/>
    <sheet name="2) Production vs Consumption" sheetId="3" r:id="rId3"/>
    <sheet name="3) Average Profit Margin " sheetId="4" r:id="rId4"/>
    <sheet name="4) Yearly Revenue Trend" sheetId="5" r:id="rId5"/>
    <sheet name="5) Top 5 States by Production" sheetId="6" r:id="rId6"/>
    <sheet name="6) Company-wise Growth %" sheetId="7" r:id="rId7"/>
    <sheet name="7) Carbon Emission by Energy " sheetId="8" r:id="rId8"/>
    <sheet name="8) Renewable vs Non-Renewable " sheetId="9" r:id="rId9"/>
    <sheet name="9) Average Revenue Employee" sheetId="10" r:id="rId10"/>
  </sheets>
  <calcPr calcId="191029"/>
  <pivotCaches>
    <pivotCache cacheId="30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</calcChain>
</file>

<file path=xl/sharedStrings.xml><?xml version="1.0" encoding="utf-8"?>
<sst xmlns="http://schemas.openxmlformats.org/spreadsheetml/2006/main" count="1593" uniqueCount="48">
  <si>
    <t>Year</t>
  </si>
  <si>
    <t>State</t>
  </si>
  <si>
    <t>Company</t>
  </si>
  <si>
    <t>Energy Type</t>
  </si>
  <si>
    <t>Production (GWh)</t>
  </si>
  <si>
    <t>Consumption (GWh)</t>
  </si>
  <si>
    <t>Revenue (Crore ₹)</t>
  </si>
  <si>
    <t>Employees</t>
  </si>
  <si>
    <t>Profit Margin %</t>
  </si>
  <si>
    <t>Growth %</t>
  </si>
  <si>
    <t>Exports (Crore ₹)</t>
  </si>
  <si>
    <t>Domestic Sales (Crore ₹)</t>
  </si>
  <si>
    <t>Carbon Emission (tons)</t>
  </si>
  <si>
    <t>Renewable Share %</t>
  </si>
  <si>
    <t>Karnataka</t>
  </si>
  <si>
    <t>Adani Power</t>
  </si>
  <si>
    <t>Nuclear</t>
  </si>
  <si>
    <t>Delhi</t>
  </si>
  <si>
    <t>Reliance Energy</t>
  </si>
  <si>
    <t>Gujarat</t>
  </si>
  <si>
    <t>Thermal</t>
  </si>
  <si>
    <t>NHPC</t>
  </si>
  <si>
    <t>Hydro</t>
  </si>
  <si>
    <t>Andhra Pradesh</t>
  </si>
  <si>
    <t>Suzlon Energy</t>
  </si>
  <si>
    <t>Wind</t>
  </si>
  <si>
    <t>JSW Energy</t>
  </si>
  <si>
    <t>Odisha</t>
  </si>
  <si>
    <t>Tata Power</t>
  </si>
  <si>
    <t>Maharashtra</t>
  </si>
  <si>
    <t>Rajasthan</t>
  </si>
  <si>
    <t>Tamil Nadu</t>
  </si>
  <si>
    <t>Solar</t>
  </si>
  <si>
    <t>NTPC</t>
  </si>
  <si>
    <t>BHEL</t>
  </si>
  <si>
    <t>Row Labels</t>
  </si>
  <si>
    <t>Grand Total</t>
  </si>
  <si>
    <t>Sum of Revenue (Crore ₹)</t>
  </si>
  <si>
    <t>Sum of Production (GWh)</t>
  </si>
  <si>
    <t>Sum of Consumption (GWh)</t>
  </si>
  <si>
    <t>Average of Profit Margin %</t>
  </si>
  <si>
    <t>Average of Growth %</t>
  </si>
  <si>
    <t>Average of Carbon Emission (tons)</t>
  </si>
  <si>
    <t>Renewable And Non-Renewable</t>
  </si>
  <si>
    <t>Non-Renewable</t>
  </si>
  <si>
    <t>Renewable</t>
  </si>
  <si>
    <t>Employee Revenue</t>
  </si>
  <si>
    <t>Average of Employee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</si>
</sst>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8" formatCode="_ [$₹-4009]\ * #,##0.00_ ;_ [$₹-4009]\ * \-#,##0.00_ ;_ [$₹-4009]\ * &quot;-&quot;??_ ;_ @_ "/>
    <numFmt numFmtId="176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8" fontId="0" fillId="0" borderId="0" xfId="0" applyNumberFormat="1"/>
    <xf numFmtId="2" fontId="0" fillId="0" borderId="0" xfId="0" applyNumberFormat="1"/>
    <xf numFmtId="44" fontId="0" fillId="0" borderId="0" xfId="0" applyNumberFormat="1"/>
    <xf numFmtId="176" fontId="0" fillId="0" borderId="0" xfId="0" applyNumberFormat="1"/>
  </cellXfs>
  <cellStyles count="1">
    <cellStyle name="Normal" xfId="0" builtinId="0"/>
  </cellStyles>
  <dxfs count="52">
    <dxf>
      <numFmt numFmtId="34" formatCode="_ &quot;₹&quot;\ * #,##0.00_ ;_ &quot;₹&quot;\ * \-#,##0.00_ ;_ &quot;₹&quot;\ * &quot;-&quot;??_ ;_ @_ "/>
    </dxf>
    <dxf>
      <numFmt numFmtId="176" formatCode="0.0"/>
    </dxf>
    <dxf>
      <numFmt numFmtId="176" formatCode="0.0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2" formatCode="0.00"/>
    </dxf>
    <dxf>
      <numFmt numFmtId="168" formatCode="_ [$₹-4009]\ * #,##0.00_ ;_ [$₹-4009]\ * \-#,##0.00_ ;_ [$₹-4009]\ * &quot;-&quot;??_ ;_ @_ "/>
    </dxf>
    <dxf>
      <numFmt numFmtId="176" formatCode="0.0"/>
    </dxf>
    <dxf>
      <numFmt numFmtId="34" formatCode="_ &quot;₹&quot;\ * #,##0.00_ ;_ &quot;₹&quot;\ * \-#,##0.00_ ;_ &quot;₹&quot;\ * &quot;-&quot;??_ ;_ @_ "/>
    </dxf>
    <dxf>
      <numFmt numFmtId="176" formatCode="0.0"/>
    </dxf>
    <dxf>
      <numFmt numFmtId="176" formatCode="0.0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2" formatCode="0.00"/>
    </dxf>
    <dxf>
      <numFmt numFmtId="168" formatCode="_ [$₹-4009]\ * #,##0.00_ ;_ [$₹-4009]\ * \-#,##0.00_ ;_ [$₹-4009]\ * &quot;-&quot;??_ ;_ @_ "/>
    </dxf>
    <dxf>
      <numFmt numFmtId="0" formatCode="General"/>
    </dxf>
    <dxf>
      <numFmt numFmtId="1" formatCode="0"/>
    </dxf>
    <dxf>
      <numFmt numFmtId="176" formatCode="0.0"/>
    </dxf>
    <dxf>
      <numFmt numFmtId="1" formatCode="0"/>
    </dxf>
    <dxf>
      <numFmt numFmtId="176" formatCode="0.0"/>
    </dxf>
    <dxf>
      <numFmt numFmtId="176" formatCode="0.0"/>
    </dxf>
    <dxf>
      <numFmt numFmtId="2" formatCode="0.00"/>
    </dxf>
    <dxf>
      <numFmt numFmtId="2" formatCode="0.00"/>
    </dxf>
    <dxf>
      <numFmt numFmtId="175" formatCode="0.000"/>
    </dxf>
    <dxf>
      <numFmt numFmtId="175" formatCode="0.000"/>
    </dxf>
    <dxf>
      <numFmt numFmtId="1" formatCode="0"/>
    </dxf>
    <dxf>
      <numFmt numFmtId="176" formatCode="0.0"/>
    </dxf>
    <dxf>
      <numFmt numFmtId="1" formatCode="0"/>
    </dxf>
    <dxf>
      <numFmt numFmtId="176" formatCode="0.0"/>
    </dxf>
    <dxf>
      <numFmt numFmtId="176" formatCode="0.0"/>
    </dxf>
    <dxf>
      <numFmt numFmtId="2" formatCode="0.00"/>
    </dxf>
    <dxf>
      <numFmt numFmtId="2" formatCode="0.00"/>
    </dxf>
    <dxf>
      <numFmt numFmtId="175" formatCode="0.000"/>
    </dxf>
    <dxf>
      <numFmt numFmtId="175" formatCode="0.000"/>
    </dxf>
    <dxf>
      <numFmt numFmtId="174" formatCode="0.0000"/>
    </dxf>
    <dxf>
      <numFmt numFmtId="174" formatCode="0.0000"/>
    </dxf>
    <dxf>
      <numFmt numFmtId="173" formatCode="0.00000"/>
    </dxf>
    <dxf>
      <numFmt numFmtId="173" formatCode="0.00000"/>
    </dxf>
    <dxf>
      <numFmt numFmtId="172" formatCode="0.000000"/>
    </dxf>
    <dxf>
      <numFmt numFmtId="172" formatCode="0.000000"/>
    </dxf>
    <dxf>
      <numFmt numFmtId="171" formatCode="0.0000000"/>
    </dxf>
    <dxf>
      <numFmt numFmtId="171" formatCode="0.0000000"/>
    </dxf>
    <dxf>
      <numFmt numFmtId="169" formatCode="0.00000000"/>
    </dxf>
    <dxf>
      <numFmt numFmtId="169" formatCode="0.00000000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2" formatCode="0.00"/>
    </dxf>
    <dxf>
      <numFmt numFmtId="168" formatCode="_ [$₹-4009]\ * #,##0.00_ ;_ [$₹-4009]\ * \-#,##0.00_ ;_ [$₹-4009]\ * &quot;-&quot;??_ ;_ @_ 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[2) Energy Industry - Pivot Tables and Pivot Chart.xlsx]1) Total Revenue by Company!PivotTable1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'1) Total Revenue by Company'!$B$2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'1) Total Revenue by Company'!$A$3:$A$11</c:f>
              <c:strCache>
                <c:ptCount val="8"/>
                <c:pt idx="0">
                  <c:v>Adani Power</c:v>
                </c:pt>
                <c:pt idx="1">
                  <c:v>BHEL</c:v>
                </c:pt>
                <c:pt idx="2">
                  <c:v>JSW Energy</c:v>
                </c:pt>
                <c:pt idx="3">
                  <c:v>NHPC</c:v>
                </c:pt>
                <c:pt idx="4">
                  <c:v>NTPC</c:v>
                </c:pt>
                <c:pt idx="5">
                  <c:v>Reliance Energy</c:v>
                </c:pt>
                <c:pt idx="6">
                  <c:v>Suzlon Energy</c:v>
                </c:pt>
                <c:pt idx="7">
                  <c:v>Tata Power</c:v>
                </c:pt>
              </c:strCache>
            </c:strRef>
          </c:cat>
          <c:val>
            <c:numRef>
              <c:f>'1) Total Revenue by Company'!$B$3:$B$11</c:f>
              <c:numCache>
                <c:formatCode>_ [$₹-4009]\ * #,##0.00_ ;_ [$₹-4009]\ * \-#,##0.00_ ;_ [$₹-4009]\ * "-"??_ ;_ @_ </c:formatCode>
                <c:ptCount val="8"/>
                <c:pt idx="0">
                  <c:v>9775347</c:v>
                </c:pt>
                <c:pt idx="1">
                  <c:v>10539413</c:v>
                </c:pt>
                <c:pt idx="2">
                  <c:v>10453195</c:v>
                </c:pt>
                <c:pt idx="3">
                  <c:v>9116177</c:v>
                </c:pt>
                <c:pt idx="4">
                  <c:v>8247429</c:v>
                </c:pt>
                <c:pt idx="5">
                  <c:v>9061483</c:v>
                </c:pt>
                <c:pt idx="6">
                  <c:v>8719261</c:v>
                </c:pt>
                <c:pt idx="7">
                  <c:v>7870211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51-4D2A-97A3-FDD2318DBEC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038798207"/>
        <c:axId val="548684975"/>
      </c:barChart>
      <c:catAx>
        <c:axId val="2038798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684975"/>
        <c:crosses val="autoZero"/>
        <c:auto val="1"/>
        <c:lblAlgn val="ctr"/>
        <c:lblOffset val="100"/>
        <c:noMultiLvlLbl val="0"/>
      </c:catAx>
      <c:valAx>
        <c:axId val="548684975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 [$₹-4009]\ * #,##0.00_ ;_ [$₹-4009]\ * \-#,##0.00_ ;_ [$₹-4009]\ * &quot;-&quot;??_ ;_ @_ " sourceLinked="1"/>
        <c:majorTickMark val="none"/>
        <c:minorTickMark val="none"/>
        <c:tickLblPos val="nextTo"/>
        <c:crossAx val="2038798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[2) Energy Industry - Pivot Tables and Pivot Chart.xlsx]2) Production vs Consumption!PivotTable2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'2) Production vs Consumption'!$B$2</c:f>
              <c:strCache>
                <c:ptCount val="1"/>
                <c:pt idx="0">
                  <c:v>Sum of Production (GWh)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'2) Production vs Consumption'!$A$3:$A$8</c:f>
              <c:strCache>
                <c:ptCount val="5"/>
                <c:pt idx="0">
                  <c:v>Hydro</c:v>
                </c:pt>
                <c:pt idx="1">
                  <c:v>Nuclear</c:v>
                </c:pt>
                <c:pt idx="2">
                  <c:v>Solar</c:v>
                </c:pt>
                <c:pt idx="3">
                  <c:v>Thermal</c:v>
                </c:pt>
                <c:pt idx="4">
                  <c:v>Wind</c:v>
                </c:pt>
              </c:strCache>
            </c:strRef>
          </c:cat>
          <c:val>
            <c:numRef>
              <c:f>'2) Production vs Consumption'!$B$3:$B$8</c:f>
              <c:numCache>
                <c:formatCode>General</c:formatCode>
                <c:ptCount val="5"/>
                <c:pt idx="0">
                  <c:v>10215945</c:v>
                </c:pt>
                <c:pt idx="1">
                  <c:v>10463965</c:v>
                </c:pt>
                <c:pt idx="2">
                  <c:v>9115738</c:v>
                </c:pt>
                <c:pt idx="3">
                  <c:v>9543961</c:v>
                </c:pt>
                <c:pt idx="4">
                  <c:v>11297466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1C-4E20-8E0E-9D88020ACCF7}"/>
            </c:ext>
          </c:extLst>
        </c:ser>
        <c:ser>
          <c:idx val="1"/>
          <c:order val="1"/>
          <c:tx>
            <c:strRef>
              <c:f>'2) Production vs Consumption'!$C$2</c:f>
              <c:strCache>
                <c:ptCount val="1"/>
                <c:pt idx="0">
                  <c:v>Sum of Consumption (GWh)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'2) Production vs Consumption'!$A$3:$A$8</c:f>
              <c:strCache>
                <c:ptCount val="5"/>
                <c:pt idx="0">
                  <c:v>Hydro</c:v>
                </c:pt>
                <c:pt idx="1">
                  <c:v>Nuclear</c:v>
                </c:pt>
                <c:pt idx="2">
                  <c:v>Solar</c:v>
                </c:pt>
                <c:pt idx="3">
                  <c:v>Thermal</c:v>
                </c:pt>
                <c:pt idx="4">
                  <c:v>Wind</c:v>
                </c:pt>
              </c:strCache>
            </c:strRef>
          </c:cat>
          <c:val>
            <c:numRef>
              <c:f>'2) Production vs Consumption'!$C$3:$C$8</c:f>
              <c:numCache>
                <c:formatCode>General</c:formatCode>
                <c:ptCount val="5"/>
                <c:pt idx="0">
                  <c:v>5385688</c:v>
                </c:pt>
                <c:pt idx="1">
                  <c:v>5603357</c:v>
                </c:pt>
                <c:pt idx="2">
                  <c:v>4400341</c:v>
                </c:pt>
                <c:pt idx="3">
                  <c:v>4956599</c:v>
                </c:pt>
                <c:pt idx="4">
                  <c:v>5338833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1C-4E20-8E0E-9D88020ACC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06127247"/>
        <c:axId val="506111887"/>
      </c:barChart>
      <c:catAx>
        <c:axId val="506127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111887"/>
        <c:crosses val="autoZero"/>
        <c:auto val="1"/>
        <c:lblAlgn val="ctr"/>
        <c:lblOffset val="100"/>
        <c:noMultiLvlLbl val="0"/>
      </c:catAx>
      <c:valAx>
        <c:axId val="506111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127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[2) Energy Industry - Pivot Tables and Pivot Chart.xlsx]3) Average Profit Margin 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Average Profit</a:t>
            </a:r>
            <a:r>
              <a:rPr lang="en-US" baseline="0"/>
              <a:t> Margin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'3) Average Profit Margin '!$B$2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'3) Average Profit Margin '!$A$3:$A$8</c:f>
              <c:strCache>
                <c:ptCount val="5"/>
                <c:pt idx="0">
                  <c:v>Hydro</c:v>
                </c:pt>
                <c:pt idx="1">
                  <c:v>Thermal</c:v>
                </c:pt>
                <c:pt idx="2">
                  <c:v>Nuclear</c:v>
                </c:pt>
                <c:pt idx="3">
                  <c:v>Wind</c:v>
                </c:pt>
                <c:pt idx="4">
                  <c:v>Solar</c:v>
                </c:pt>
              </c:strCache>
            </c:strRef>
          </c:cat>
          <c:val>
            <c:numRef>
              <c:f>'3) Average Profit Margin '!$B$3:$B$8</c:f>
              <c:numCache>
                <c:formatCode>0.00</c:formatCode>
                <c:ptCount val="5"/>
                <c:pt idx="0">
                  <c:v>14.160510204081639</c:v>
                </c:pt>
                <c:pt idx="1">
                  <c:v>13.754000000000003</c:v>
                </c:pt>
                <c:pt idx="2">
                  <c:v>13.472407407407408</c:v>
                </c:pt>
                <c:pt idx="3">
                  <c:v>13.151284403669729</c:v>
                </c:pt>
                <c:pt idx="4">
                  <c:v>13.001111111111115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68-487D-AEC8-99C06E90F9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506132047"/>
        <c:axId val="506133007"/>
      </c:barChart>
      <c:valAx>
        <c:axId val="506133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132047"/>
        <c:crossBetween val="between"/>
      </c:valAx>
      <c:catAx>
        <c:axId val="5061320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133007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[2) Energy Industry - Pivot Tables and Pivot Chart.xlsx]4) Yearly Revenue Trend!PivotTable4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'4) Yearly Revenue Trend'!$B$2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'4) Yearly Revenue Trend'!$A$3:$A$9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'4) Yearly Revenue Trend'!$B$3:$B$9</c:f>
              <c:numCache>
                <c:formatCode>_("₹"* #,##0.00_);_("₹"* \(#,##0.00\);_("₹"* "-"??_);_(@_)</c:formatCode>
                <c:ptCount val="6"/>
                <c:pt idx="0">
                  <c:v>13648873</c:v>
                </c:pt>
                <c:pt idx="1">
                  <c:v>9560785</c:v>
                </c:pt>
                <c:pt idx="2">
                  <c:v>12819314</c:v>
                </c:pt>
                <c:pt idx="3">
                  <c:v>14430391</c:v>
                </c:pt>
                <c:pt idx="4">
                  <c:v>11397476</c:v>
                </c:pt>
                <c:pt idx="5">
                  <c:v>11925677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53-4580-AEE6-08F0D69F41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8797727"/>
        <c:axId val="684226127"/>
      </c:lineChart>
      <c:catAx>
        <c:axId val="2038797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226127"/>
        <c:crosses val="autoZero"/>
        <c:auto val="1"/>
        <c:lblAlgn val="ctr"/>
        <c:lblOffset val="100"/>
        <c:noMultiLvlLbl val="0"/>
      </c:catAx>
      <c:valAx>
        <c:axId val="684226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8797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[2) Energy Industry - Pivot Tables and Pivot Chart.xlsx]5) Top 5 States by Production!PivotTable5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State wise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'5) Top 5 States by Production'!$B$2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'5) Top 5 States by Production'!$A$3:$A$11</c:f>
              <c:strCache>
                <c:ptCount val="8"/>
                <c:pt idx="0">
                  <c:v>Gujarat</c:v>
                </c:pt>
                <c:pt idx="1">
                  <c:v>Maharashtra</c:v>
                </c:pt>
                <c:pt idx="2">
                  <c:v>Delhi</c:v>
                </c:pt>
                <c:pt idx="3">
                  <c:v>Andhra Pradesh</c:v>
                </c:pt>
                <c:pt idx="4">
                  <c:v>Karnataka</c:v>
                </c:pt>
                <c:pt idx="5">
                  <c:v>Tamil Nadu</c:v>
                </c:pt>
                <c:pt idx="6">
                  <c:v>Odisha</c:v>
                </c:pt>
                <c:pt idx="7">
                  <c:v>Rajasthan</c:v>
                </c:pt>
              </c:strCache>
            </c:strRef>
          </c:cat>
          <c:val>
            <c:numRef>
              <c:f>'5) Top 5 States by Production'!$B$3:$B$11</c:f>
              <c:numCache>
                <c:formatCode>_("₹"* #,##0.00_);_("₹"* \(#,##0.00\);_("₹"* "-"??_);_(@_)</c:formatCode>
                <c:ptCount val="8"/>
                <c:pt idx="0">
                  <c:v>7548189</c:v>
                </c:pt>
                <c:pt idx="1">
                  <c:v>7062915</c:v>
                </c:pt>
                <c:pt idx="2">
                  <c:v>6507020</c:v>
                </c:pt>
                <c:pt idx="3">
                  <c:v>6499299</c:v>
                </c:pt>
                <c:pt idx="4">
                  <c:v>6039879</c:v>
                </c:pt>
                <c:pt idx="5">
                  <c:v>5917382</c:v>
                </c:pt>
                <c:pt idx="6">
                  <c:v>5876797</c:v>
                </c:pt>
                <c:pt idx="7">
                  <c:v>5185594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4C-4E33-9812-87053F29635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684228047"/>
        <c:axId val="684228527"/>
      </c:barChart>
      <c:catAx>
        <c:axId val="684228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228527"/>
        <c:crosses val="autoZero"/>
        <c:auto val="1"/>
        <c:lblAlgn val="ctr"/>
        <c:lblOffset val="100"/>
        <c:noMultiLvlLbl val="0"/>
      </c:catAx>
      <c:valAx>
        <c:axId val="68422852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crossAx val="684228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[2) Energy Industry - Pivot Tables and Pivot Chart.xlsx]6) Company-wise Growth %!PivotTable6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5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</a:ln>
          <a:effectLst>
            <a:glow rad="76200">
              <a:schemeClr val="accent1">
                <a:satMod val="175000"/>
                <a:alpha val="3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radarChart>
        <c:radarStyle val="marker"/>
        <c:varyColors val="0"/>
        <c:ser>
          <c:idx val="0"/>
          <c:order val="0"/>
          <c:tx>
            <c:strRef>
              <c:f>'6) Company-wise Growth %'!$B$2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'6) Company-wise Growth %'!$A$3:$A$11</c:f>
              <c:strCache>
                <c:ptCount val="8"/>
                <c:pt idx="0">
                  <c:v>Adani Power</c:v>
                </c:pt>
                <c:pt idx="1">
                  <c:v>BHEL</c:v>
                </c:pt>
                <c:pt idx="2">
                  <c:v>JSW Energy</c:v>
                </c:pt>
                <c:pt idx="3">
                  <c:v>NHPC</c:v>
                </c:pt>
                <c:pt idx="4">
                  <c:v>NTPC</c:v>
                </c:pt>
                <c:pt idx="5">
                  <c:v>Reliance Energy</c:v>
                </c:pt>
                <c:pt idx="6">
                  <c:v>Suzlon Energy</c:v>
                </c:pt>
                <c:pt idx="7">
                  <c:v>Tata Power</c:v>
                </c:pt>
              </c:strCache>
            </c:strRef>
          </c:cat>
          <c:val>
            <c:numRef>
              <c:f>'6) Company-wise Growth %'!$B$3:$B$11</c:f>
              <c:numCache>
                <c:formatCode>0.0</c:formatCode>
                <c:ptCount val="8"/>
                <c:pt idx="0">
                  <c:v>7.301323529411766</c:v>
                </c:pt>
                <c:pt idx="1">
                  <c:v>8.4028358208955218</c:v>
                </c:pt>
                <c:pt idx="2">
                  <c:v>8.4126086956521711</c:v>
                </c:pt>
                <c:pt idx="3">
                  <c:v>8.4987301587301616</c:v>
                </c:pt>
                <c:pt idx="4">
                  <c:v>7.793921568627451</c:v>
                </c:pt>
                <c:pt idx="5">
                  <c:v>9.5254687500000035</c:v>
                </c:pt>
                <c:pt idx="6">
                  <c:v>8.4909999999999997</c:v>
                </c:pt>
                <c:pt idx="7">
                  <c:v>7.9346551724137946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02-453B-BDBD-5468BE22E5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3508607"/>
        <c:axId val="693509087"/>
      </c:radarChart>
      <c:catAx>
        <c:axId val="693508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509087"/>
        <c:crosses val="autoZero"/>
        <c:auto val="1"/>
        <c:lblAlgn val="ctr"/>
        <c:lblOffset val="100"/>
        <c:noMultiLvlLbl val="0"/>
      </c:catAx>
      <c:valAx>
        <c:axId val="693509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508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[2) Energy Industry - Pivot Tables and Pivot Chart.xlsx]7) Carbon Emission by Energy 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'7) Carbon Emission by Energy '!$B$2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'7) Carbon Emission by Energy '!$A$3:$A$8</c:f>
              <c:strCache>
                <c:ptCount val="5"/>
                <c:pt idx="0">
                  <c:v>Hydro</c:v>
                </c:pt>
                <c:pt idx="1">
                  <c:v>Nuclear</c:v>
                </c:pt>
                <c:pt idx="2">
                  <c:v>Solar</c:v>
                </c:pt>
                <c:pt idx="3">
                  <c:v>Thermal</c:v>
                </c:pt>
                <c:pt idx="4">
                  <c:v>Wind</c:v>
                </c:pt>
              </c:strCache>
            </c:strRef>
          </c:cat>
          <c:val>
            <c:numRef>
              <c:f>'7) Carbon Emission by Energy '!$B$3:$B$8</c:f>
              <c:numCache>
                <c:formatCode>0.0</c:formatCode>
                <c:ptCount val="5"/>
                <c:pt idx="0">
                  <c:v>157773.4081632653</c:v>
                </c:pt>
                <c:pt idx="1">
                  <c:v>134132.02777777778</c:v>
                </c:pt>
                <c:pt idx="2">
                  <c:v>161902.83333333334</c:v>
                </c:pt>
                <c:pt idx="3">
                  <c:v>160579.63157894736</c:v>
                </c:pt>
                <c:pt idx="4">
                  <c:v>155142.97247706421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CE-47DF-97F2-F6702C6350D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[2) Energy Industry - Pivot Tables and Pivot Chart.xlsx]8) Renewable vs Non-Renewable 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'8) Renewable vs Non-Renewable '!$B$2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'8) Renewable vs Non-Renewable '!$A$3:$A$5</c:f>
              <c:strCache>
                <c:ptCount val="2"/>
                <c:pt idx="0">
                  <c:v>Non-Renewable</c:v>
                </c:pt>
                <c:pt idx="1">
                  <c:v>Renewable</c:v>
                </c:pt>
              </c:strCache>
            </c:strRef>
          </c:cat>
          <c:val>
            <c:numRef>
              <c:f>'8) Renewable vs Non-Renewable '!$B$3:$B$5</c:f>
              <c:numCache>
                <c:formatCode>_("₹"* #,##0.00_);_("₹"* \(#,##0.00\);_("₹"* "-"??_);_(@_)</c:formatCode>
                <c:ptCount val="2"/>
                <c:pt idx="0">
                  <c:v>43494640</c:v>
                </c:pt>
                <c:pt idx="1">
                  <c:v>30287876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5B-4152-A72F-CA3ECD22B8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[2) Energy Industry - Pivot Tables and Pivot Chart.xlsx]9) Average Revenue Employee!PivotTable9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'9) Average Revenue Employee'!$B$2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'9) Average Revenue Employee'!$A$3:$A$11</c:f>
              <c:strCache>
                <c:ptCount val="8"/>
                <c:pt idx="0">
                  <c:v>Adani Power</c:v>
                </c:pt>
                <c:pt idx="1">
                  <c:v>BHEL</c:v>
                </c:pt>
                <c:pt idx="2">
                  <c:v>JSW Energy</c:v>
                </c:pt>
                <c:pt idx="3">
                  <c:v>NHPC</c:v>
                </c:pt>
                <c:pt idx="4">
                  <c:v>NTPC</c:v>
                </c:pt>
                <c:pt idx="5">
                  <c:v>Reliance Energy</c:v>
                </c:pt>
                <c:pt idx="6">
                  <c:v>Suzlon Energy</c:v>
                </c:pt>
                <c:pt idx="7">
                  <c:v>Tata Power</c:v>
                </c:pt>
              </c:strCache>
            </c:strRef>
          </c:cat>
          <c:val>
            <c:numRef>
              <c:f>'9) Average Revenue Employee'!$B$3:$B$11</c:f>
              <c:numCache>
                <c:formatCode>0.0</c:formatCode>
                <c:ptCount val="8"/>
                <c:pt idx="0">
                  <c:v>47.959518271833687</c:v>
                </c:pt>
                <c:pt idx="1">
                  <c:v>45.603764390883427</c:v>
                </c:pt>
                <c:pt idx="2">
                  <c:v>46.634027531348877</c:v>
                </c:pt>
                <c:pt idx="3">
                  <c:v>41.121322916316274</c:v>
                </c:pt>
                <c:pt idx="4">
                  <c:v>57.879070452489827</c:v>
                </c:pt>
                <c:pt idx="5">
                  <c:v>52.506358838610581</c:v>
                </c:pt>
                <c:pt idx="6">
                  <c:v>47.127656928575909</c:v>
                </c:pt>
                <c:pt idx="7">
                  <c:v>38.259848323681311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CD-4A94-8BDA-C2FF2EC31F5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552021823"/>
        <c:axId val="552019423"/>
      </c:barChart>
      <c:catAx>
        <c:axId val="552021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019423"/>
        <c:crosses val="autoZero"/>
        <c:auto val="1"/>
        <c:lblAlgn val="ctr"/>
        <c:lblOffset val="100"/>
        <c:noMultiLvlLbl val="0"/>
      </c:catAx>
      <c:valAx>
        <c:axId val="552019423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552021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20</xdr:col>
      <xdr:colOff>15240</xdr:colOff>
      <xdr:row>26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9351BA-193D-8AFF-B749-FC11C1ED16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0</xdr:row>
      <xdr:rowOff>0</xdr:rowOff>
    </xdr:from>
    <xdr:to>
      <xdr:col>18</xdr:col>
      <xdr:colOff>579120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BB4851-AFAD-634C-7627-63B89D50D5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21</xdr:col>
      <xdr:colOff>0</xdr:colOff>
      <xdr:row>21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6B1F03-8C1E-4BED-2AA0-9D4595CE00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0</xdr:row>
      <xdr:rowOff>0</xdr:rowOff>
    </xdr:from>
    <xdr:to>
      <xdr:col>21</xdr:col>
      <xdr:colOff>7620</xdr:colOff>
      <xdr:row>26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9560C1-5490-95CF-A693-DBC1291312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21</xdr:col>
      <xdr:colOff>0</xdr:colOff>
      <xdr:row>24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63B405-938D-73CE-F8EF-2AC9484B21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0</xdr:row>
      <xdr:rowOff>0</xdr:rowOff>
    </xdr:from>
    <xdr:to>
      <xdr:col>20</xdr:col>
      <xdr:colOff>586740</xdr:colOff>
      <xdr:row>26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813539-918A-D3C8-DBDE-B1D7516B6A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182880</xdr:colOff>
      <xdr:row>0</xdr:row>
      <xdr:rowOff>0</xdr:rowOff>
    </xdr:from>
    <xdr:to>
      <xdr:col>19</xdr:col>
      <xdr:colOff>586740</xdr:colOff>
      <xdr:row>26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048ABD-4BF5-DA0A-6064-3906A22F89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0</xdr:row>
      <xdr:rowOff>0</xdr:rowOff>
    </xdr:from>
    <xdr:to>
      <xdr:col>23</xdr:col>
      <xdr:colOff>0</xdr:colOff>
      <xdr:row>25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38A43C-08BA-0E0D-113A-9B61B8CF1B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0</xdr:row>
      <xdr:rowOff>0</xdr:rowOff>
    </xdr:from>
    <xdr:to>
      <xdr:col>20</xdr:col>
      <xdr:colOff>15240</xdr:colOff>
      <xdr:row>26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5CD0B3-290F-9C96-A36A-39F78BD9BC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5967.507598379627" createdVersion="8" refreshedVersion="8" minRefreshableVersion="3" recordCount="500" xr:uid="{CEAB8F7B-7976-4674-A159-678F2DBED992}">
  <cacheSource type="worksheet">
    <worksheetSource name="Table1"/>
  </cacheSource>
  <cacheFields count="16">
    <cacheField name="Year" numFmtId="0">
      <sharedItems containsSemiMixedTypes="0" containsString="0" containsNumber="1" containsInteger="1" minValue="2020" maxValue="2025" count="6">
        <n v="2020"/>
        <n v="2022"/>
        <n v="2021"/>
        <n v="2025"/>
        <n v="2024"/>
        <n v="2023"/>
      </sharedItems>
    </cacheField>
    <cacheField name="State" numFmtId="0">
      <sharedItems count="8">
        <s v="Karnataka"/>
        <s v="Delhi"/>
        <s v="Gujarat"/>
        <s v="Andhra Pradesh"/>
        <s v="Odisha"/>
        <s v="Maharashtra"/>
        <s v="Rajasthan"/>
        <s v="Tamil Nadu"/>
      </sharedItems>
    </cacheField>
    <cacheField name="Company" numFmtId="0">
      <sharedItems count="8">
        <s v="Adani Power"/>
        <s v="Reliance Energy"/>
        <s v="NHPC"/>
        <s v="Suzlon Energy"/>
        <s v="JSW Energy"/>
        <s v="Tata Power"/>
        <s v="NTPC"/>
        <s v="BHEL"/>
      </sharedItems>
    </cacheField>
    <cacheField name="Energy Type" numFmtId="0">
      <sharedItems count="5">
        <s v="Nuclear"/>
        <s v="Thermal"/>
        <s v="Hydro"/>
        <s v="Wind"/>
        <s v="Solar"/>
      </sharedItems>
    </cacheField>
    <cacheField name="Renewable And Non-Renewable" numFmtId="0">
      <sharedItems count="2">
        <s v="Non-Renewable"/>
        <s v="Renewable"/>
      </sharedItems>
    </cacheField>
    <cacheField name="Production (GWh)" numFmtId="0">
      <sharedItems containsSemiMixedTypes="0" containsString="0" containsNumber="1" containsInteger="1" minValue="2542" maxValue="199565"/>
    </cacheField>
    <cacheField name="Consumption (GWh)" numFmtId="0">
      <sharedItems containsSemiMixedTypes="0" containsString="0" containsNumber="1" containsInteger="1" minValue="1077" maxValue="180437"/>
    </cacheField>
    <cacheField name="Revenue (Crore ₹)" numFmtId="0">
      <sharedItems containsSemiMixedTypes="0" containsString="0" containsNumber="1" containsInteger="1" minValue="2889" maxValue="299719"/>
    </cacheField>
    <cacheField name="Employees" numFmtId="0">
      <sharedItems containsSemiMixedTypes="0" containsString="0" containsNumber="1" containsInteger="1" minValue="523" maxValue="9998"/>
    </cacheField>
    <cacheField name="Employee Revenue" numFmtId="176">
      <sharedItems containsSemiMixedTypes="0" containsString="0" containsNumber="1" minValue="0.36389973548305832" maxValue="499.10437710437708"/>
    </cacheField>
    <cacheField name="Profit Margin %" numFmtId="0">
      <sharedItems containsSemiMixedTypes="0" containsString="0" containsNumber="1" minValue="2.0499999999999998" maxValue="24.93"/>
    </cacheField>
    <cacheField name="Growth %" numFmtId="0">
      <sharedItems containsSemiMixedTypes="0" containsString="0" containsNumber="1" minValue="1.01" maxValue="14.98"/>
    </cacheField>
    <cacheField name="Exports (Crore ₹)" numFmtId="0">
      <sharedItems containsSemiMixedTypes="0" containsString="0" containsNumber="1" containsInteger="1" minValue="188" maxValue="49960"/>
    </cacheField>
    <cacheField name="Domestic Sales (Crore ₹)" numFmtId="0">
      <sharedItems containsSemiMixedTypes="0" containsString="0" containsNumber="1" containsInteger="1" minValue="-38471" maxValue="295029"/>
    </cacheField>
    <cacheField name="Carbon Emission (tons)" numFmtId="0">
      <sharedItems containsSemiMixedTypes="0" containsString="0" containsNumber="1" containsInteger="1" minValue="10168" maxValue="299687"/>
    </cacheField>
    <cacheField name="Renewable Share %" numFmtId="0">
      <sharedItems containsSemiMixedTypes="0" containsString="0" containsNumber="1" minValue="5.17" maxValue="79.90000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x v="0"/>
    <x v="0"/>
    <x v="0"/>
    <x v="0"/>
    <n v="99321"/>
    <n v="62342"/>
    <n v="196839"/>
    <n v="9000"/>
    <n v="21.870999999999999"/>
    <n v="2.88"/>
    <n v="4.17"/>
    <n v="38334"/>
    <n v="158505"/>
    <n v="34240"/>
    <n v="53.31"/>
  </r>
  <r>
    <x v="1"/>
    <x v="1"/>
    <x v="1"/>
    <x v="0"/>
    <x v="0"/>
    <n v="131000"/>
    <n v="70653"/>
    <n v="50889"/>
    <n v="9695"/>
    <n v="5.2489943269726664"/>
    <n v="19.559999999999999"/>
    <n v="7.62"/>
    <n v="22889"/>
    <n v="28000"/>
    <n v="44245"/>
    <n v="47.72"/>
  </r>
  <r>
    <x v="2"/>
    <x v="2"/>
    <x v="0"/>
    <x v="1"/>
    <x v="0"/>
    <n v="19672"/>
    <n v="12780"/>
    <n v="165338"/>
    <n v="4549"/>
    <n v="36.346010112112552"/>
    <n v="2.19"/>
    <n v="9.93"/>
    <n v="15081"/>
    <n v="150257"/>
    <n v="80834"/>
    <n v="66.66"/>
  </r>
  <r>
    <x v="3"/>
    <x v="1"/>
    <x v="2"/>
    <x v="2"/>
    <x v="0"/>
    <n v="99342"/>
    <n v="76219"/>
    <n v="144147"/>
    <n v="531"/>
    <n v="271.46327683615817"/>
    <n v="5.89"/>
    <n v="13.87"/>
    <n v="4635"/>
    <n v="139512"/>
    <n v="49737"/>
    <n v="35.28"/>
  </r>
  <r>
    <x v="4"/>
    <x v="3"/>
    <x v="3"/>
    <x v="2"/>
    <x v="0"/>
    <n v="163958"/>
    <n v="88464"/>
    <n v="192799"/>
    <n v="3146"/>
    <n v="61.283852511125239"/>
    <n v="13.69"/>
    <n v="12.42"/>
    <n v="44747"/>
    <n v="148052"/>
    <n v="36405"/>
    <n v="71.67"/>
  </r>
  <r>
    <x v="3"/>
    <x v="0"/>
    <x v="1"/>
    <x v="2"/>
    <x v="0"/>
    <n v="61729"/>
    <n v="8475"/>
    <n v="268014"/>
    <n v="7874"/>
    <n v="34.037846075692151"/>
    <n v="7.33"/>
    <n v="12.42"/>
    <n v="30105"/>
    <n v="237909"/>
    <n v="64443"/>
    <n v="31.62"/>
  </r>
  <r>
    <x v="3"/>
    <x v="3"/>
    <x v="2"/>
    <x v="0"/>
    <x v="0"/>
    <n v="80828"/>
    <n v="21848"/>
    <n v="66372"/>
    <n v="3627"/>
    <n v="18.299421009098428"/>
    <n v="17.64"/>
    <n v="1.88"/>
    <n v="41168"/>
    <n v="25204"/>
    <n v="46105"/>
    <n v="48.63"/>
  </r>
  <r>
    <x v="4"/>
    <x v="0"/>
    <x v="1"/>
    <x v="3"/>
    <x v="1"/>
    <n v="194958"/>
    <n v="15845"/>
    <n v="169525"/>
    <n v="9203"/>
    <n v="18.420623709659893"/>
    <n v="9.19"/>
    <n v="11.82"/>
    <n v="11582"/>
    <n v="157943"/>
    <n v="135651"/>
    <n v="51"/>
  </r>
  <r>
    <x v="4"/>
    <x v="3"/>
    <x v="4"/>
    <x v="0"/>
    <x v="0"/>
    <n v="99828"/>
    <n v="93993"/>
    <n v="91708"/>
    <n v="9099"/>
    <n v="10.078909770304429"/>
    <n v="18.989999999999998"/>
    <n v="6.53"/>
    <n v="42517"/>
    <n v="49191"/>
    <n v="52958"/>
    <n v="61.3"/>
  </r>
  <r>
    <x v="4"/>
    <x v="3"/>
    <x v="2"/>
    <x v="1"/>
    <x v="0"/>
    <n v="72087"/>
    <n v="56422"/>
    <n v="68449"/>
    <n v="6934"/>
    <n v="9.8715027401211426"/>
    <n v="14.34"/>
    <n v="9.1999999999999993"/>
    <n v="265"/>
    <n v="68184"/>
    <n v="225334"/>
    <n v="51.53"/>
  </r>
  <r>
    <x v="0"/>
    <x v="4"/>
    <x v="0"/>
    <x v="2"/>
    <x v="0"/>
    <n v="114068"/>
    <n v="99511"/>
    <n v="22330"/>
    <n v="5884"/>
    <n v="3.7950373895309313"/>
    <n v="7.09"/>
    <n v="11.89"/>
    <n v="13281"/>
    <n v="9049"/>
    <n v="265387"/>
    <n v="28.56"/>
  </r>
  <r>
    <x v="2"/>
    <x v="4"/>
    <x v="5"/>
    <x v="2"/>
    <x v="0"/>
    <n v="58701"/>
    <n v="33725"/>
    <n v="111078"/>
    <n v="8149"/>
    <n v="13.630874953982083"/>
    <n v="9.59"/>
    <n v="14.75"/>
    <n v="27438"/>
    <n v="83640"/>
    <n v="150398"/>
    <n v="22.94"/>
  </r>
  <r>
    <x v="4"/>
    <x v="4"/>
    <x v="0"/>
    <x v="0"/>
    <x v="0"/>
    <n v="19070"/>
    <n v="9236"/>
    <n v="67574"/>
    <n v="4651"/>
    <n v="14.528918512147925"/>
    <n v="9.93"/>
    <n v="13.12"/>
    <n v="41668"/>
    <n v="25906"/>
    <n v="16739"/>
    <n v="64.040000000000006"/>
  </r>
  <r>
    <x v="1"/>
    <x v="0"/>
    <x v="2"/>
    <x v="0"/>
    <x v="0"/>
    <n v="75740"/>
    <n v="73272"/>
    <n v="177490"/>
    <n v="7113"/>
    <n v="24.952903135104737"/>
    <n v="15.18"/>
    <n v="14.94"/>
    <n v="44145"/>
    <n v="133345"/>
    <n v="16086"/>
    <n v="34.25"/>
  </r>
  <r>
    <x v="2"/>
    <x v="1"/>
    <x v="0"/>
    <x v="0"/>
    <x v="0"/>
    <n v="144278"/>
    <n v="128700"/>
    <n v="54845"/>
    <n v="8298"/>
    <n v="6.6094239575801401"/>
    <n v="11.81"/>
    <n v="3.19"/>
    <n v="47847"/>
    <n v="6998"/>
    <n v="38173"/>
    <n v="50.75"/>
  </r>
  <r>
    <x v="0"/>
    <x v="5"/>
    <x v="4"/>
    <x v="0"/>
    <x v="0"/>
    <n v="63225"/>
    <n v="29998"/>
    <n v="266353"/>
    <n v="3887"/>
    <n v="68.524054540776945"/>
    <n v="24.02"/>
    <n v="2.77"/>
    <n v="9073"/>
    <n v="257280"/>
    <n v="62535"/>
    <n v="18.86"/>
  </r>
  <r>
    <x v="3"/>
    <x v="1"/>
    <x v="4"/>
    <x v="0"/>
    <x v="0"/>
    <n v="24676"/>
    <n v="19067"/>
    <n v="51716"/>
    <n v="5887"/>
    <n v="8.784780023781213"/>
    <n v="4.8899999999999997"/>
    <n v="9.09"/>
    <n v="44363"/>
    <n v="7353"/>
    <n v="141564"/>
    <n v="41.29"/>
  </r>
  <r>
    <x v="5"/>
    <x v="6"/>
    <x v="0"/>
    <x v="3"/>
    <x v="1"/>
    <n v="180841"/>
    <n v="3885"/>
    <n v="266225"/>
    <n v="5561"/>
    <n v="47.873583887789962"/>
    <n v="14.4"/>
    <n v="3.66"/>
    <n v="34501"/>
    <n v="231724"/>
    <n v="280063"/>
    <n v="52.52"/>
  </r>
  <r>
    <x v="0"/>
    <x v="1"/>
    <x v="4"/>
    <x v="2"/>
    <x v="0"/>
    <n v="85898"/>
    <n v="80164"/>
    <n v="227794"/>
    <n v="4571"/>
    <n v="49.834609494640119"/>
    <n v="17.63"/>
    <n v="2.82"/>
    <n v="19729"/>
    <n v="208065"/>
    <n v="268210"/>
    <n v="35.85"/>
  </r>
  <r>
    <x v="1"/>
    <x v="0"/>
    <x v="0"/>
    <x v="0"/>
    <x v="0"/>
    <n v="17188"/>
    <n v="1294"/>
    <n v="163224"/>
    <n v="9879"/>
    <n v="16.522320072881872"/>
    <n v="3.65"/>
    <n v="7.97"/>
    <n v="1651"/>
    <n v="161573"/>
    <n v="26353"/>
    <n v="17.11"/>
  </r>
  <r>
    <x v="4"/>
    <x v="1"/>
    <x v="1"/>
    <x v="3"/>
    <x v="1"/>
    <n v="180738"/>
    <n v="42046"/>
    <n v="127738"/>
    <n v="8211"/>
    <n v="15.556935817805384"/>
    <n v="13.31"/>
    <n v="10.51"/>
    <n v="2742"/>
    <n v="124996"/>
    <n v="299613"/>
    <n v="20.02"/>
  </r>
  <r>
    <x v="4"/>
    <x v="2"/>
    <x v="3"/>
    <x v="3"/>
    <x v="1"/>
    <n v="58772"/>
    <n v="52856"/>
    <n v="105204"/>
    <n v="857"/>
    <n v="122.75845974329054"/>
    <n v="8.23"/>
    <n v="13.47"/>
    <n v="38433"/>
    <n v="66771"/>
    <n v="126909"/>
    <n v="67.94"/>
  </r>
  <r>
    <x v="0"/>
    <x v="2"/>
    <x v="4"/>
    <x v="3"/>
    <x v="1"/>
    <n v="94472"/>
    <n v="44765"/>
    <n v="229756"/>
    <n v="4267"/>
    <n v="53.844855870635108"/>
    <n v="3.99"/>
    <n v="12.1"/>
    <n v="45776"/>
    <n v="183980"/>
    <n v="207085"/>
    <n v="44.19"/>
  </r>
  <r>
    <x v="1"/>
    <x v="6"/>
    <x v="1"/>
    <x v="1"/>
    <x v="0"/>
    <n v="72118"/>
    <n v="1714"/>
    <n v="112997"/>
    <n v="9222"/>
    <n v="12.252981999566254"/>
    <n v="12.93"/>
    <n v="8.51"/>
    <n v="5136"/>
    <n v="107861"/>
    <n v="180419"/>
    <n v="42.94"/>
  </r>
  <r>
    <x v="2"/>
    <x v="7"/>
    <x v="2"/>
    <x v="1"/>
    <x v="0"/>
    <n v="111636"/>
    <n v="85546"/>
    <n v="77227"/>
    <n v="8730"/>
    <n v="8.8461626575028642"/>
    <n v="18.41"/>
    <n v="14.16"/>
    <n v="22353"/>
    <n v="54874"/>
    <n v="284337"/>
    <n v="61.01"/>
  </r>
  <r>
    <x v="5"/>
    <x v="4"/>
    <x v="0"/>
    <x v="2"/>
    <x v="0"/>
    <n v="159390"/>
    <n v="65368"/>
    <n v="25999"/>
    <n v="4834"/>
    <n v="5.3783616052958214"/>
    <n v="16.75"/>
    <n v="6.09"/>
    <n v="17086"/>
    <n v="8913"/>
    <n v="294507"/>
    <n v="72.989999999999995"/>
  </r>
  <r>
    <x v="1"/>
    <x v="7"/>
    <x v="1"/>
    <x v="1"/>
    <x v="0"/>
    <n v="45474"/>
    <n v="42798"/>
    <n v="220160"/>
    <n v="5924"/>
    <n v="37.164078325455776"/>
    <n v="5.65"/>
    <n v="13.98"/>
    <n v="25082"/>
    <n v="195078"/>
    <n v="214124"/>
    <n v="23.6"/>
  </r>
  <r>
    <x v="2"/>
    <x v="6"/>
    <x v="3"/>
    <x v="4"/>
    <x v="1"/>
    <n v="91676"/>
    <n v="19685"/>
    <n v="129651"/>
    <n v="6461"/>
    <n v="20.066707939947378"/>
    <n v="21.86"/>
    <n v="5.04"/>
    <n v="11649"/>
    <n v="118002"/>
    <n v="131163"/>
    <n v="71.17"/>
  </r>
  <r>
    <x v="0"/>
    <x v="3"/>
    <x v="6"/>
    <x v="2"/>
    <x v="0"/>
    <n v="4340"/>
    <n v="1656"/>
    <n v="184061"/>
    <n v="4843"/>
    <n v="38.005575056782988"/>
    <n v="19.63"/>
    <n v="11.13"/>
    <n v="49528"/>
    <n v="134533"/>
    <n v="152868"/>
    <n v="49.14"/>
  </r>
  <r>
    <x v="5"/>
    <x v="3"/>
    <x v="3"/>
    <x v="2"/>
    <x v="0"/>
    <n v="148591"/>
    <n v="54880"/>
    <n v="236780"/>
    <n v="5485"/>
    <n v="43.168641750227891"/>
    <n v="24.73"/>
    <n v="6.89"/>
    <n v="7027"/>
    <n v="229753"/>
    <n v="90720"/>
    <n v="14.24"/>
  </r>
  <r>
    <x v="0"/>
    <x v="7"/>
    <x v="3"/>
    <x v="0"/>
    <x v="0"/>
    <n v="70488"/>
    <n v="69962"/>
    <n v="62673"/>
    <n v="7662"/>
    <n v="8.1797180892717307"/>
    <n v="8.9700000000000006"/>
    <n v="3.16"/>
    <n v="47384"/>
    <n v="15289"/>
    <n v="29200"/>
    <n v="36.14"/>
  </r>
  <r>
    <x v="1"/>
    <x v="7"/>
    <x v="1"/>
    <x v="0"/>
    <x v="0"/>
    <n v="30382"/>
    <n v="9381"/>
    <n v="4541"/>
    <n v="3967"/>
    <n v="1.1446937232165364"/>
    <n v="20.36"/>
    <n v="13.63"/>
    <n v="15779"/>
    <n v="-11238"/>
    <n v="85271"/>
    <n v="6.92"/>
  </r>
  <r>
    <x v="4"/>
    <x v="4"/>
    <x v="5"/>
    <x v="0"/>
    <x v="0"/>
    <n v="171340"/>
    <n v="97676"/>
    <n v="258153"/>
    <n v="6266"/>
    <n v="41.199010533035427"/>
    <n v="13.19"/>
    <n v="11.04"/>
    <n v="37809"/>
    <n v="220344"/>
    <n v="270779"/>
    <n v="70.150000000000006"/>
  </r>
  <r>
    <x v="1"/>
    <x v="3"/>
    <x v="4"/>
    <x v="1"/>
    <x v="0"/>
    <n v="95669"/>
    <n v="70350"/>
    <n v="99877"/>
    <n v="3580"/>
    <n v="27.898603351955309"/>
    <n v="13.42"/>
    <n v="10.34"/>
    <n v="9989"/>
    <n v="89888"/>
    <n v="167431"/>
    <n v="40.94"/>
  </r>
  <r>
    <x v="1"/>
    <x v="3"/>
    <x v="6"/>
    <x v="1"/>
    <x v="0"/>
    <n v="143755"/>
    <n v="90459"/>
    <n v="237617"/>
    <n v="7829"/>
    <n v="30.350874952101162"/>
    <n v="8.7799999999999994"/>
    <n v="3.42"/>
    <n v="24563"/>
    <n v="213054"/>
    <n v="206327"/>
    <n v="75.17"/>
  </r>
  <r>
    <x v="4"/>
    <x v="4"/>
    <x v="3"/>
    <x v="4"/>
    <x v="1"/>
    <n v="28090"/>
    <n v="12175"/>
    <n v="221917"/>
    <n v="9998"/>
    <n v="22.19613922784557"/>
    <n v="6.44"/>
    <n v="4.99"/>
    <n v="39431"/>
    <n v="182486"/>
    <n v="180729"/>
    <n v="64.33"/>
  </r>
  <r>
    <x v="3"/>
    <x v="7"/>
    <x v="2"/>
    <x v="4"/>
    <x v="1"/>
    <n v="170992"/>
    <n v="77445"/>
    <n v="122589"/>
    <n v="9711"/>
    <n v="12.623725671918443"/>
    <n v="22.67"/>
    <n v="5.27"/>
    <n v="17034"/>
    <n v="105555"/>
    <n v="30782"/>
    <n v="75.83"/>
  </r>
  <r>
    <x v="2"/>
    <x v="6"/>
    <x v="7"/>
    <x v="2"/>
    <x v="0"/>
    <n v="37489"/>
    <n v="28427"/>
    <n v="125436"/>
    <n v="6491"/>
    <n v="19.324603296872592"/>
    <n v="4.01"/>
    <n v="9.4700000000000006"/>
    <n v="42679"/>
    <n v="82757"/>
    <n v="202597"/>
    <n v="70.48"/>
  </r>
  <r>
    <x v="2"/>
    <x v="3"/>
    <x v="4"/>
    <x v="3"/>
    <x v="1"/>
    <n v="87594"/>
    <n v="35716"/>
    <n v="88118"/>
    <n v="3541"/>
    <n v="24.885060717311493"/>
    <n v="4.6100000000000003"/>
    <n v="8.5"/>
    <n v="11223"/>
    <n v="76895"/>
    <n v="228817"/>
    <n v="50.24"/>
  </r>
  <r>
    <x v="5"/>
    <x v="0"/>
    <x v="5"/>
    <x v="4"/>
    <x v="1"/>
    <n v="199490"/>
    <n v="110501"/>
    <n v="6720"/>
    <n v="1772"/>
    <n v="3.7923250564334086"/>
    <n v="17.98"/>
    <n v="13.66"/>
    <n v="14752"/>
    <n v="-8032"/>
    <n v="169695"/>
    <n v="16.3"/>
  </r>
  <r>
    <x v="4"/>
    <x v="7"/>
    <x v="5"/>
    <x v="3"/>
    <x v="1"/>
    <n v="33117"/>
    <n v="8618"/>
    <n v="23725"/>
    <n v="6025"/>
    <n v="3.9377593360995853"/>
    <n v="23.12"/>
    <n v="10.210000000000001"/>
    <n v="20347"/>
    <n v="3378"/>
    <n v="187236"/>
    <n v="13.31"/>
  </r>
  <r>
    <x v="0"/>
    <x v="3"/>
    <x v="5"/>
    <x v="3"/>
    <x v="1"/>
    <n v="131816"/>
    <n v="44137"/>
    <n v="135346"/>
    <n v="2813"/>
    <n v="48.11446853892641"/>
    <n v="16.829999999999998"/>
    <n v="5.29"/>
    <n v="21496"/>
    <n v="113850"/>
    <n v="36950"/>
    <n v="10.79"/>
  </r>
  <r>
    <x v="1"/>
    <x v="1"/>
    <x v="3"/>
    <x v="1"/>
    <x v="0"/>
    <n v="56527"/>
    <n v="37087"/>
    <n v="11441"/>
    <n v="5509"/>
    <n v="2.0767834452713743"/>
    <n v="10.93"/>
    <n v="11.11"/>
    <n v="38420"/>
    <n v="-26979"/>
    <n v="11778"/>
    <n v="63.25"/>
  </r>
  <r>
    <x v="4"/>
    <x v="2"/>
    <x v="4"/>
    <x v="3"/>
    <x v="1"/>
    <n v="47677"/>
    <n v="29780"/>
    <n v="60586"/>
    <n v="904"/>
    <n v="67.019911504424783"/>
    <n v="20.92"/>
    <n v="7.55"/>
    <n v="45626"/>
    <n v="14960"/>
    <n v="39016"/>
    <n v="54.56"/>
  </r>
  <r>
    <x v="1"/>
    <x v="7"/>
    <x v="0"/>
    <x v="4"/>
    <x v="1"/>
    <n v="95824"/>
    <n v="80767"/>
    <n v="248600"/>
    <n v="7618"/>
    <n v="32.633237070097138"/>
    <n v="3.57"/>
    <n v="3.66"/>
    <n v="32263"/>
    <n v="216337"/>
    <n v="78661"/>
    <n v="46.36"/>
  </r>
  <r>
    <x v="5"/>
    <x v="4"/>
    <x v="4"/>
    <x v="3"/>
    <x v="1"/>
    <n v="128947"/>
    <n v="16071"/>
    <n v="7529"/>
    <n v="5365"/>
    <n v="1.4033550792171481"/>
    <n v="15.81"/>
    <n v="14.67"/>
    <n v="1781"/>
    <n v="5748"/>
    <n v="71082"/>
    <n v="63.06"/>
  </r>
  <r>
    <x v="3"/>
    <x v="5"/>
    <x v="7"/>
    <x v="3"/>
    <x v="1"/>
    <n v="34921"/>
    <n v="29089"/>
    <n v="88647"/>
    <n v="6655"/>
    <n v="13.320360631104434"/>
    <n v="11.48"/>
    <n v="2.2599999999999998"/>
    <n v="49244"/>
    <n v="39403"/>
    <n v="46688"/>
    <n v="73.569999999999993"/>
  </r>
  <r>
    <x v="5"/>
    <x v="7"/>
    <x v="3"/>
    <x v="1"/>
    <x v="0"/>
    <n v="140975"/>
    <n v="1684"/>
    <n v="246683"/>
    <n v="4584"/>
    <n v="53.813917975567193"/>
    <n v="23.96"/>
    <n v="1.64"/>
    <n v="39647"/>
    <n v="207036"/>
    <n v="101966"/>
    <n v="13.62"/>
  </r>
  <r>
    <x v="5"/>
    <x v="7"/>
    <x v="0"/>
    <x v="1"/>
    <x v="0"/>
    <n v="53427"/>
    <n v="36320"/>
    <n v="177230"/>
    <n v="9596"/>
    <n v="18.469153814089204"/>
    <n v="17.93"/>
    <n v="1.1499999999999999"/>
    <n v="2276"/>
    <n v="174954"/>
    <n v="115651"/>
    <n v="41.49"/>
  </r>
  <r>
    <x v="0"/>
    <x v="4"/>
    <x v="2"/>
    <x v="1"/>
    <x v="0"/>
    <n v="50978"/>
    <n v="20003"/>
    <n v="16013"/>
    <n v="4081"/>
    <n v="3.9237931879441312"/>
    <n v="23.11"/>
    <n v="1.99"/>
    <n v="1362"/>
    <n v="14651"/>
    <n v="87165"/>
    <n v="69.27"/>
  </r>
  <r>
    <x v="3"/>
    <x v="2"/>
    <x v="1"/>
    <x v="1"/>
    <x v="0"/>
    <n v="155231"/>
    <n v="63872"/>
    <n v="24363"/>
    <n v="9795"/>
    <n v="2.4872894333843796"/>
    <n v="9.18"/>
    <n v="2.4300000000000002"/>
    <n v="45760"/>
    <n v="-21397"/>
    <n v="190907"/>
    <n v="78.47"/>
  </r>
  <r>
    <x v="2"/>
    <x v="1"/>
    <x v="5"/>
    <x v="3"/>
    <x v="1"/>
    <n v="154414"/>
    <n v="149775"/>
    <n v="84298"/>
    <n v="5533"/>
    <n v="15.235496114223748"/>
    <n v="10.44"/>
    <n v="11.2"/>
    <n v="5820"/>
    <n v="78478"/>
    <n v="257354"/>
    <n v="7.45"/>
  </r>
  <r>
    <x v="5"/>
    <x v="0"/>
    <x v="3"/>
    <x v="4"/>
    <x v="1"/>
    <n v="72018"/>
    <n v="20604"/>
    <n v="268561"/>
    <n v="6566"/>
    <n v="40.901766676819982"/>
    <n v="17.02"/>
    <n v="7.48"/>
    <n v="33753"/>
    <n v="234808"/>
    <n v="251459"/>
    <n v="26.85"/>
  </r>
  <r>
    <x v="2"/>
    <x v="3"/>
    <x v="1"/>
    <x v="1"/>
    <x v="0"/>
    <n v="156740"/>
    <n v="112308"/>
    <n v="121492"/>
    <n v="9869"/>
    <n v="12.310467119262336"/>
    <n v="5.63"/>
    <n v="11.89"/>
    <n v="4959"/>
    <n v="116533"/>
    <n v="292969"/>
    <n v="25.25"/>
  </r>
  <r>
    <x v="5"/>
    <x v="0"/>
    <x v="7"/>
    <x v="4"/>
    <x v="1"/>
    <n v="122432"/>
    <n v="3526"/>
    <n v="282777"/>
    <n v="5170"/>
    <n v="54.695744680851064"/>
    <n v="14.02"/>
    <n v="12.08"/>
    <n v="8278"/>
    <n v="274499"/>
    <n v="157754"/>
    <n v="36.950000000000003"/>
  </r>
  <r>
    <x v="2"/>
    <x v="1"/>
    <x v="6"/>
    <x v="3"/>
    <x v="1"/>
    <n v="52732"/>
    <n v="25724"/>
    <n v="4013"/>
    <n v="8146"/>
    <n v="0.49263442180211148"/>
    <n v="20.21"/>
    <n v="4.4800000000000004"/>
    <n v="32085"/>
    <n v="-28072"/>
    <n v="119770"/>
    <n v="14.17"/>
  </r>
  <r>
    <x v="1"/>
    <x v="1"/>
    <x v="5"/>
    <x v="0"/>
    <x v="0"/>
    <n v="64871"/>
    <n v="29423"/>
    <n v="201289"/>
    <n v="1756"/>
    <n v="114.62927107061503"/>
    <n v="21.29"/>
    <n v="4.8099999999999996"/>
    <n v="30781"/>
    <n v="170508"/>
    <n v="251521"/>
    <n v="74.849999999999994"/>
  </r>
  <r>
    <x v="0"/>
    <x v="1"/>
    <x v="1"/>
    <x v="4"/>
    <x v="1"/>
    <n v="60482"/>
    <n v="13119"/>
    <n v="219701"/>
    <n v="767"/>
    <n v="286.44198174706651"/>
    <n v="2.09"/>
    <n v="14.23"/>
    <n v="28046"/>
    <n v="191655"/>
    <n v="62796"/>
    <n v="70.290000000000006"/>
  </r>
  <r>
    <x v="2"/>
    <x v="2"/>
    <x v="2"/>
    <x v="2"/>
    <x v="0"/>
    <n v="126313"/>
    <n v="11748"/>
    <n v="137362"/>
    <n v="6622"/>
    <n v="20.743279975838114"/>
    <n v="21.68"/>
    <n v="14.01"/>
    <n v="35380"/>
    <n v="101982"/>
    <n v="21125"/>
    <n v="48.54"/>
  </r>
  <r>
    <x v="5"/>
    <x v="5"/>
    <x v="2"/>
    <x v="3"/>
    <x v="1"/>
    <n v="121859"/>
    <n v="49142"/>
    <n v="173107"/>
    <n v="2897"/>
    <n v="59.753883327580255"/>
    <n v="4.41"/>
    <n v="4.25"/>
    <n v="8170"/>
    <n v="164937"/>
    <n v="213439"/>
    <n v="63.54"/>
  </r>
  <r>
    <x v="2"/>
    <x v="3"/>
    <x v="2"/>
    <x v="1"/>
    <x v="0"/>
    <n v="158335"/>
    <n v="13835"/>
    <n v="6552"/>
    <n v="4985"/>
    <n v="1.3143430290872617"/>
    <n v="23.99"/>
    <n v="2.61"/>
    <n v="32743"/>
    <n v="-26191"/>
    <n v="240333"/>
    <n v="8.33"/>
  </r>
  <r>
    <x v="0"/>
    <x v="7"/>
    <x v="0"/>
    <x v="0"/>
    <x v="0"/>
    <n v="25643"/>
    <n v="21106"/>
    <n v="55645"/>
    <n v="6291"/>
    <n v="8.8451756477507555"/>
    <n v="9.2799999999999994"/>
    <n v="4.33"/>
    <n v="8616"/>
    <n v="47029"/>
    <n v="170421"/>
    <n v="29.44"/>
  </r>
  <r>
    <x v="1"/>
    <x v="5"/>
    <x v="1"/>
    <x v="3"/>
    <x v="1"/>
    <n v="28867"/>
    <n v="21466"/>
    <n v="4122"/>
    <n v="2804"/>
    <n v="1.4700427960057061"/>
    <n v="14.45"/>
    <n v="5.89"/>
    <n v="7479"/>
    <n v="-3357"/>
    <n v="187096"/>
    <n v="67.02"/>
  </r>
  <r>
    <x v="5"/>
    <x v="7"/>
    <x v="2"/>
    <x v="0"/>
    <x v="0"/>
    <n v="187255"/>
    <n v="33601"/>
    <n v="206815"/>
    <n v="8722"/>
    <n v="23.711878009630819"/>
    <n v="14.91"/>
    <n v="12.01"/>
    <n v="695"/>
    <n v="206120"/>
    <n v="221482"/>
    <n v="48.16"/>
  </r>
  <r>
    <x v="3"/>
    <x v="6"/>
    <x v="1"/>
    <x v="2"/>
    <x v="0"/>
    <n v="65203"/>
    <n v="36938"/>
    <n v="295723"/>
    <n v="9980"/>
    <n v="29.631563126252505"/>
    <n v="10.41"/>
    <n v="9.85"/>
    <n v="43480"/>
    <n v="252243"/>
    <n v="103989"/>
    <n v="59.55"/>
  </r>
  <r>
    <x v="0"/>
    <x v="4"/>
    <x v="7"/>
    <x v="1"/>
    <x v="0"/>
    <n v="73458"/>
    <n v="1482"/>
    <n v="272633"/>
    <n v="3105"/>
    <n v="87.804508856682773"/>
    <n v="13.2"/>
    <n v="11.62"/>
    <n v="32396"/>
    <n v="240237"/>
    <n v="39124"/>
    <n v="11.2"/>
  </r>
  <r>
    <x v="0"/>
    <x v="1"/>
    <x v="4"/>
    <x v="0"/>
    <x v="0"/>
    <n v="174626"/>
    <n v="162257"/>
    <n v="160777"/>
    <n v="3740"/>
    <n v="42.988502673796795"/>
    <n v="10.07"/>
    <n v="5.98"/>
    <n v="2417"/>
    <n v="158360"/>
    <n v="34794"/>
    <n v="49.22"/>
  </r>
  <r>
    <x v="4"/>
    <x v="2"/>
    <x v="4"/>
    <x v="2"/>
    <x v="0"/>
    <n v="89199"/>
    <n v="31330"/>
    <n v="123907"/>
    <n v="7793"/>
    <n v="15.899781855511357"/>
    <n v="11.17"/>
    <n v="12.57"/>
    <n v="43517"/>
    <n v="80390"/>
    <n v="279444"/>
    <n v="5.86"/>
  </r>
  <r>
    <x v="0"/>
    <x v="5"/>
    <x v="7"/>
    <x v="1"/>
    <x v="0"/>
    <n v="134771"/>
    <n v="33964"/>
    <n v="210617"/>
    <n v="7760"/>
    <n v="27.141365979381444"/>
    <n v="8.56"/>
    <n v="2.95"/>
    <n v="33870"/>
    <n v="176747"/>
    <n v="135927"/>
    <n v="60.19"/>
  </r>
  <r>
    <x v="3"/>
    <x v="4"/>
    <x v="2"/>
    <x v="2"/>
    <x v="0"/>
    <n v="87436"/>
    <n v="55351"/>
    <n v="128345"/>
    <n v="8508"/>
    <n v="15.085213916314057"/>
    <n v="18.489999999999998"/>
    <n v="2.42"/>
    <n v="7535"/>
    <n v="120810"/>
    <n v="162628"/>
    <n v="20.52"/>
  </r>
  <r>
    <x v="0"/>
    <x v="0"/>
    <x v="3"/>
    <x v="0"/>
    <x v="0"/>
    <n v="23209"/>
    <n v="10853"/>
    <n v="176271"/>
    <n v="3013"/>
    <n v="58.503484898771987"/>
    <n v="19.14"/>
    <n v="8.86"/>
    <n v="29795"/>
    <n v="146476"/>
    <n v="219274"/>
    <n v="29.26"/>
  </r>
  <r>
    <x v="5"/>
    <x v="4"/>
    <x v="3"/>
    <x v="3"/>
    <x v="1"/>
    <n v="117784"/>
    <n v="108982"/>
    <n v="299719"/>
    <n v="4212"/>
    <n v="71.158357075023744"/>
    <n v="21.63"/>
    <n v="7.1"/>
    <n v="44146"/>
    <n v="255573"/>
    <n v="204573"/>
    <n v="63.86"/>
  </r>
  <r>
    <x v="5"/>
    <x v="4"/>
    <x v="0"/>
    <x v="4"/>
    <x v="1"/>
    <n v="15268"/>
    <n v="13906"/>
    <n v="59181"/>
    <n v="7532"/>
    <n v="7.8572756240042487"/>
    <n v="8"/>
    <n v="11.94"/>
    <n v="1860"/>
    <n v="57321"/>
    <n v="290044"/>
    <n v="71.89"/>
  </r>
  <r>
    <x v="1"/>
    <x v="0"/>
    <x v="7"/>
    <x v="3"/>
    <x v="1"/>
    <n v="5512"/>
    <n v="3013"/>
    <n v="143047"/>
    <n v="8870"/>
    <n v="16.127057497181511"/>
    <n v="9.4"/>
    <n v="3.01"/>
    <n v="4272"/>
    <n v="138775"/>
    <n v="260368"/>
    <n v="15.91"/>
  </r>
  <r>
    <x v="5"/>
    <x v="2"/>
    <x v="0"/>
    <x v="4"/>
    <x v="1"/>
    <n v="4759"/>
    <n v="4560"/>
    <n v="161662"/>
    <n v="6392"/>
    <n v="25.291301627033793"/>
    <n v="2.76"/>
    <n v="14.75"/>
    <n v="38028"/>
    <n v="123634"/>
    <n v="99247"/>
    <n v="24.33"/>
  </r>
  <r>
    <x v="4"/>
    <x v="7"/>
    <x v="2"/>
    <x v="3"/>
    <x v="1"/>
    <n v="47989"/>
    <n v="21096"/>
    <n v="102187"/>
    <n v="9922"/>
    <n v="10.299032453134449"/>
    <n v="3.78"/>
    <n v="13.01"/>
    <n v="43452"/>
    <n v="58735"/>
    <n v="268770"/>
    <n v="52.83"/>
  </r>
  <r>
    <x v="0"/>
    <x v="4"/>
    <x v="0"/>
    <x v="2"/>
    <x v="0"/>
    <n v="20457"/>
    <n v="11721"/>
    <n v="168452"/>
    <n v="851"/>
    <n v="197.94594594594594"/>
    <n v="7.63"/>
    <n v="8.51"/>
    <n v="15272"/>
    <n v="153180"/>
    <n v="123486"/>
    <n v="64.040000000000006"/>
  </r>
  <r>
    <x v="3"/>
    <x v="6"/>
    <x v="7"/>
    <x v="3"/>
    <x v="1"/>
    <n v="157400"/>
    <n v="7576"/>
    <n v="257065"/>
    <n v="9991"/>
    <n v="25.729656691021919"/>
    <n v="19.559999999999999"/>
    <n v="10.029999999999999"/>
    <n v="36281"/>
    <n v="220784"/>
    <n v="106266"/>
    <n v="32.270000000000003"/>
  </r>
  <r>
    <x v="4"/>
    <x v="3"/>
    <x v="0"/>
    <x v="0"/>
    <x v="0"/>
    <n v="50606"/>
    <n v="4827"/>
    <n v="193331"/>
    <n v="5168"/>
    <n v="37.409249226006189"/>
    <n v="5.64"/>
    <n v="2.16"/>
    <n v="45448"/>
    <n v="147883"/>
    <n v="299687"/>
    <n v="16.399999999999999"/>
  </r>
  <r>
    <x v="4"/>
    <x v="4"/>
    <x v="1"/>
    <x v="2"/>
    <x v="0"/>
    <n v="34287"/>
    <n v="21780"/>
    <n v="52120"/>
    <n v="606"/>
    <n v="86.006600660066013"/>
    <n v="16.91"/>
    <n v="8.15"/>
    <n v="9758"/>
    <n v="42362"/>
    <n v="92010"/>
    <n v="65.67"/>
  </r>
  <r>
    <x v="0"/>
    <x v="3"/>
    <x v="0"/>
    <x v="3"/>
    <x v="1"/>
    <n v="107265"/>
    <n v="46096"/>
    <n v="290909"/>
    <n v="4895"/>
    <n v="59.429826353421859"/>
    <n v="9.9499999999999993"/>
    <n v="7.38"/>
    <n v="39525"/>
    <n v="251384"/>
    <n v="46462"/>
    <n v="29.36"/>
  </r>
  <r>
    <x v="5"/>
    <x v="2"/>
    <x v="5"/>
    <x v="2"/>
    <x v="0"/>
    <n v="6856"/>
    <n v="6041"/>
    <n v="193647"/>
    <n v="6339"/>
    <n v="30.548509228584951"/>
    <n v="7.26"/>
    <n v="12.31"/>
    <n v="36586"/>
    <n v="157061"/>
    <n v="148687"/>
    <n v="43.29"/>
  </r>
  <r>
    <x v="2"/>
    <x v="2"/>
    <x v="4"/>
    <x v="2"/>
    <x v="0"/>
    <n v="7167"/>
    <n v="7102"/>
    <n v="234215"/>
    <n v="7540"/>
    <n v="31.062997347480106"/>
    <n v="18.97"/>
    <n v="14.31"/>
    <n v="34874"/>
    <n v="199341"/>
    <n v="79882"/>
    <n v="70.180000000000007"/>
  </r>
  <r>
    <x v="0"/>
    <x v="4"/>
    <x v="0"/>
    <x v="4"/>
    <x v="1"/>
    <n v="134433"/>
    <n v="19404"/>
    <n v="130391"/>
    <n v="3176"/>
    <n v="41.055100755667503"/>
    <n v="6.42"/>
    <n v="12.79"/>
    <n v="285"/>
    <n v="130106"/>
    <n v="229135"/>
    <n v="15.64"/>
  </r>
  <r>
    <x v="2"/>
    <x v="2"/>
    <x v="5"/>
    <x v="4"/>
    <x v="1"/>
    <n v="138357"/>
    <n v="50404"/>
    <n v="171344"/>
    <n v="6766"/>
    <n v="25.324268400827666"/>
    <n v="14.2"/>
    <n v="11.09"/>
    <n v="40366"/>
    <n v="130978"/>
    <n v="281524"/>
    <n v="5.7"/>
  </r>
  <r>
    <x v="4"/>
    <x v="1"/>
    <x v="6"/>
    <x v="1"/>
    <x v="0"/>
    <n v="45656"/>
    <n v="40217"/>
    <n v="222214"/>
    <n v="8366"/>
    <n v="26.561558689935453"/>
    <n v="14.72"/>
    <n v="12.14"/>
    <n v="43321"/>
    <n v="178893"/>
    <n v="198673"/>
    <n v="37.06"/>
  </r>
  <r>
    <x v="0"/>
    <x v="2"/>
    <x v="2"/>
    <x v="4"/>
    <x v="1"/>
    <n v="97530"/>
    <n v="90895"/>
    <n v="30398"/>
    <n v="9769"/>
    <n v="3.1116798034599245"/>
    <n v="22.51"/>
    <n v="13.48"/>
    <n v="8729"/>
    <n v="21669"/>
    <n v="279416"/>
    <n v="21.42"/>
  </r>
  <r>
    <x v="3"/>
    <x v="0"/>
    <x v="6"/>
    <x v="0"/>
    <x v="0"/>
    <n v="3042"/>
    <n v="2881"/>
    <n v="123243"/>
    <n v="3680"/>
    <n v="33.489945652173915"/>
    <n v="20.059999999999999"/>
    <n v="3.86"/>
    <n v="10691"/>
    <n v="112552"/>
    <n v="195945"/>
    <n v="41.43"/>
  </r>
  <r>
    <x v="1"/>
    <x v="4"/>
    <x v="3"/>
    <x v="0"/>
    <x v="0"/>
    <n v="126593"/>
    <n v="86916"/>
    <n v="177173"/>
    <n v="3331"/>
    <n v="53.189132392674871"/>
    <n v="6.32"/>
    <n v="2.57"/>
    <n v="10709"/>
    <n v="166464"/>
    <n v="71513"/>
    <n v="66.069999999999993"/>
  </r>
  <r>
    <x v="3"/>
    <x v="2"/>
    <x v="2"/>
    <x v="0"/>
    <x v="0"/>
    <n v="32994"/>
    <n v="8045"/>
    <n v="65225"/>
    <n v="8355"/>
    <n v="7.806702573309396"/>
    <n v="6.71"/>
    <n v="5.0999999999999996"/>
    <n v="19047"/>
    <n v="46178"/>
    <n v="222689"/>
    <n v="27.13"/>
  </r>
  <r>
    <x v="5"/>
    <x v="6"/>
    <x v="5"/>
    <x v="0"/>
    <x v="0"/>
    <n v="109747"/>
    <n v="36556"/>
    <n v="177161"/>
    <n v="9399"/>
    <n v="18.848920097882754"/>
    <n v="4.8"/>
    <n v="13.78"/>
    <n v="40039"/>
    <n v="137122"/>
    <n v="147868"/>
    <n v="36.92"/>
  </r>
  <r>
    <x v="3"/>
    <x v="2"/>
    <x v="7"/>
    <x v="2"/>
    <x v="0"/>
    <n v="112402"/>
    <n v="34580"/>
    <n v="37536"/>
    <n v="7591"/>
    <n v="4.9448030562508229"/>
    <n v="17.03"/>
    <n v="2.63"/>
    <n v="23064"/>
    <n v="14472"/>
    <n v="287140"/>
    <n v="62.73"/>
  </r>
  <r>
    <x v="0"/>
    <x v="0"/>
    <x v="3"/>
    <x v="0"/>
    <x v="0"/>
    <n v="7312"/>
    <n v="3020"/>
    <n v="105863"/>
    <n v="3901"/>
    <n v="27.137400666495772"/>
    <n v="11.33"/>
    <n v="10.34"/>
    <n v="30449"/>
    <n v="75414"/>
    <n v="163904"/>
    <n v="22.99"/>
  </r>
  <r>
    <x v="1"/>
    <x v="0"/>
    <x v="7"/>
    <x v="4"/>
    <x v="1"/>
    <n v="52402"/>
    <n v="27411"/>
    <n v="54503"/>
    <n v="5233"/>
    <n v="10.415249378941335"/>
    <n v="20.25"/>
    <n v="10.15"/>
    <n v="11259"/>
    <n v="43244"/>
    <n v="121068"/>
    <n v="29.83"/>
  </r>
  <r>
    <x v="1"/>
    <x v="7"/>
    <x v="5"/>
    <x v="2"/>
    <x v="0"/>
    <n v="154616"/>
    <n v="138660"/>
    <n v="18201"/>
    <n v="5274"/>
    <n v="3.4510807736063707"/>
    <n v="9.85"/>
    <n v="13.33"/>
    <n v="3852"/>
    <n v="14349"/>
    <n v="81730"/>
    <n v="41.7"/>
  </r>
  <r>
    <x v="3"/>
    <x v="0"/>
    <x v="4"/>
    <x v="2"/>
    <x v="0"/>
    <n v="187133"/>
    <n v="122678"/>
    <n v="222151"/>
    <n v="1705"/>
    <n v="130.29384164222873"/>
    <n v="3.03"/>
    <n v="7.2"/>
    <n v="38762"/>
    <n v="183389"/>
    <n v="251583"/>
    <n v="17.600000000000001"/>
  </r>
  <r>
    <x v="2"/>
    <x v="2"/>
    <x v="4"/>
    <x v="1"/>
    <x v="0"/>
    <n v="32167"/>
    <n v="15007"/>
    <n v="6757"/>
    <n v="5426"/>
    <n v="1.2453004054552157"/>
    <n v="24.13"/>
    <n v="14.19"/>
    <n v="29466"/>
    <n v="-22709"/>
    <n v="259086"/>
    <n v="42.28"/>
  </r>
  <r>
    <x v="3"/>
    <x v="4"/>
    <x v="0"/>
    <x v="2"/>
    <x v="0"/>
    <n v="182830"/>
    <n v="128389"/>
    <n v="13867"/>
    <n v="9362"/>
    <n v="1.4812005981627858"/>
    <n v="16.190000000000001"/>
    <n v="11.53"/>
    <n v="18566"/>
    <n v="-4699"/>
    <n v="292066"/>
    <n v="27.26"/>
  </r>
  <r>
    <x v="1"/>
    <x v="0"/>
    <x v="4"/>
    <x v="0"/>
    <x v="0"/>
    <n v="41294"/>
    <n v="30752"/>
    <n v="153309"/>
    <n v="9026"/>
    <n v="16.985264790604919"/>
    <n v="10.96"/>
    <n v="11.53"/>
    <n v="38362"/>
    <n v="114947"/>
    <n v="71662"/>
    <n v="48.85"/>
  </r>
  <r>
    <x v="0"/>
    <x v="1"/>
    <x v="4"/>
    <x v="3"/>
    <x v="1"/>
    <n v="21215"/>
    <n v="9864"/>
    <n v="38767"/>
    <n v="7410"/>
    <n v="5.2317139001349524"/>
    <n v="24.93"/>
    <n v="9.59"/>
    <n v="17354"/>
    <n v="21413"/>
    <n v="114869"/>
    <n v="9.07"/>
  </r>
  <r>
    <x v="3"/>
    <x v="2"/>
    <x v="1"/>
    <x v="2"/>
    <x v="0"/>
    <n v="190323"/>
    <n v="1115"/>
    <n v="292572"/>
    <n v="1947"/>
    <n v="150.26810477657935"/>
    <n v="20.81"/>
    <n v="9.98"/>
    <n v="4729"/>
    <n v="287843"/>
    <n v="68486"/>
    <n v="25.57"/>
  </r>
  <r>
    <x v="4"/>
    <x v="1"/>
    <x v="2"/>
    <x v="2"/>
    <x v="0"/>
    <n v="91450"/>
    <n v="84737"/>
    <n v="121815"/>
    <n v="807"/>
    <n v="150.94795539033458"/>
    <n v="7.4"/>
    <n v="13.14"/>
    <n v="15406"/>
    <n v="106409"/>
    <n v="268646"/>
    <n v="39.75"/>
  </r>
  <r>
    <x v="3"/>
    <x v="2"/>
    <x v="5"/>
    <x v="2"/>
    <x v="0"/>
    <n v="65717"/>
    <n v="37141"/>
    <n v="13142"/>
    <n v="9784"/>
    <n v="1.3432134096484056"/>
    <n v="22.13"/>
    <n v="5.3"/>
    <n v="26456"/>
    <n v="-13314"/>
    <n v="284611"/>
    <n v="58.57"/>
  </r>
  <r>
    <x v="4"/>
    <x v="7"/>
    <x v="4"/>
    <x v="1"/>
    <x v="0"/>
    <n v="150498"/>
    <n v="38021"/>
    <n v="255577"/>
    <n v="7912"/>
    <n v="32.302451971688576"/>
    <n v="11.63"/>
    <n v="5.72"/>
    <n v="11450"/>
    <n v="244127"/>
    <n v="14304"/>
    <n v="45.04"/>
  </r>
  <r>
    <x v="5"/>
    <x v="1"/>
    <x v="2"/>
    <x v="2"/>
    <x v="0"/>
    <n v="154844"/>
    <n v="86273"/>
    <n v="14006"/>
    <n v="5256"/>
    <n v="2.6647640791476408"/>
    <n v="4.79"/>
    <n v="1.27"/>
    <n v="14847"/>
    <n v="-841"/>
    <n v="18333"/>
    <n v="58.17"/>
  </r>
  <r>
    <x v="5"/>
    <x v="6"/>
    <x v="4"/>
    <x v="3"/>
    <x v="1"/>
    <n v="95464"/>
    <n v="12310"/>
    <n v="120769"/>
    <n v="3224"/>
    <n v="37.459367245657567"/>
    <n v="13.29"/>
    <n v="8.51"/>
    <n v="27130"/>
    <n v="93639"/>
    <n v="158221"/>
    <n v="27.64"/>
  </r>
  <r>
    <x v="4"/>
    <x v="6"/>
    <x v="4"/>
    <x v="0"/>
    <x v="0"/>
    <n v="103029"/>
    <n v="17405"/>
    <n v="3507"/>
    <n v="8321"/>
    <n v="0.42146376637423388"/>
    <n v="17.28"/>
    <n v="8.66"/>
    <n v="25604"/>
    <n v="-22097"/>
    <n v="84989"/>
    <n v="33.57"/>
  </r>
  <r>
    <x v="4"/>
    <x v="5"/>
    <x v="4"/>
    <x v="2"/>
    <x v="0"/>
    <n v="188009"/>
    <n v="14340"/>
    <n v="244917"/>
    <n v="5965"/>
    <n v="41.059010896898577"/>
    <n v="18.82"/>
    <n v="13.45"/>
    <n v="4975"/>
    <n v="239942"/>
    <n v="81964"/>
    <n v="66.56"/>
  </r>
  <r>
    <x v="0"/>
    <x v="0"/>
    <x v="1"/>
    <x v="3"/>
    <x v="1"/>
    <n v="21814"/>
    <n v="7477"/>
    <n v="174992"/>
    <n v="3795"/>
    <n v="46.111198945981556"/>
    <n v="22.25"/>
    <n v="4.7699999999999996"/>
    <n v="34607"/>
    <n v="140385"/>
    <n v="244776"/>
    <n v="48.34"/>
  </r>
  <r>
    <x v="1"/>
    <x v="4"/>
    <x v="4"/>
    <x v="1"/>
    <x v="0"/>
    <n v="46082"/>
    <n v="29939"/>
    <n v="241034"/>
    <n v="1820"/>
    <n v="132.43626373626373"/>
    <n v="10.62"/>
    <n v="12.44"/>
    <n v="1266"/>
    <n v="239768"/>
    <n v="251226"/>
    <n v="69.180000000000007"/>
  </r>
  <r>
    <x v="5"/>
    <x v="3"/>
    <x v="0"/>
    <x v="1"/>
    <x v="0"/>
    <n v="101139"/>
    <n v="63129"/>
    <n v="280336"/>
    <n v="1960"/>
    <n v="143.02857142857144"/>
    <n v="6.71"/>
    <n v="4.51"/>
    <n v="22557"/>
    <n v="257779"/>
    <n v="188031"/>
    <n v="35.520000000000003"/>
  </r>
  <r>
    <x v="3"/>
    <x v="3"/>
    <x v="7"/>
    <x v="3"/>
    <x v="1"/>
    <n v="154012"/>
    <n v="58367"/>
    <n v="279529"/>
    <n v="3395"/>
    <n v="82.335493372606777"/>
    <n v="13.4"/>
    <n v="2.4"/>
    <n v="16045"/>
    <n v="263484"/>
    <n v="183705"/>
    <n v="13.85"/>
  </r>
  <r>
    <x v="3"/>
    <x v="5"/>
    <x v="3"/>
    <x v="3"/>
    <x v="1"/>
    <n v="37900"/>
    <n v="10909"/>
    <n v="30079"/>
    <n v="6323"/>
    <n v="4.7570773367072592"/>
    <n v="15.36"/>
    <n v="10.02"/>
    <n v="7282"/>
    <n v="22797"/>
    <n v="201270"/>
    <n v="40.08"/>
  </r>
  <r>
    <x v="5"/>
    <x v="6"/>
    <x v="1"/>
    <x v="1"/>
    <x v="0"/>
    <n v="85638"/>
    <n v="53587"/>
    <n v="209794"/>
    <n v="9806"/>
    <n v="21.394452376096268"/>
    <n v="19.72"/>
    <n v="14.3"/>
    <n v="18651"/>
    <n v="191143"/>
    <n v="266148"/>
    <n v="61.75"/>
  </r>
  <r>
    <x v="5"/>
    <x v="3"/>
    <x v="3"/>
    <x v="0"/>
    <x v="0"/>
    <n v="195882"/>
    <n v="81360"/>
    <n v="22464"/>
    <n v="9558"/>
    <n v="2.3502824858757063"/>
    <n v="4.3499999999999996"/>
    <n v="8"/>
    <n v="31682"/>
    <n v="-9218"/>
    <n v="145223"/>
    <n v="64.44"/>
  </r>
  <r>
    <x v="0"/>
    <x v="3"/>
    <x v="7"/>
    <x v="3"/>
    <x v="1"/>
    <n v="125004"/>
    <n v="54189"/>
    <n v="136852"/>
    <n v="4574"/>
    <n v="29.919545255793615"/>
    <n v="10.47"/>
    <n v="14.7"/>
    <n v="46728"/>
    <n v="90124"/>
    <n v="94394"/>
    <n v="22.22"/>
  </r>
  <r>
    <x v="2"/>
    <x v="4"/>
    <x v="7"/>
    <x v="1"/>
    <x v="0"/>
    <n v="183030"/>
    <n v="66543"/>
    <n v="42912"/>
    <n v="4384"/>
    <n v="9.7883211678832112"/>
    <n v="19.23"/>
    <n v="7.1"/>
    <n v="3611"/>
    <n v="39301"/>
    <n v="69833"/>
    <n v="17.41"/>
  </r>
  <r>
    <x v="3"/>
    <x v="4"/>
    <x v="6"/>
    <x v="4"/>
    <x v="1"/>
    <n v="142637"/>
    <n v="29430"/>
    <n v="54721"/>
    <n v="3251"/>
    <n v="16.832051676407261"/>
    <n v="20.100000000000001"/>
    <n v="9.3800000000000008"/>
    <n v="21245"/>
    <n v="33476"/>
    <n v="62513"/>
    <n v="25.21"/>
  </r>
  <r>
    <x v="0"/>
    <x v="6"/>
    <x v="4"/>
    <x v="2"/>
    <x v="0"/>
    <n v="18041"/>
    <n v="7987"/>
    <n v="62227"/>
    <n v="6692"/>
    <n v="9.2987148834429174"/>
    <n v="13.06"/>
    <n v="7.75"/>
    <n v="43449"/>
    <n v="18778"/>
    <n v="208303"/>
    <n v="69.790000000000006"/>
  </r>
  <r>
    <x v="3"/>
    <x v="6"/>
    <x v="4"/>
    <x v="3"/>
    <x v="1"/>
    <n v="119189"/>
    <n v="57263"/>
    <n v="277451"/>
    <n v="5169"/>
    <n v="53.675952795511705"/>
    <n v="22.83"/>
    <n v="3.04"/>
    <n v="30322"/>
    <n v="247129"/>
    <n v="134964"/>
    <n v="14.84"/>
  </r>
  <r>
    <x v="4"/>
    <x v="0"/>
    <x v="7"/>
    <x v="2"/>
    <x v="0"/>
    <n v="123348"/>
    <n v="65802"/>
    <n v="77270"/>
    <n v="3635"/>
    <n v="21.257221458046768"/>
    <n v="17.91"/>
    <n v="7.3"/>
    <n v="28644"/>
    <n v="48626"/>
    <n v="259279"/>
    <n v="14.6"/>
  </r>
  <r>
    <x v="5"/>
    <x v="2"/>
    <x v="3"/>
    <x v="4"/>
    <x v="1"/>
    <n v="72157"/>
    <n v="24427"/>
    <n v="251093"/>
    <n v="6419"/>
    <n v="39.117152204393207"/>
    <n v="21.75"/>
    <n v="14.19"/>
    <n v="49613"/>
    <n v="201480"/>
    <n v="110894"/>
    <n v="57.77"/>
  </r>
  <r>
    <x v="3"/>
    <x v="5"/>
    <x v="1"/>
    <x v="4"/>
    <x v="1"/>
    <n v="97969"/>
    <n v="5870"/>
    <n v="92451"/>
    <n v="4259"/>
    <n v="21.707208264850905"/>
    <n v="2.86"/>
    <n v="13.09"/>
    <n v="43449"/>
    <n v="49002"/>
    <n v="231663"/>
    <n v="54.35"/>
  </r>
  <r>
    <x v="5"/>
    <x v="5"/>
    <x v="6"/>
    <x v="4"/>
    <x v="1"/>
    <n v="194744"/>
    <n v="58729"/>
    <n v="196376"/>
    <n v="6633"/>
    <n v="29.605909844715814"/>
    <n v="15.36"/>
    <n v="13.34"/>
    <n v="22969"/>
    <n v="173407"/>
    <n v="223151"/>
    <n v="27.99"/>
  </r>
  <r>
    <x v="5"/>
    <x v="6"/>
    <x v="1"/>
    <x v="0"/>
    <x v="0"/>
    <n v="156402"/>
    <n v="118559"/>
    <n v="48482"/>
    <n v="9352"/>
    <n v="5.1841317365269459"/>
    <n v="22.22"/>
    <n v="9.09"/>
    <n v="47279"/>
    <n v="1203"/>
    <n v="244950"/>
    <n v="39.270000000000003"/>
  </r>
  <r>
    <x v="0"/>
    <x v="1"/>
    <x v="2"/>
    <x v="3"/>
    <x v="1"/>
    <n v="177624"/>
    <n v="58124"/>
    <n v="30589"/>
    <n v="2331"/>
    <n v="13.122694122694122"/>
    <n v="17.32"/>
    <n v="11.39"/>
    <n v="10523"/>
    <n v="20066"/>
    <n v="268866"/>
    <n v="57.76"/>
  </r>
  <r>
    <x v="4"/>
    <x v="6"/>
    <x v="4"/>
    <x v="1"/>
    <x v="0"/>
    <n v="88862"/>
    <n v="77415"/>
    <n v="148411"/>
    <n v="9016"/>
    <n v="16.460847382431233"/>
    <n v="13.79"/>
    <n v="4.47"/>
    <n v="9500"/>
    <n v="138911"/>
    <n v="235776"/>
    <n v="15.5"/>
  </r>
  <r>
    <x v="1"/>
    <x v="2"/>
    <x v="2"/>
    <x v="0"/>
    <x v="0"/>
    <n v="100226"/>
    <n v="94616"/>
    <n v="72268"/>
    <n v="8437"/>
    <n v="8.5656038876377867"/>
    <n v="16.53"/>
    <n v="4.04"/>
    <n v="14746"/>
    <n v="57522"/>
    <n v="234653"/>
    <n v="45.44"/>
  </r>
  <r>
    <x v="1"/>
    <x v="1"/>
    <x v="6"/>
    <x v="2"/>
    <x v="0"/>
    <n v="85175"/>
    <n v="52950"/>
    <n v="80436"/>
    <n v="6414"/>
    <n v="12.540692235734332"/>
    <n v="3.61"/>
    <n v="7.58"/>
    <n v="38052"/>
    <n v="42384"/>
    <n v="146393"/>
    <n v="55.42"/>
  </r>
  <r>
    <x v="4"/>
    <x v="0"/>
    <x v="5"/>
    <x v="1"/>
    <x v="0"/>
    <n v="152919"/>
    <n v="29753"/>
    <n v="263834"/>
    <n v="4934"/>
    <n v="53.472638832590192"/>
    <n v="12.05"/>
    <n v="5.21"/>
    <n v="9255"/>
    <n v="254579"/>
    <n v="171302"/>
    <n v="10.87"/>
  </r>
  <r>
    <x v="1"/>
    <x v="1"/>
    <x v="7"/>
    <x v="0"/>
    <x v="0"/>
    <n v="38582"/>
    <n v="26995"/>
    <n v="242088"/>
    <n v="9680"/>
    <n v="25.009090909090908"/>
    <n v="15.25"/>
    <n v="12.28"/>
    <n v="10402"/>
    <n v="231686"/>
    <n v="196948"/>
    <n v="48.6"/>
  </r>
  <r>
    <x v="3"/>
    <x v="3"/>
    <x v="6"/>
    <x v="0"/>
    <x v="0"/>
    <n v="145676"/>
    <n v="39781"/>
    <n v="173122"/>
    <n v="2307"/>
    <n v="75.042045947117472"/>
    <n v="2.4"/>
    <n v="13.73"/>
    <n v="9937"/>
    <n v="163185"/>
    <n v="18037"/>
    <n v="42.23"/>
  </r>
  <r>
    <x v="4"/>
    <x v="0"/>
    <x v="1"/>
    <x v="0"/>
    <x v="0"/>
    <n v="71757"/>
    <n v="55147"/>
    <n v="191767"/>
    <n v="8944"/>
    <n v="21.440854203935601"/>
    <n v="20.51"/>
    <n v="7.64"/>
    <n v="20500"/>
    <n v="171267"/>
    <n v="191989"/>
    <n v="10.52"/>
  </r>
  <r>
    <x v="5"/>
    <x v="3"/>
    <x v="6"/>
    <x v="2"/>
    <x v="0"/>
    <n v="113889"/>
    <n v="63593"/>
    <n v="132193"/>
    <n v="577"/>
    <n v="229.10398613518197"/>
    <n v="7.77"/>
    <n v="3.44"/>
    <n v="42496"/>
    <n v="89697"/>
    <n v="212321"/>
    <n v="53.11"/>
  </r>
  <r>
    <x v="3"/>
    <x v="4"/>
    <x v="0"/>
    <x v="1"/>
    <x v="0"/>
    <n v="178378"/>
    <n v="119094"/>
    <n v="31589"/>
    <n v="9755"/>
    <n v="3.2382368016401846"/>
    <n v="15.61"/>
    <n v="1.22"/>
    <n v="45889"/>
    <n v="-14300"/>
    <n v="130248"/>
    <n v="35.47"/>
  </r>
  <r>
    <x v="2"/>
    <x v="1"/>
    <x v="3"/>
    <x v="2"/>
    <x v="0"/>
    <n v="18353"/>
    <n v="11529"/>
    <n v="11256"/>
    <n v="7585"/>
    <n v="1.483981542518128"/>
    <n v="19"/>
    <n v="12.47"/>
    <n v="14618"/>
    <n v="-3362"/>
    <n v="155751"/>
    <n v="77"/>
  </r>
  <r>
    <x v="4"/>
    <x v="6"/>
    <x v="5"/>
    <x v="2"/>
    <x v="0"/>
    <n v="44594"/>
    <n v="42822"/>
    <n v="109524"/>
    <n v="6923"/>
    <n v="15.820309114545717"/>
    <n v="18.760000000000002"/>
    <n v="5.72"/>
    <n v="23208"/>
    <n v="86316"/>
    <n v="260496"/>
    <n v="8.7200000000000006"/>
  </r>
  <r>
    <x v="4"/>
    <x v="6"/>
    <x v="1"/>
    <x v="3"/>
    <x v="1"/>
    <n v="4786"/>
    <n v="3073"/>
    <n v="173291"/>
    <n v="2972"/>
    <n v="58.3078734858681"/>
    <n v="4.8"/>
    <n v="9.67"/>
    <n v="27692"/>
    <n v="145599"/>
    <n v="264415"/>
    <n v="34.909999999999997"/>
  </r>
  <r>
    <x v="5"/>
    <x v="2"/>
    <x v="3"/>
    <x v="1"/>
    <x v="0"/>
    <n v="45722"/>
    <n v="19677"/>
    <n v="266659"/>
    <n v="2007"/>
    <n v="132.86447433981067"/>
    <n v="14.08"/>
    <n v="6.65"/>
    <n v="46246"/>
    <n v="220413"/>
    <n v="285530"/>
    <n v="12.98"/>
  </r>
  <r>
    <x v="0"/>
    <x v="5"/>
    <x v="4"/>
    <x v="4"/>
    <x v="1"/>
    <n v="108806"/>
    <n v="104132"/>
    <n v="219800"/>
    <n v="9855"/>
    <n v="22.303399289700661"/>
    <n v="10.88"/>
    <n v="12.44"/>
    <n v="40329"/>
    <n v="179471"/>
    <n v="197080"/>
    <n v="31.72"/>
  </r>
  <r>
    <x v="3"/>
    <x v="6"/>
    <x v="5"/>
    <x v="3"/>
    <x v="1"/>
    <n v="180076"/>
    <n v="35338"/>
    <n v="31838"/>
    <n v="1520"/>
    <n v="20.946052631578947"/>
    <n v="16.43"/>
    <n v="12.98"/>
    <n v="11831"/>
    <n v="20007"/>
    <n v="253594"/>
    <n v="20.25"/>
  </r>
  <r>
    <x v="1"/>
    <x v="1"/>
    <x v="2"/>
    <x v="2"/>
    <x v="0"/>
    <n v="94408"/>
    <n v="49031"/>
    <n v="148233"/>
    <n v="1238"/>
    <n v="119.73586429725364"/>
    <n v="24.43"/>
    <n v="12.41"/>
    <n v="28983"/>
    <n v="119250"/>
    <n v="189270"/>
    <n v="76.209999999999994"/>
  </r>
  <r>
    <x v="2"/>
    <x v="4"/>
    <x v="5"/>
    <x v="3"/>
    <x v="1"/>
    <n v="152559"/>
    <n v="30512"/>
    <n v="109474"/>
    <n v="3574"/>
    <n v="30.630665920537215"/>
    <n v="22.9"/>
    <n v="12.28"/>
    <n v="14674"/>
    <n v="94800"/>
    <n v="288854"/>
    <n v="67.12"/>
  </r>
  <r>
    <x v="5"/>
    <x v="3"/>
    <x v="0"/>
    <x v="1"/>
    <x v="0"/>
    <n v="172966"/>
    <n v="119972"/>
    <n v="271643"/>
    <n v="6727"/>
    <n v="40.381001932510777"/>
    <n v="10.26"/>
    <n v="8.74"/>
    <n v="38108"/>
    <n v="233535"/>
    <n v="130529"/>
    <n v="35.020000000000003"/>
  </r>
  <r>
    <x v="0"/>
    <x v="3"/>
    <x v="4"/>
    <x v="2"/>
    <x v="0"/>
    <n v="13363"/>
    <n v="3173"/>
    <n v="267059"/>
    <n v="9912"/>
    <n v="26.942998385794997"/>
    <n v="21.4"/>
    <n v="9.35"/>
    <n v="13097"/>
    <n v="253962"/>
    <n v="144183"/>
    <n v="69.569999999999993"/>
  </r>
  <r>
    <x v="5"/>
    <x v="2"/>
    <x v="4"/>
    <x v="2"/>
    <x v="0"/>
    <n v="130772"/>
    <n v="86049"/>
    <n v="132537"/>
    <n v="1219"/>
    <n v="108.72600492206726"/>
    <n v="15.79"/>
    <n v="7.79"/>
    <n v="29749"/>
    <n v="102788"/>
    <n v="13494"/>
    <n v="10.97"/>
  </r>
  <r>
    <x v="0"/>
    <x v="0"/>
    <x v="0"/>
    <x v="3"/>
    <x v="1"/>
    <n v="78050"/>
    <n v="20035"/>
    <n v="91915"/>
    <n v="1304"/>
    <n v="70.486963190184042"/>
    <n v="5.33"/>
    <n v="8.09"/>
    <n v="42275"/>
    <n v="49640"/>
    <n v="233067"/>
    <n v="43.94"/>
  </r>
  <r>
    <x v="2"/>
    <x v="7"/>
    <x v="6"/>
    <x v="0"/>
    <x v="0"/>
    <n v="16098"/>
    <n v="6073"/>
    <n v="71597"/>
    <n v="2840"/>
    <n v="25.210211267605633"/>
    <n v="10.210000000000001"/>
    <n v="2.29"/>
    <n v="5198"/>
    <n v="66399"/>
    <n v="48071"/>
    <n v="49.75"/>
  </r>
  <r>
    <x v="1"/>
    <x v="3"/>
    <x v="1"/>
    <x v="2"/>
    <x v="0"/>
    <n v="59672"/>
    <n v="29256"/>
    <n v="77512"/>
    <n v="6303"/>
    <n v="12.297636046327145"/>
    <n v="13.34"/>
    <n v="5.09"/>
    <n v="33130"/>
    <n v="44382"/>
    <n v="216693"/>
    <n v="78.92"/>
  </r>
  <r>
    <x v="4"/>
    <x v="7"/>
    <x v="6"/>
    <x v="1"/>
    <x v="0"/>
    <n v="122087"/>
    <n v="16238"/>
    <n v="91110"/>
    <n v="5320"/>
    <n v="17.125939849624061"/>
    <n v="18.920000000000002"/>
    <n v="12.84"/>
    <n v="12076"/>
    <n v="79034"/>
    <n v="154502"/>
    <n v="61.39"/>
  </r>
  <r>
    <x v="5"/>
    <x v="1"/>
    <x v="5"/>
    <x v="2"/>
    <x v="0"/>
    <n v="134155"/>
    <n v="61790"/>
    <n v="132012"/>
    <n v="2850"/>
    <n v="46.32"/>
    <n v="7.94"/>
    <n v="10.61"/>
    <n v="12852"/>
    <n v="119160"/>
    <n v="290815"/>
    <n v="78.010000000000005"/>
  </r>
  <r>
    <x v="0"/>
    <x v="2"/>
    <x v="0"/>
    <x v="3"/>
    <x v="1"/>
    <n v="173591"/>
    <n v="125193"/>
    <n v="247836"/>
    <n v="2686"/>
    <n v="92.269545793000745"/>
    <n v="14"/>
    <n v="1.27"/>
    <n v="12829"/>
    <n v="235007"/>
    <n v="197218"/>
    <n v="10.199999999999999"/>
  </r>
  <r>
    <x v="4"/>
    <x v="3"/>
    <x v="3"/>
    <x v="0"/>
    <x v="0"/>
    <n v="58436"/>
    <n v="33235"/>
    <n v="157436"/>
    <n v="5431"/>
    <n v="28.988399926348738"/>
    <n v="7.67"/>
    <n v="11.98"/>
    <n v="35626"/>
    <n v="121810"/>
    <n v="250819"/>
    <n v="66.97"/>
  </r>
  <r>
    <x v="0"/>
    <x v="2"/>
    <x v="1"/>
    <x v="4"/>
    <x v="1"/>
    <n v="125657"/>
    <n v="3258"/>
    <n v="131247"/>
    <n v="8076"/>
    <n v="16.25148588410104"/>
    <n v="12.3"/>
    <n v="12.68"/>
    <n v="28886"/>
    <n v="102361"/>
    <n v="299677"/>
    <n v="62.96"/>
  </r>
  <r>
    <x v="4"/>
    <x v="1"/>
    <x v="1"/>
    <x v="4"/>
    <x v="1"/>
    <n v="80276"/>
    <n v="33319"/>
    <n v="27590"/>
    <n v="5598"/>
    <n v="4.9285459092533044"/>
    <n v="14.84"/>
    <n v="9.07"/>
    <n v="43194"/>
    <n v="-15604"/>
    <n v="195155"/>
    <n v="63.61"/>
  </r>
  <r>
    <x v="5"/>
    <x v="3"/>
    <x v="6"/>
    <x v="1"/>
    <x v="0"/>
    <n v="115775"/>
    <n v="4084"/>
    <n v="93090"/>
    <n v="2113"/>
    <n v="44.055844770468525"/>
    <n v="24.64"/>
    <n v="8.18"/>
    <n v="47409"/>
    <n v="45681"/>
    <n v="178539"/>
    <n v="19.850000000000001"/>
  </r>
  <r>
    <x v="2"/>
    <x v="7"/>
    <x v="7"/>
    <x v="1"/>
    <x v="0"/>
    <n v="158967"/>
    <n v="87092"/>
    <n v="265304"/>
    <n v="4389"/>
    <n v="60.447482342219182"/>
    <n v="23.86"/>
    <n v="10.77"/>
    <n v="13883"/>
    <n v="251421"/>
    <n v="105391"/>
    <n v="48.57"/>
  </r>
  <r>
    <x v="0"/>
    <x v="6"/>
    <x v="7"/>
    <x v="3"/>
    <x v="1"/>
    <n v="126364"/>
    <n v="85824"/>
    <n v="218049"/>
    <n v="4844"/>
    <n v="45.014244426094137"/>
    <n v="9.1999999999999993"/>
    <n v="12.57"/>
    <n v="16256"/>
    <n v="201793"/>
    <n v="85244"/>
    <n v="12.89"/>
  </r>
  <r>
    <x v="1"/>
    <x v="1"/>
    <x v="7"/>
    <x v="3"/>
    <x v="1"/>
    <n v="34541"/>
    <n v="10082"/>
    <n v="294942"/>
    <n v="1177"/>
    <n v="250.58793542905693"/>
    <n v="15.28"/>
    <n v="4.63"/>
    <n v="19910"/>
    <n v="275032"/>
    <n v="219624"/>
    <n v="29.48"/>
  </r>
  <r>
    <x v="0"/>
    <x v="4"/>
    <x v="3"/>
    <x v="4"/>
    <x v="1"/>
    <n v="78440"/>
    <n v="24374"/>
    <n v="130423"/>
    <n v="8469"/>
    <n v="15.40004723107805"/>
    <n v="16.489999999999998"/>
    <n v="4.3099999999999996"/>
    <n v="10584"/>
    <n v="119839"/>
    <n v="150893"/>
    <n v="44.46"/>
  </r>
  <r>
    <x v="2"/>
    <x v="2"/>
    <x v="0"/>
    <x v="3"/>
    <x v="1"/>
    <n v="112307"/>
    <n v="34413"/>
    <n v="134328"/>
    <n v="4532"/>
    <n v="29.639894086496028"/>
    <n v="6.43"/>
    <n v="3.25"/>
    <n v="35346"/>
    <n v="98982"/>
    <n v="124362"/>
    <n v="67.510000000000005"/>
  </r>
  <r>
    <x v="4"/>
    <x v="3"/>
    <x v="7"/>
    <x v="0"/>
    <x v="0"/>
    <n v="73509"/>
    <n v="54497"/>
    <n v="150599"/>
    <n v="3698"/>
    <n v="40.724445646295294"/>
    <n v="2.56"/>
    <n v="14.25"/>
    <n v="1083"/>
    <n v="149516"/>
    <n v="123536"/>
    <n v="11.07"/>
  </r>
  <r>
    <x v="0"/>
    <x v="0"/>
    <x v="2"/>
    <x v="0"/>
    <x v="0"/>
    <n v="18241"/>
    <n v="13880"/>
    <n v="39866"/>
    <n v="5675"/>
    <n v="7.024845814977974"/>
    <n v="6.06"/>
    <n v="4.67"/>
    <n v="33805"/>
    <n v="6061"/>
    <n v="28671"/>
    <n v="39.36"/>
  </r>
  <r>
    <x v="5"/>
    <x v="3"/>
    <x v="6"/>
    <x v="3"/>
    <x v="1"/>
    <n v="101201"/>
    <n v="32494"/>
    <n v="225206"/>
    <n v="8350"/>
    <n v="26.970778443113772"/>
    <n v="7.89"/>
    <n v="5.16"/>
    <n v="47647"/>
    <n v="177559"/>
    <n v="187840"/>
    <n v="50.38"/>
  </r>
  <r>
    <x v="1"/>
    <x v="5"/>
    <x v="1"/>
    <x v="4"/>
    <x v="1"/>
    <n v="188213"/>
    <n v="29823"/>
    <n v="28138"/>
    <n v="6740"/>
    <n v="4.1747774480712163"/>
    <n v="7.42"/>
    <n v="14.71"/>
    <n v="30392"/>
    <n v="-2254"/>
    <n v="10371"/>
    <n v="23.7"/>
  </r>
  <r>
    <x v="0"/>
    <x v="1"/>
    <x v="4"/>
    <x v="1"/>
    <x v="0"/>
    <n v="27585"/>
    <n v="15751"/>
    <n v="198968"/>
    <n v="2365"/>
    <n v="84.130232558139539"/>
    <n v="10.9"/>
    <n v="11.34"/>
    <n v="33219"/>
    <n v="165749"/>
    <n v="155780"/>
    <n v="25.44"/>
  </r>
  <r>
    <x v="2"/>
    <x v="2"/>
    <x v="4"/>
    <x v="3"/>
    <x v="1"/>
    <n v="132584"/>
    <n v="90314"/>
    <n v="266948"/>
    <n v="6305"/>
    <n v="42.3390959555908"/>
    <n v="15.37"/>
    <n v="1.54"/>
    <n v="27997"/>
    <n v="238951"/>
    <n v="39571"/>
    <n v="56.75"/>
  </r>
  <r>
    <x v="1"/>
    <x v="4"/>
    <x v="0"/>
    <x v="0"/>
    <x v="0"/>
    <n v="6187"/>
    <n v="3776"/>
    <n v="88677"/>
    <n v="2384"/>
    <n v="37.196728187919462"/>
    <n v="12.51"/>
    <n v="4.32"/>
    <n v="22232"/>
    <n v="66445"/>
    <n v="64001"/>
    <n v="34.659999999999997"/>
  </r>
  <r>
    <x v="1"/>
    <x v="5"/>
    <x v="2"/>
    <x v="2"/>
    <x v="0"/>
    <n v="2542"/>
    <n v="1307"/>
    <n v="195108"/>
    <n v="4105"/>
    <n v="47.529354445797807"/>
    <n v="9.36"/>
    <n v="4.76"/>
    <n v="1923"/>
    <n v="193185"/>
    <n v="18662"/>
    <n v="53.62"/>
  </r>
  <r>
    <x v="2"/>
    <x v="2"/>
    <x v="0"/>
    <x v="1"/>
    <x v="0"/>
    <n v="53535"/>
    <n v="34747"/>
    <n v="139572"/>
    <n v="1505"/>
    <n v="92.738870431893687"/>
    <n v="18.39"/>
    <n v="4.37"/>
    <n v="31131"/>
    <n v="108441"/>
    <n v="152034"/>
    <n v="6.74"/>
  </r>
  <r>
    <x v="0"/>
    <x v="6"/>
    <x v="4"/>
    <x v="1"/>
    <x v="0"/>
    <n v="30102"/>
    <n v="9039"/>
    <n v="36431"/>
    <n v="3457"/>
    <n v="10.538328030083887"/>
    <n v="10.15"/>
    <n v="7.82"/>
    <n v="18484"/>
    <n v="17947"/>
    <n v="33362"/>
    <n v="18.64"/>
  </r>
  <r>
    <x v="0"/>
    <x v="3"/>
    <x v="1"/>
    <x v="3"/>
    <x v="1"/>
    <n v="197131"/>
    <n v="94806"/>
    <n v="258108"/>
    <n v="7792"/>
    <n v="33.124743326488705"/>
    <n v="19.23"/>
    <n v="6.99"/>
    <n v="7913"/>
    <n v="250195"/>
    <n v="278405"/>
    <n v="41.84"/>
  </r>
  <r>
    <x v="1"/>
    <x v="6"/>
    <x v="0"/>
    <x v="1"/>
    <x v="0"/>
    <n v="56983"/>
    <n v="26529"/>
    <n v="176822"/>
    <n v="4601"/>
    <n v="38.431210606389918"/>
    <n v="20"/>
    <n v="13"/>
    <n v="35444"/>
    <n v="141378"/>
    <n v="207482"/>
    <n v="47.4"/>
  </r>
  <r>
    <x v="0"/>
    <x v="1"/>
    <x v="0"/>
    <x v="4"/>
    <x v="1"/>
    <n v="157760"/>
    <n v="64111"/>
    <n v="68608"/>
    <n v="3888"/>
    <n v="17.646090534979425"/>
    <n v="9.56"/>
    <n v="2.0699999999999998"/>
    <n v="20189"/>
    <n v="48419"/>
    <n v="42284"/>
    <n v="67.37"/>
  </r>
  <r>
    <x v="5"/>
    <x v="4"/>
    <x v="4"/>
    <x v="1"/>
    <x v="0"/>
    <n v="29242"/>
    <n v="22936"/>
    <n v="278420"/>
    <n v="3001"/>
    <n v="92.775741419526824"/>
    <n v="21.64"/>
    <n v="1.72"/>
    <n v="15166"/>
    <n v="263254"/>
    <n v="56349"/>
    <n v="31.6"/>
  </r>
  <r>
    <x v="2"/>
    <x v="2"/>
    <x v="1"/>
    <x v="0"/>
    <x v="0"/>
    <n v="59164"/>
    <n v="2909"/>
    <n v="45108"/>
    <n v="5202"/>
    <n v="8.6712802768166082"/>
    <n v="19.09"/>
    <n v="8.67"/>
    <n v="42116"/>
    <n v="2992"/>
    <n v="281112"/>
    <n v="18.02"/>
  </r>
  <r>
    <x v="4"/>
    <x v="1"/>
    <x v="3"/>
    <x v="4"/>
    <x v="1"/>
    <n v="61473"/>
    <n v="32749"/>
    <n v="63963"/>
    <n v="6458"/>
    <n v="9.904459585010839"/>
    <n v="4.38"/>
    <n v="5.7"/>
    <n v="47811"/>
    <n v="16152"/>
    <n v="259343"/>
    <n v="18.899999999999999"/>
  </r>
  <r>
    <x v="5"/>
    <x v="7"/>
    <x v="3"/>
    <x v="4"/>
    <x v="1"/>
    <n v="4385"/>
    <n v="3059"/>
    <n v="121402"/>
    <n v="3609"/>
    <n v="33.638681075090055"/>
    <n v="7.39"/>
    <n v="12.17"/>
    <n v="38298"/>
    <n v="83104"/>
    <n v="266333"/>
    <n v="29.88"/>
  </r>
  <r>
    <x v="1"/>
    <x v="6"/>
    <x v="7"/>
    <x v="3"/>
    <x v="1"/>
    <n v="192303"/>
    <n v="123840"/>
    <n v="246036"/>
    <n v="6969"/>
    <n v="35.304347826086953"/>
    <n v="3.15"/>
    <n v="3.77"/>
    <n v="21233"/>
    <n v="224803"/>
    <n v="75174"/>
    <n v="22.69"/>
  </r>
  <r>
    <x v="0"/>
    <x v="2"/>
    <x v="3"/>
    <x v="0"/>
    <x v="0"/>
    <n v="12224"/>
    <n v="1215"/>
    <n v="256257"/>
    <n v="1258"/>
    <n v="203.70190779014308"/>
    <n v="2.7"/>
    <n v="13.51"/>
    <n v="15391"/>
    <n v="240866"/>
    <n v="33179"/>
    <n v="37.29"/>
  </r>
  <r>
    <x v="2"/>
    <x v="6"/>
    <x v="7"/>
    <x v="0"/>
    <x v="0"/>
    <n v="62379"/>
    <n v="17089"/>
    <n v="118938"/>
    <n v="2187"/>
    <n v="54.384087791495197"/>
    <n v="6.16"/>
    <n v="14.64"/>
    <n v="14510"/>
    <n v="104428"/>
    <n v="64770"/>
    <n v="43.73"/>
  </r>
  <r>
    <x v="2"/>
    <x v="6"/>
    <x v="3"/>
    <x v="0"/>
    <x v="0"/>
    <n v="171822"/>
    <n v="85484"/>
    <n v="221562"/>
    <n v="5776"/>
    <n v="38.359072022160667"/>
    <n v="20.92"/>
    <n v="6.77"/>
    <n v="33068"/>
    <n v="188494"/>
    <n v="170745"/>
    <n v="51.61"/>
  </r>
  <r>
    <x v="5"/>
    <x v="7"/>
    <x v="7"/>
    <x v="1"/>
    <x v="0"/>
    <n v="149215"/>
    <n v="77382"/>
    <n v="182103"/>
    <n v="9455"/>
    <n v="19.259968270756215"/>
    <n v="3.8"/>
    <n v="14.83"/>
    <n v="26809"/>
    <n v="155294"/>
    <n v="73101"/>
    <n v="34.79"/>
  </r>
  <r>
    <x v="2"/>
    <x v="0"/>
    <x v="5"/>
    <x v="2"/>
    <x v="0"/>
    <n v="85322"/>
    <n v="58612"/>
    <n v="49437"/>
    <n v="3341"/>
    <n v="14.79706674648309"/>
    <n v="15.02"/>
    <n v="5.76"/>
    <n v="37109"/>
    <n v="12328"/>
    <n v="299174"/>
    <n v="62.3"/>
  </r>
  <r>
    <x v="3"/>
    <x v="6"/>
    <x v="2"/>
    <x v="2"/>
    <x v="0"/>
    <n v="194989"/>
    <n v="57325"/>
    <n v="270421"/>
    <n v="4767"/>
    <n v="56.727711348856722"/>
    <n v="7.01"/>
    <n v="10.62"/>
    <n v="495"/>
    <n v="269926"/>
    <n v="126661"/>
    <n v="10.09"/>
  </r>
  <r>
    <x v="0"/>
    <x v="4"/>
    <x v="5"/>
    <x v="3"/>
    <x v="1"/>
    <n v="90523"/>
    <n v="15143"/>
    <n v="84052"/>
    <n v="4600"/>
    <n v="18.272173913043478"/>
    <n v="11.19"/>
    <n v="7.16"/>
    <n v="9351"/>
    <n v="74701"/>
    <n v="75883"/>
    <n v="9.4"/>
  </r>
  <r>
    <x v="1"/>
    <x v="0"/>
    <x v="3"/>
    <x v="0"/>
    <x v="0"/>
    <n v="166308"/>
    <n v="102843"/>
    <n v="242099"/>
    <n v="1420"/>
    <n v="170.49225352112677"/>
    <n v="16.18"/>
    <n v="1.01"/>
    <n v="46084"/>
    <n v="196015"/>
    <n v="267723"/>
    <n v="63.54"/>
  </r>
  <r>
    <x v="4"/>
    <x v="1"/>
    <x v="4"/>
    <x v="1"/>
    <x v="0"/>
    <n v="193574"/>
    <n v="132516"/>
    <n v="178050"/>
    <n v="2960"/>
    <n v="60.152027027027025"/>
    <n v="5.17"/>
    <n v="10.39"/>
    <n v="15119"/>
    <n v="162931"/>
    <n v="147019"/>
    <n v="46.87"/>
  </r>
  <r>
    <x v="0"/>
    <x v="4"/>
    <x v="6"/>
    <x v="4"/>
    <x v="1"/>
    <n v="114441"/>
    <n v="81532"/>
    <n v="218704"/>
    <n v="9037"/>
    <n v="24.200951643244441"/>
    <n v="7.97"/>
    <n v="5.33"/>
    <n v="21177"/>
    <n v="197527"/>
    <n v="132427"/>
    <n v="54.7"/>
  </r>
  <r>
    <x v="1"/>
    <x v="4"/>
    <x v="2"/>
    <x v="2"/>
    <x v="0"/>
    <n v="163458"/>
    <n v="92560"/>
    <n v="218151"/>
    <n v="8863"/>
    <n v="24.613674827936364"/>
    <n v="2.37"/>
    <n v="11.35"/>
    <n v="42001"/>
    <n v="176150"/>
    <n v="276301"/>
    <n v="78.08"/>
  </r>
  <r>
    <x v="5"/>
    <x v="1"/>
    <x v="7"/>
    <x v="4"/>
    <x v="1"/>
    <n v="61952"/>
    <n v="49726"/>
    <n v="36009"/>
    <n v="8643"/>
    <n v="4.1662617146824017"/>
    <n v="22.76"/>
    <n v="3.67"/>
    <n v="13728"/>
    <n v="22281"/>
    <n v="139633"/>
    <n v="52.51"/>
  </r>
  <r>
    <x v="5"/>
    <x v="1"/>
    <x v="1"/>
    <x v="2"/>
    <x v="0"/>
    <n v="178227"/>
    <n v="87337"/>
    <n v="39152"/>
    <n v="6640"/>
    <n v="5.8963855421686748"/>
    <n v="14.57"/>
    <n v="10.45"/>
    <n v="42666"/>
    <n v="-3514"/>
    <n v="143709"/>
    <n v="38.97"/>
  </r>
  <r>
    <x v="3"/>
    <x v="6"/>
    <x v="3"/>
    <x v="0"/>
    <x v="0"/>
    <n v="53315"/>
    <n v="28930"/>
    <n v="227674"/>
    <n v="7167"/>
    <n v="31.766987581972931"/>
    <n v="14.41"/>
    <n v="10.39"/>
    <n v="271"/>
    <n v="227403"/>
    <n v="129258"/>
    <n v="51.3"/>
  </r>
  <r>
    <x v="0"/>
    <x v="5"/>
    <x v="0"/>
    <x v="0"/>
    <x v="0"/>
    <n v="89743"/>
    <n v="11212"/>
    <n v="164158"/>
    <n v="3931"/>
    <n v="41.759857542610021"/>
    <n v="10.9"/>
    <n v="5.27"/>
    <n v="40716"/>
    <n v="123442"/>
    <n v="30643"/>
    <n v="46.17"/>
  </r>
  <r>
    <x v="2"/>
    <x v="6"/>
    <x v="1"/>
    <x v="0"/>
    <x v="0"/>
    <n v="82325"/>
    <n v="40896"/>
    <n v="8144"/>
    <n v="8456"/>
    <n v="0.96310312204351944"/>
    <n v="14.16"/>
    <n v="14.34"/>
    <n v="24053"/>
    <n v="-15909"/>
    <n v="214810"/>
    <n v="14.5"/>
  </r>
  <r>
    <x v="3"/>
    <x v="0"/>
    <x v="1"/>
    <x v="3"/>
    <x v="1"/>
    <n v="114951"/>
    <n v="84790"/>
    <n v="284430"/>
    <n v="9037"/>
    <n v="31.473940466969125"/>
    <n v="17.38"/>
    <n v="13.85"/>
    <n v="16991"/>
    <n v="267439"/>
    <n v="252977"/>
    <n v="18.399999999999999"/>
  </r>
  <r>
    <x v="1"/>
    <x v="3"/>
    <x v="0"/>
    <x v="3"/>
    <x v="1"/>
    <n v="100146"/>
    <n v="5452"/>
    <n v="168169"/>
    <n v="4568"/>
    <n v="36.814579684763572"/>
    <n v="18.66"/>
    <n v="8.56"/>
    <n v="48218"/>
    <n v="119951"/>
    <n v="212940"/>
    <n v="64.989999999999995"/>
  </r>
  <r>
    <x v="4"/>
    <x v="5"/>
    <x v="2"/>
    <x v="0"/>
    <x v="0"/>
    <n v="177823"/>
    <n v="65009"/>
    <n v="211942"/>
    <n v="2613"/>
    <n v="81.11060084194412"/>
    <n v="24.07"/>
    <n v="5.65"/>
    <n v="33250"/>
    <n v="178692"/>
    <n v="167577"/>
    <n v="53.11"/>
  </r>
  <r>
    <x v="1"/>
    <x v="0"/>
    <x v="0"/>
    <x v="1"/>
    <x v="0"/>
    <n v="26911"/>
    <n v="26063"/>
    <n v="190181"/>
    <n v="1506"/>
    <n v="126.28220451527224"/>
    <n v="15.56"/>
    <n v="9.7799999999999994"/>
    <n v="29670"/>
    <n v="160511"/>
    <n v="102624"/>
    <n v="38.9"/>
  </r>
  <r>
    <x v="3"/>
    <x v="0"/>
    <x v="7"/>
    <x v="0"/>
    <x v="0"/>
    <n v="31028"/>
    <n v="18050"/>
    <n v="250790"/>
    <n v="6887"/>
    <n v="36.414984753884127"/>
    <n v="14.11"/>
    <n v="12.57"/>
    <n v="26652"/>
    <n v="224138"/>
    <n v="26217"/>
    <n v="31.25"/>
  </r>
  <r>
    <x v="3"/>
    <x v="1"/>
    <x v="5"/>
    <x v="0"/>
    <x v="0"/>
    <n v="190375"/>
    <n v="47586"/>
    <n v="176987"/>
    <n v="7791"/>
    <n v="22.71685277884739"/>
    <n v="24.21"/>
    <n v="11.07"/>
    <n v="30163"/>
    <n v="146824"/>
    <n v="170385"/>
    <n v="28.8"/>
  </r>
  <r>
    <x v="3"/>
    <x v="5"/>
    <x v="1"/>
    <x v="4"/>
    <x v="1"/>
    <n v="68145"/>
    <n v="39261"/>
    <n v="214356"/>
    <n v="9817"/>
    <n v="21.835183864724456"/>
    <n v="3.52"/>
    <n v="11.08"/>
    <n v="46214"/>
    <n v="168142"/>
    <n v="185064"/>
    <n v="11.05"/>
  </r>
  <r>
    <x v="5"/>
    <x v="6"/>
    <x v="3"/>
    <x v="1"/>
    <x v="0"/>
    <n v="65259"/>
    <n v="5684"/>
    <n v="173651"/>
    <n v="1596"/>
    <n v="108.80388471177945"/>
    <n v="2.25"/>
    <n v="6.42"/>
    <n v="28914"/>
    <n v="144737"/>
    <n v="156238"/>
    <n v="49.23"/>
  </r>
  <r>
    <x v="4"/>
    <x v="3"/>
    <x v="4"/>
    <x v="4"/>
    <x v="1"/>
    <n v="14597"/>
    <n v="6470"/>
    <n v="251543"/>
    <n v="9111"/>
    <n v="27.608714740423665"/>
    <n v="22.7"/>
    <n v="14.61"/>
    <n v="46366"/>
    <n v="205177"/>
    <n v="148519"/>
    <n v="37.270000000000003"/>
  </r>
  <r>
    <x v="1"/>
    <x v="0"/>
    <x v="1"/>
    <x v="1"/>
    <x v="0"/>
    <n v="156495"/>
    <n v="144089"/>
    <n v="37545"/>
    <n v="8410"/>
    <n v="4.4643281807372173"/>
    <n v="23.7"/>
    <n v="12.76"/>
    <n v="44966"/>
    <n v="-7421"/>
    <n v="32881"/>
    <n v="32.04"/>
  </r>
  <r>
    <x v="5"/>
    <x v="0"/>
    <x v="1"/>
    <x v="0"/>
    <x v="0"/>
    <n v="151283"/>
    <n v="125652"/>
    <n v="51165"/>
    <n v="6188"/>
    <n v="8.2684227537168713"/>
    <n v="8.7799999999999994"/>
    <n v="13.91"/>
    <n v="23001"/>
    <n v="28164"/>
    <n v="133140"/>
    <n v="46.38"/>
  </r>
  <r>
    <x v="2"/>
    <x v="2"/>
    <x v="4"/>
    <x v="0"/>
    <x v="0"/>
    <n v="159232"/>
    <n v="142570"/>
    <n v="229308"/>
    <n v="2608"/>
    <n v="87.924846625766875"/>
    <n v="17.239999999999998"/>
    <n v="12.06"/>
    <n v="9992"/>
    <n v="219316"/>
    <n v="20500"/>
    <n v="63.6"/>
  </r>
  <r>
    <x v="1"/>
    <x v="0"/>
    <x v="3"/>
    <x v="3"/>
    <x v="1"/>
    <n v="89932"/>
    <n v="82327"/>
    <n v="152180"/>
    <n v="986"/>
    <n v="154.34077079107504"/>
    <n v="14.46"/>
    <n v="14.98"/>
    <n v="20753"/>
    <n v="131427"/>
    <n v="160736"/>
    <n v="78.010000000000005"/>
  </r>
  <r>
    <x v="1"/>
    <x v="3"/>
    <x v="5"/>
    <x v="3"/>
    <x v="1"/>
    <n v="86247"/>
    <n v="15978"/>
    <n v="50062"/>
    <n v="1603"/>
    <n v="31.230193387398629"/>
    <n v="7.76"/>
    <n v="3.25"/>
    <n v="35994"/>
    <n v="14068"/>
    <n v="234307"/>
    <n v="8.3800000000000008"/>
  </r>
  <r>
    <x v="2"/>
    <x v="2"/>
    <x v="3"/>
    <x v="4"/>
    <x v="1"/>
    <n v="76612"/>
    <n v="49459"/>
    <n v="81506"/>
    <n v="6394"/>
    <n v="12.747263059117923"/>
    <n v="4.93"/>
    <n v="4.57"/>
    <n v="15132"/>
    <n v="66374"/>
    <n v="70762"/>
    <n v="67.7"/>
  </r>
  <r>
    <x v="0"/>
    <x v="5"/>
    <x v="1"/>
    <x v="3"/>
    <x v="1"/>
    <n v="176154"/>
    <n v="149459"/>
    <n v="107944"/>
    <n v="3819"/>
    <n v="28.264990835297198"/>
    <n v="12.13"/>
    <n v="11.84"/>
    <n v="28216"/>
    <n v="79728"/>
    <n v="122317"/>
    <n v="44.08"/>
  </r>
  <r>
    <x v="1"/>
    <x v="3"/>
    <x v="7"/>
    <x v="2"/>
    <x v="0"/>
    <n v="190053"/>
    <n v="113451"/>
    <n v="9694"/>
    <n v="7372"/>
    <n v="1.3149755832881171"/>
    <n v="18.510000000000002"/>
    <n v="14.06"/>
    <n v="17478"/>
    <n v="-7784"/>
    <n v="170863"/>
    <n v="33.380000000000003"/>
  </r>
  <r>
    <x v="5"/>
    <x v="2"/>
    <x v="7"/>
    <x v="4"/>
    <x v="1"/>
    <n v="138171"/>
    <n v="15890"/>
    <n v="110594"/>
    <n v="9447"/>
    <n v="11.706785222822059"/>
    <n v="3.63"/>
    <n v="4.1399999999999997"/>
    <n v="12029"/>
    <n v="98565"/>
    <n v="220770"/>
    <n v="52.11"/>
  </r>
  <r>
    <x v="3"/>
    <x v="2"/>
    <x v="5"/>
    <x v="2"/>
    <x v="0"/>
    <n v="98512"/>
    <n v="80612"/>
    <n v="244499"/>
    <n v="9171"/>
    <n v="26.66001526551085"/>
    <n v="20.45"/>
    <n v="12.3"/>
    <n v="14132"/>
    <n v="230367"/>
    <n v="16462"/>
    <n v="8.82"/>
  </r>
  <r>
    <x v="2"/>
    <x v="3"/>
    <x v="1"/>
    <x v="2"/>
    <x v="0"/>
    <n v="49545"/>
    <n v="2369"/>
    <n v="99278"/>
    <n v="1372"/>
    <n v="72.360058309037896"/>
    <n v="23.41"/>
    <n v="8.09"/>
    <n v="25765"/>
    <n v="73513"/>
    <n v="82678"/>
    <n v="18.850000000000001"/>
  </r>
  <r>
    <x v="4"/>
    <x v="0"/>
    <x v="3"/>
    <x v="0"/>
    <x v="0"/>
    <n v="132523"/>
    <n v="92705"/>
    <n v="184507"/>
    <n v="523"/>
    <n v="352.78585086042062"/>
    <n v="24.65"/>
    <n v="13.58"/>
    <n v="3124"/>
    <n v="181383"/>
    <n v="10168"/>
    <n v="75.59"/>
  </r>
  <r>
    <x v="0"/>
    <x v="7"/>
    <x v="7"/>
    <x v="4"/>
    <x v="1"/>
    <n v="28561"/>
    <n v="10503"/>
    <n v="296326"/>
    <n v="5326"/>
    <n v="55.637626736763046"/>
    <n v="21.61"/>
    <n v="9.8800000000000008"/>
    <n v="45616"/>
    <n v="250710"/>
    <n v="14202"/>
    <n v="68.569999999999993"/>
  </r>
  <r>
    <x v="0"/>
    <x v="3"/>
    <x v="3"/>
    <x v="4"/>
    <x v="1"/>
    <n v="169852"/>
    <n v="8675"/>
    <n v="271499"/>
    <n v="6869"/>
    <n v="39.525258407337311"/>
    <n v="5.39"/>
    <n v="6.45"/>
    <n v="10421"/>
    <n v="261078"/>
    <n v="262646"/>
    <n v="38.6"/>
  </r>
  <r>
    <x v="4"/>
    <x v="2"/>
    <x v="7"/>
    <x v="3"/>
    <x v="1"/>
    <n v="105624"/>
    <n v="37415"/>
    <n v="241399"/>
    <n v="7611"/>
    <n v="31.717119957955589"/>
    <n v="13.8"/>
    <n v="6.75"/>
    <n v="13229"/>
    <n v="228170"/>
    <n v="278245"/>
    <n v="67.650000000000006"/>
  </r>
  <r>
    <x v="4"/>
    <x v="0"/>
    <x v="5"/>
    <x v="1"/>
    <x v="0"/>
    <n v="45200"/>
    <n v="14321"/>
    <n v="260901"/>
    <n v="5835"/>
    <n v="44.713110539845758"/>
    <n v="2.0499999999999998"/>
    <n v="5.25"/>
    <n v="13005"/>
    <n v="247896"/>
    <n v="154277"/>
    <n v="13.03"/>
  </r>
  <r>
    <x v="2"/>
    <x v="3"/>
    <x v="2"/>
    <x v="4"/>
    <x v="1"/>
    <n v="124288"/>
    <n v="29084"/>
    <n v="100218"/>
    <n v="2336"/>
    <n v="42.901541095890408"/>
    <n v="10.79"/>
    <n v="6.26"/>
    <n v="40402"/>
    <n v="59816"/>
    <n v="222205"/>
    <n v="67.37"/>
  </r>
  <r>
    <x v="0"/>
    <x v="5"/>
    <x v="0"/>
    <x v="4"/>
    <x v="1"/>
    <n v="45206"/>
    <n v="44137"/>
    <n v="158774"/>
    <n v="8945"/>
    <n v="17.750027948574623"/>
    <n v="24.38"/>
    <n v="5.24"/>
    <n v="23657"/>
    <n v="135117"/>
    <n v="29231"/>
    <n v="6.03"/>
  </r>
  <r>
    <x v="2"/>
    <x v="4"/>
    <x v="2"/>
    <x v="0"/>
    <x v="0"/>
    <n v="46956"/>
    <n v="38371"/>
    <n v="295592"/>
    <n v="6496"/>
    <n v="45.50369458128079"/>
    <n v="24.37"/>
    <n v="12.61"/>
    <n v="41926"/>
    <n v="253666"/>
    <n v="97288"/>
    <n v="24.16"/>
  </r>
  <r>
    <x v="4"/>
    <x v="4"/>
    <x v="6"/>
    <x v="2"/>
    <x v="0"/>
    <n v="50299"/>
    <n v="26489"/>
    <n v="129740"/>
    <n v="2475"/>
    <n v="52.420202020202019"/>
    <n v="23.87"/>
    <n v="3.99"/>
    <n v="33841"/>
    <n v="95899"/>
    <n v="114906"/>
    <n v="34.72"/>
  </r>
  <r>
    <x v="1"/>
    <x v="7"/>
    <x v="5"/>
    <x v="2"/>
    <x v="0"/>
    <n v="76071"/>
    <n v="43208"/>
    <n v="262928"/>
    <n v="6864"/>
    <n v="38.305361305361302"/>
    <n v="21.98"/>
    <n v="1.91"/>
    <n v="4884"/>
    <n v="258044"/>
    <n v="266913"/>
    <n v="68.53"/>
  </r>
  <r>
    <x v="2"/>
    <x v="7"/>
    <x v="2"/>
    <x v="4"/>
    <x v="1"/>
    <n v="73184"/>
    <n v="67437"/>
    <n v="220793"/>
    <n v="4078"/>
    <n v="54.142471799901912"/>
    <n v="14.7"/>
    <n v="5.6"/>
    <n v="49612"/>
    <n v="171181"/>
    <n v="219978"/>
    <n v="79.900000000000006"/>
  </r>
  <r>
    <x v="4"/>
    <x v="4"/>
    <x v="5"/>
    <x v="3"/>
    <x v="1"/>
    <n v="190635"/>
    <n v="44010"/>
    <n v="153402"/>
    <n v="2626"/>
    <n v="58.416603198781416"/>
    <n v="22.98"/>
    <n v="6.49"/>
    <n v="4080"/>
    <n v="149322"/>
    <n v="226494"/>
    <n v="59.77"/>
  </r>
  <r>
    <x v="1"/>
    <x v="2"/>
    <x v="0"/>
    <x v="2"/>
    <x v="0"/>
    <n v="138312"/>
    <n v="14553"/>
    <n v="2889"/>
    <n v="7939"/>
    <n v="0.36389973548305832"/>
    <n v="18.149999999999999"/>
    <n v="13.34"/>
    <n v="29866"/>
    <n v="-26977"/>
    <n v="18473"/>
    <n v="41.41"/>
  </r>
  <r>
    <x v="4"/>
    <x v="4"/>
    <x v="3"/>
    <x v="2"/>
    <x v="0"/>
    <n v="64617"/>
    <n v="48711"/>
    <n v="23938"/>
    <n v="1550"/>
    <n v="15.443870967741935"/>
    <n v="11.53"/>
    <n v="14.62"/>
    <n v="17394"/>
    <n v="6544"/>
    <n v="89549"/>
    <n v="20.02"/>
  </r>
  <r>
    <x v="5"/>
    <x v="7"/>
    <x v="4"/>
    <x v="4"/>
    <x v="1"/>
    <n v="107841"/>
    <n v="68861"/>
    <n v="206849"/>
    <n v="2598"/>
    <n v="79.618552732871436"/>
    <n v="12.4"/>
    <n v="6.43"/>
    <n v="31025"/>
    <n v="175824"/>
    <n v="83266"/>
    <n v="12.33"/>
  </r>
  <r>
    <x v="3"/>
    <x v="4"/>
    <x v="2"/>
    <x v="2"/>
    <x v="0"/>
    <n v="107895"/>
    <n v="28353"/>
    <n v="44935"/>
    <n v="6517"/>
    <n v="6.8950437317784257"/>
    <n v="18.88"/>
    <n v="11.15"/>
    <n v="18159"/>
    <n v="26776"/>
    <n v="242105"/>
    <n v="19.579999999999998"/>
  </r>
  <r>
    <x v="3"/>
    <x v="5"/>
    <x v="1"/>
    <x v="0"/>
    <x v="0"/>
    <n v="48521"/>
    <n v="22039"/>
    <n v="239652"/>
    <n v="4773"/>
    <n v="50.209930861093653"/>
    <n v="19.82"/>
    <n v="12.89"/>
    <n v="17690"/>
    <n v="221962"/>
    <n v="13836"/>
    <n v="74.11"/>
  </r>
  <r>
    <x v="0"/>
    <x v="2"/>
    <x v="1"/>
    <x v="1"/>
    <x v="0"/>
    <n v="63188"/>
    <n v="58030"/>
    <n v="91378"/>
    <n v="1706"/>
    <n v="53.562719812426728"/>
    <n v="4.2300000000000004"/>
    <n v="9.94"/>
    <n v="5985"/>
    <n v="85393"/>
    <n v="118714"/>
    <n v="5.23"/>
  </r>
  <r>
    <x v="4"/>
    <x v="2"/>
    <x v="5"/>
    <x v="4"/>
    <x v="1"/>
    <n v="76812"/>
    <n v="32816"/>
    <n v="189311"/>
    <n v="6542"/>
    <n v="28.93778660959951"/>
    <n v="16.52"/>
    <n v="14.27"/>
    <n v="38656"/>
    <n v="150655"/>
    <n v="162614"/>
    <n v="18.25"/>
  </r>
  <r>
    <x v="0"/>
    <x v="2"/>
    <x v="6"/>
    <x v="0"/>
    <x v="0"/>
    <n v="190650"/>
    <n v="177312"/>
    <n v="236859"/>
    <n v="6606"/>
    <n v="35.855131698455949"/>
    <n v="10.46"/>
    <n v="4.7699999999999996"/>
    <n v="48714"/>
    <n v="188145"/>
    <n v="79364"/>
    <n v="18.059999999999999"/>
  </r>
  <r>
    <x v="4"/>
    <x v="5"/>
    <x v="7"/>
    <x v="2"/>
    <x v="0"/>
    <n v="41626"/>
    <n v="35612"/>
    <n v="5504"/>
    <n v="1502"/>
    <n v="3.6644474034620504"/>
    <n v="2.8"/>
    <n v="13.19"/>
    <n v="17777"/>
    <n v="-12273"/>
    <n v="69584"/>
    <n v="34.590000000000003"/>
  </r>
  <r>
    <x v="0"/>
    <x v="0"/>
    <x v="6"/>
    <x v="2"/>
    <x v="0"/>
    <n v="50237"/>
    <n v="23925"/>
    <n v="48157"/>
    <n v="1565"/>
    <n v="30.771246006389777"/>
    <n v="4.96"/>
    <n v="3.41"/>
    <n v="40480"/>
    <n v="7677"/>
    <n v="181774"/>
    <n v="40.409999999999997"/>
  </r>
  <r>
    <x v="0"/>
    <x v="0"/>
    <x v="6"/>
    <x v="0"/>
    <x v="0"/>
    <n v="67271"/>
    <n v="40760"/>
    <n v="213175"/>
    <n v="7498"/>
    <n v="28.430914910642837"/>
    <n v="24.7"/>
    <n v="11.33"/>
    <n v="20665"/>
    <n v="192510"/>
    <n v="14433"/>
    <n v="26.99"/>
  </r>
  <r>
    <x v="0"/>
    <x v="2"/>
    <x v="5"/>
    <x v="4"/>
    <x v="1"/>
    <n v="117268"/>
    <n v="52478"/>
    <n v="162931"/>
    <n v="2361"/>
    <n v="69.00931808555697"/>
    <n v="2.57"/>
    <n v="11.76"/>
    <n v="20113"/>
    <n v="142818"/>
    <n v="269244"/>
    <n v="19.809999999999999"/>
  </r>
  <r>
    <x v="4"/>
    <x v="6"/>
    <x v="2"/>
    <x v="1"/>
    <x v="0"/>
    <n v="187365"/>
    <n v="59502"/>
    <n v="206133"/>
    <n v="7893"/>
    <n v="26.115925503610793"/>
    <n v="18.579999999999998"/>
    <n v="10.69"/>
    <n v="8626"/>
    <n v="197507"/>
    <n v="145216"/>
    <n v="24.96"/>
  </r>
  <r>
    <x v="2"/>
    <x v="7"/>
    <x v="0"/>
    <x v="1"/>
    <x v="0"/>
    <n v="129475"/>
    <n v="79154"/>
    <n v="138243"/>
    <n v="832"/>
    <n v="166.15745192307693"/>
    <n v="19.07"/>
    <n v="8.27"/>
    <n v="43422"/>
    <n v="94821"/>
    <n v="234061"/>
    <n v="12.67"/>
  </r>
  <r>
    <x v="0"/>
    <x v="1"/>
    <x v="2"/>
    <x v="0"/>
    <x v="0"/>
    <n v="16740"/>
    <n v="12930"/>
    <n v="173676"/>
    <n v="2473"/>
    <n v="70.228871815608571"/>
    <n v="20.89"/>
    <n v="13.27"/>
    <n v="17988"/>
    <n v="155688"/>
    <n v="194895"/>
    <n v="42.11"/>
  </r>
  <r>
    <x v="1"/>
    <x v="0"/>
    <x v="3"/>
    <x v="4"/>
    <x v="1"/>
    <n v="139394"/>
    <n v="132632"/>
    <n v="45316"/>
    <n v="9862"/>
    <n v="4.5950111539241529"/>
    <n v="3.13"/>
    <n v="13.63"/>
    <n v="16774"/>
    <n v="28542"/>
    <n v="262793"/>
    <n v="45.49"/>
  </r>
  <r>
    <x v="3"/>
    <x v="2"/>
    <x v="7"/>
    <x v="3"/>
    <x v="1"/>
    <n v="25756"/>
    <n v="25519"/>
    <n v="229960"/>
    <n v="567"/>
    <n v="405.57319223985888"/>
    <n v="13.1"/>
    <n v="12"/>
    <n v="26521"/>
    <n v="203439"/>
    <n v="229180"/>
    <n v="52.27"/>
  </r>
  <r>
    <x v="1"/>
    <x v="7"/>
    <x v="7"/>
    <x v="2"/>
    <x v="0"/>
    <n v="141586"/>
    <n v="132222"/>
    <n v="82651"/>
    <n v="2018"/>
    <n v="40.95688800792864"/>
    <n v="12.95"/>
    <n v="8.75"/>
    <n v="464"/>
    <n v="82187"/>
    <n v="24315"/>
    <n v="27.16"/>
  </r>
  <r>
    <x v="3"/>
    <x v="1"/>
    <x v="7"/>
    <x v="3"/>
    <x v="1"/>
    <n v="184355"/>
    <n v="130921"/>
    <n v="206461"/>
    <n v="1698"/>
    <n v="121.5906949352179"/>
    <n v="20.11"/>
    <n v="1.2"/>
    <n v="35561"/>
    <n v="170900"/>
    <n v="201028"/>
    <n v="47.07"/>
  </r>
  <r>
    <x v="4"/>
    <x v="5"/>
    <x v="5"/>
    <x v="1"/>
    <x v="0"/>
    <n v="110119"/>
    <n v="74603"/>
    <n v="61796"/>
    <n v="2948"/>
    <n v="20.962008141112619"/>
    <n v="9.77"/>
    <n v="13.74"/>
    <n v="4361"/>
    <n v="57435"/>
    <n v="244168"/>
    <n v="28.16"/>
  </r>
  <r>
    <x v="5"/>
    <x v="1"/>
    <x v="4"/>
    <x v="0"/>
    <x v="0"/>
    <n v="59621"/>
    <n v="20664"/>
    <n v="119435"/>
    <n v="721"/>
    <n v="165.65187239944521"/>
    <n v="10.76"/>
    <n v="11.51"/>
    <n v="27874"/>
    <n v="91561"/>
    <n v="98537"/>
    <n v="24.63"/>
  </r>
  <r>
    <x v="4"/>
    <x v="6"/>
    <x v="2"/>
    <x v="1"/>
    <x v="0"/>
    <n v="24155"/>
    <n v="9205"/>
    <n v="216438"/>
    <n v="9224"/>
    <n v="23.464657415437987"/>
    <n v="21.56"/>
    <n v="3.01"/>
    <n v="23544"/>
    <n v="192894"/>
    <n v="29963"/>
    <n v="12.53"/>
  </r>
  <r>
    <x v="3"/>
    <x v="4"/>
    <x v="6"/>
    <x v="3"/>
    <x v="1"/>
    <n v="114640"/>
    <n v="68385"/>
    <n v="204298"/>
    <n v="7394"/>
    <n v="27.630240735731675"/>
    <n v="18.329999999999998"/>
    <n v="9.41"/>
    <n v="4362"/>
    <n v="199936"/>
    <n v="26562"/>
    <n v="60.11"/>
  </r>
  <r>
    <x v="3"/>
    <x v="2"/>
    <x v="0"/>
    <x v="4"/>
    <x v="1"/>
    <n v="98001"/>
    <n v="79808"/>
    <n v="113886"/>
    <n v="9198"/>
    <n v="12.38160469667319"/>
    <n v="14.68"/>
    <n v="14.6"/>
    <n v="13264"/>
    <n v="100622"/>
    <n v="171203"/>
    <n v="57.02"/>
  </r>
  <r>
    <x v="5"/>
    <x v="1"/>
    <x v="7"/>
    <x v="4"/>
    <x v="1"/>
    <n v="55285"/>
    <n v="50477"/>
    <n v="76937"/>
    <n v="2654"/>
    <n v="28.989073097211755"/>
    <n v="11.07"/>
    <n v="11.05"/>
    <n v="38725"/>
    <n v="38212"/>
    <n v="92630"/>
    <n v="32.93"/>
  </r>
  <r>
    <x v="4"/>
    <x v="2"/>
    <x v="6"/>
    <x v="1"/>
    <x v="0"/>
    <n v="12235"/>
    <n v="9913"/>
    <n v="271805"/>
    <n v="545"/>
    <n v="498.72477064220186"/>
    <n v="22.7"/>
    <n v="11.34"/>
    <n v="13057"/>
    <n v="258748"/>
    <n v="169969"/>
    <n v="57.43"/>
  </r>
  <r>
    <x v="2"/>
    <x v="1"/>
    <x v="7"/>
    <x v="0"/>
    <x v="0"/>
    <n v="161712"/>
    <n v="99964"/>
    <n v="67112"/>
    <n v="7245"/>
    <n v="9.2632160110420987"/>
    <n v="24.24"/>
    <n v="2.9"/>
    <n v="5786"/>
    <n v="61326"/>
    <n v="40970"/>
    <n v="74.52"/>
  </r>
  <r>
    <x v="0"/>
    <x v="5"/>
    <x v="3"/>
    <x v="2"/>
    <x v="0"/>
    <n v="186886"/>
    <n v="69832"/>
    <n v="240555"/>
    <n v="2490"/>
    <n v="96.608433734939766"/>
    <n v="19.66"/>
    <n v="2.21"/>
    <n v="46503"/>
    <n v="194052"/>
    <n v="176483"/>
    <n v="12.25"/>
  </r>
  <r>
    <x v="5"/>
    <x v="7"/>
    <x v="4"/>
    <x v="1"/>
    <x v="0"/>
    <n v="158512"/>
    <n v="76475"/>
    <n v="249907"/>
    <n v="7710"/>
    <n v="32.413359273670558"/>
    <n v="17.22"/>
    <n v="2.99"/>
    <n v="32366"/>
    <n v="217541"/>
    <n v="124893"/>
    <n v="72.28"/>
  </r>
  <r>
    <x v="3"/>
    <x v="2"/>
    <x v="2"/>
    <x v="3"/>
    <x v="1"/>
    <n v="50568"/>
    <n v="38610"/>
    <n v="210222"/>
    <n v="9311"/>
    <n v="22.577811191064331"/>
    <n v="22.94"/>
    <n v="4.32"/>
    <n v="9701"/>
    <n v="200521"/>
    <n v="204766"/>
    <n v="64.290000000000006"/>
  </r>
  <r>
    <x v="2"/>
    <x v="4"/>
    <x v="5"/>
    <x v="4"/>
    <x v="1"/>
    <n v="70659"/>
    <n v="58728"/>
    <n v="236002"/>
    <n v="6905"/>
    <n v="34.178421433743665"/>
    <n v="20.69"/>
    <n v="3.49"/>
    <n v="21677"/>
    <n v="214325"/>
    <n v="209682"/>
    <n v="61.82"/>
  </r>
  <r>
    <x v="0"/>
    <x v="5"/>
    <x v="0"/>
    <x v="3"/>
    <x v="1"/>
    <n v="7420"/>
    <n v="2737"/>
    <n v="89996"/>
    <n v="9785"/>
    <n v="9.1973428717424621"/>
    <n v="13.19"/>
    <n v="4.5599999999999996"/>
    <n v="46725"/>
    <n v="43271"/>
    <n v="135173"/>
    <n v="68.63"/>
  </r>
  <r>
    <x v="1"/>
    <x v="2"/>
    <x v="2"/>
    <x v="4"/>
    <x v="1"/>
    <n v="56798"/>
    <n v="20490"/>
    <n v="115859"/>
    <n v="9420"/>
    <n v="12.299256900212315"/>
    <n v="11.88"/>
    <n v="8.1199999999999992"/>
    <n v="48324"/>
    <n v="67535"/>
    <n v="244621"/>
    <n v="43.97"/>
  </r>
  <r>
    <x v="1"/>
    <x v="0"/>
    <x v="5"/>
    <x v="1"/>
    <x v="0"/>
    <n v="34032"/>
    <n v="6660"/>
    <n v="177121"/>
    <n v="5076"/>
    <n v="34.893814026792754"/>
    <n v="18.100000000000001"/>
    <n v="2.77"/>
    <n v="7069"/>
    <n v="170052"/>
    <n v="39983"/>
    <n v="10.68"/>
  </r>
  <r>
    <x v="2"/>
    <x v="7"/>
    <x v="0"/>
    <x v="1"/>
    <x v="0"/>
    <n v="40022"/>
    <n v="25368"/>
    <n v="226908"/>
    <n v="4149"/>
    <n v="54.689804772234275"/>
    <n v="7.27"/>
    <n v="8.7200000000000006"/>
    <n v="10184"/>
    <n v="216724"/>
    <n v="35473"/>
    <n v="36.520000000000003"/>
  </r>
  <r>
    <x v="3"/>
    <x v="7"/>
    <x v="7"/>
    <x v="0"/>
    <x v="0"/>
    <n v="122088"/>
    <n v="118045"/>
    <n v="11411"/>
    <n v="1906"/>
    <n v="5.98688352570829"/>
    <n v="7.76"/>
    <n v="10.37"/>
    <n v="15090"/>
    <n v="-3679"/>
    <n v="195186"/>
    <n v="55.39"/>
  </r>
  <r>
    <x v="0"/>
    <x v="7"/>
    <x v="0"/>
    <x v="3"/>
    <x v="1"/>
    <n v="85348"/>
    <n v="6004"/>
    <n v="92489"/>
    <n v="5505"/>
    <n v="16.800908265213444"/>
    <n v="5.4"/>
    <n v="3.37"/>
    <n v="22261"/>
    <n v="70228"/>
    <n v="129669"/>
    <n v="27.53"/>
  </r>
  <r>
    <x v="4"/>
    <x v="0"/>
    <x v="4"/>
    <x v="0"/>
    <x v="0"/>
    <n v="119103"/>
    <n v="64891"/>
    <n v="55001"/>
    <n v="6199"/>
    <n v="8.8725600903371511"/>
    <n v="9.39"/>
    <n v="10.5"/>
    <n v="41970"/>
    <n v="13031"/>
    <n v="84673"/>
    <n v="54.48"/>
  </r>
  <r>
    <x v="1"/>
    <x v="7"/>
    <x v="0"/>
    <x v="4"/>
    <x v="1"/>
    <n v="81501"/>
    <n v="38653"/>
    <n v="233278"/>
    <n v="4753"/>
    <n v="49.08015989901115"/>
    <n v="6.68"/>
    <n v="1.53"/>
    <n v="46088"/>
    <n v="187190"/>
    <n v="31647"/>
    <n v="68.569999999999993"/>
  </r>
  <r>
    <x v="1"/>
    <x v="3"/>
    <x v="6"/>
    <x v="4"/>
    <x v="1"/>
    <n v="171983"/>
    <n v="109026"/>
    <n v="157748"/>
    <n v="4840"/>
    <n v="32.592561983471072"/>
    <n v="14.57"/>
    <n v="11.32"/>
    <n v="20504"/>
    <n v="137244"/>
    <n v="21424"/>
    <n v="14.93"/>
  </r>
  <r>
    <x v="0"/>
    <x v="5"/>
    <x v="7"/>
    <x v="0"/>
    <x v="0"/>
    <n v="91865"/>
    <n v="24747"/>
    <n v="6312"/>
    <n v="4418"/>
    <n v="1.4287007695789951"/>
    <n v="23.76"/>
    <n v="6.31"/>
    <n v="5198"/>
    <n v="1114"/>
    <n v="121913"/>
    <n v="5.17"/>
  </r>
  <r>
    <x v="5"/>
    <x v="4"/>
    <x v="3"/>
    <x v="3"/>
    <x v="1"/>
    <n v="196883"/>
    <n v="157069"/>
    <n v="130322"/>
    <n v="2229"/>
    <n v="58.46657694033199"/>
    <n v="9.27"/>
    <n v="2.09"/>
    <n v="46299"/>
    <n v="84023"/>
    <n v="39686"/>
    <n v="61.06"/>
  </r>
  <r>
    <x v="2"/>
    <x v="0"/>
    <x v="0"/>
    <x v="4"/>
    <x v="1"/>
    <n v="168071"/>
    <n v="8842"/>
    <n v="291977"/>
    <n v="9053"/>
    <n v="32.251960676018996"/>
    <n v="3.59"/>
    <n v="4.37"/>
    <n v="7088"/>
    <n v="284889"/>
    <n v="230982"/>
    <n v="16.98"/>
  </r>
  <r>
    <x v="2"/>
    <x v="2"/>
    <x v="0"/>
    <x v="0"/>
    <x v="0"/>
    <n v="191636"/>
    <n v="104748"/>
    <n v="179933"/>
    <n v="5991"/>
    <n v="30.033884159572693"/>
    <n v="7.77"/>
    <n v="6.37"/>
    <n v="38491"/>
    <n v="141442"/>
    <n v="48685"/>
    <n v="30.69"/>
  </r>
  <r>
    <x v="4"/>
    <x v="6"/>
    <x v="7"/>
    <x v="1"/>
    <x v="0"/>
    <n v="79628"/>
    <n v="47536"/>
    <n v="20257"/>
    <n v="4433"/>
    <n v="4.5695916986239569"/>
    <n v="7.42"/>
    <n v="5.43"/>
    <n v="27623"/>
    <n v="-7366"/>
    <n v="90941"/>
    <n v="6.26"/>
  </r>
  <r>
    <x v="0"/>
    <x v="0"/>
    <x v="0"/>
    <x v="4"/>
    <x v="1"/>
    <n v="112827"/>
    <n v="111155"/>
    <n v="257242"/>
    <n v="1738"/>
    <n v="148.01035673187573"/>
    <n v="2.27"/>
    <n v="8.23"/>
    <n v="5967"/>
    <n v="251275"/>
    <n v="153303"/>
    <n v="58.59"/>
  </r>
  <r>
    <x v="2"/>
    <x v="2"/>
    <x v="2"/>
    <x v="4"/>
    <x v="1"/>
    <n v="63816"/>
    <n v="10378"/>
    <n v="122568"/>
    <n v="3809"/>
    <n v="32.178524547125228"/>
    <n v="21.92"/>
    <n v="2.67"/>
    <n v="49434"/>
    <n v="73134"/>
    <n v="43629"/>
    <n v="21.91"/>
  </r>
  <r>
    <x v="2"/>
    <x v="3"/>
    <x v="5"/>
    <x v="4"/>
    <x v="1"/>
    <n v="31238"/>
    <n v="14313"/>
    <n v="74291"/>
    <n v="9806"/>
    <n v="7.5760758719151537"/>
    <n v="4.97"/>
    <n v="11.67"/>
    <n v="11559"/>
    <n v="62732"/>
    <n v="170761"/>
    <n v="20.64"/>
  </r>
  <r>
    <x v="3"/>
    <x v="5"/>
    <x v="1"/>
    <x v="0"/>
    <x v="0"/>
    <n v="149892"/>
    <n v="121304"/>
    <n v="174351"/>
    <n v="5474"/>
    <n v="31.850748995250274"/>
    <n v="7.4"/>
    <n v="7.06"/>
    <n v="39821"/>
    <n v="134530"/>
    <n v="99037"/>
    <n v="35.200000000000003"/>
  </r>
  <r>
    <x v="2"/>
    <x v="2"/>
    <x v="2"/>
    <x v="1"/>
    <x v="0"/>
    <n v="39547"/>
    <n v="27557"/>
    <n v="83027"/>
    <n v="1740"/>
    <n v="47.716666666666669"/>
    <n v="13.43"/>
    <n v="8.33"/>
    <n v="24433"/>
    <n v="58594"/>
    <n v="16565"/>
    <n v="37.44"/>
  </r>
  <r>
    <x v="4"/>
    <x v="2"/>
    <x v="5"/>
    <x v="1"/>
    <x v="0"/>
    <n v="39374"/>
    <n v="36567"/>
    <n v="13536"/>
    <n v="5217"/>
    <n v="2.5945945945945947"/>
    <n v="24.35"/>
    <n v="1.91"/>
    <n v="5362"/>
    <n v="8174"/>
    <n v="178976"/>
    <n v="74.59"/>
  </r>
  <r>
    <x v="2"/>
    <x v="4"/>
    <x v="6"/>
    <x v="1"/>
    <x v="0"/>
    <n v="171144"/>
    <n v="32889"/>
    <n v="272426"/>
    <n v="3401"/>
    <n v="80.101734783887096"/>
    <n v="9.82"/>
    <n v="3"/>
    <n v="11731"/>
    <n v="260695"/>
    <n v="148011"/>
    <n v="17.18"/>
  </r>
  <r>
    <x v="1"/>
    <x v="7"/>
    <x v="7"/>
    <x v="4"/>
    <x v="1"/>
    <n v="66992"/>
    <n v="10839"/>
    <n v="158838"/>
    <n v="5467"/>
    <n v="29.053960124382659"/>
    <n v="15.84"/>
    <n v="5.68"/>
    <n v="43880"/>
    <n v="114958"/>
    <n v="28869"/>
    <n v="35.880000000000003"/>
  </r>
  <r>
    <x v="0"/>
    <x v="3"/>
    <x v="3"/>
    <x v="4"/>
    <x v="1"/>
    <n v="45110"/>
    <n v="29467"/>
    <n v="20863"/>
    <n v="5744"/>
    <n v="3.6321378830083564"/>
    <n v="16.82"/>
    <n v="4.8899999999999997"/>
    <n v="20582"/>
    <n v="281"/>
    <n v="196679"/>
    <n v="50.71"/>
  </r>
  <r>
    <x v="3"/>
    <x v="3"/>
    <x v="4"/>
    <x v="1"/>
    <x v="0"/>
    <n v="81605"/>
    <n v="26969"/>
    <n v="89252"/>
    <n v="5657"/>
    <n v="15.777267102704613"/>
    <n v="14.07"/>
    <n v="9.93"/>
    <n v="30160"/>
    <n v="59092"/>
    <n v="136756"/>
    <n v="73.66"/>
  </r>
  <r>
    <x v="1"/>
    <x v="6"/>
    <x v="4"/>
    <x v="0"/>
    <x v="0"/>
    <n v="79070"/>
    <n v="58187"/>
    <n v="288771"/>
    <n v="4942"/>
    <n v="58.432011331444762"/>
    <n v="5.55"/>
    <n v="10.82"/>
    <n v="40656"/>
    <n v="248115"/>
    <n v="196308"/>
    <n v="25.47"/>
  </r>
  <r>
    <x v="5"/>
    <x v="1"/>
    <x v="7"/>
    <x v="0"/>
    <x v="0"/>
    <n v="197427"/>
    <n v="28569"/>
    <n v="159771"/>
    <n v="899"/>
    <n v="177.72080088987764"/>
    <n v="14.52"/>
    <n v="3.72"/>
    <n v="46552"/>
    <n v="113219"/>
    <n v="264915"/>
    <n v="71.069999999999993"/>
  </r>
  <r>
    <x v="1"/>
    <x v="0"/>
    <x v="6"/>
    <x v="3"/>
    <x v="1"/>
    <n v="132072"/>
    <n v="26136"/>
    <n v="289456"/>
    <n v="1064"/>
    <n v="272.04511278195491"/>
    <n v="13.35"/>
    <n v="6.2"/>
    <n v="44636"/>
    <n v="244820"/>
    <n v="206375"/>
    <n v="18.07"/>
  </r>
  <r>
    <x v="4"/>
    <x v="1"/>
    <x v="7"/>
    <x v="3"/>
    <x v="1"/>
    <n v="134449"/>
    <n v="110079"/>
    <n v="272993"/>
    <n v="3233"/>
    <n v="84.439529848437985"/>
    <n v="9.84"/>
    <n v="6.57"/>
    <n v="36412"/>
    <n v="236581"/>
    <n v="25758"/>
    <n v="66.84"/>
  </r>
  <r>
    <x v="1"/>
    <x v="7"/>
    <x v="6"/>
    <x v="1"/>
    <x v="0"/>
    <n v="76081"/>
    <n v="75198"/>
    <n v="220618"/>
    <n v="3426"/>
    <n v="64.395213076474022"/>
    <n v="23.58"/>
    <n v="1.61"/>
    <n v="36247"/>
    <n v="184371"/>
    <n v="268918"/>
    <n v="67.540000000000006"/>
  </r>
  <r>
    <x v="3"/>
    <x v="1"/>
    <x v="2"/>
    <x v="0"/>
    <x v="0"/>
    <n v="148760"/>
    <n v="100603"/>
    <n v="256012"/>
    <n v="8704"/>
    <n v="29.413143382352942"/>
    <n v="23.92"/>
    <n v="9.35"/>
    <n v="22360"/>
    <n v="233652"/>
    <n v="292091"/>
    <n v="55.02"/>
  </r>
  <r>
    <x v="5"/>
    <x v="0"/>
    <x v="7"/>
    <x v="0"/>
    <x v="0"/>
    <n v="108381"/>
    <n v="100094"/>
    <n v="241860"/>
    <n v="3684"/>
    <n v="65.651465798045606"/>
    <n v="16.559999999999999"/>
    <n v="3.88"/>
    <n v="35887"/>
    <n v="205973"/>
    <n v="249117"/>
    <n v="79.59"/>
  </r>
  <r>
    <x v="1"/>
    <x v="6"/>
    <x v="7"/>
    <x v="1"/>
    <x v="0"/>
    <n v="74854"/>
    <n v="10040"/>
    <n v="270473"/>
    <n v="5288"/>
    <n v="51.148449319213313"/>
    <n v="3.05"/>
    <n v="2.57"/>
    <n v="21210"/>
    <n v="249263"/>
    <n v="14174"/>
    <n v="53.29"/>
  </r>
  <r>
    <x v="4"/>
    <x v="7"/>
    <x v="5"/>
    <x v="0"/>
    <x v="0"/>
    <n v="172949"/>
    <n v="44479"/>
    <n v="157023"/>
    <n v="2771"/>
    <n v="56.666546373150489"/>
    <n v="16.97"/>
    <n v="9.4700000000000006"/>
    <n v="23619"/>
    <n v="133404"/>
    <n v="268037"/>
    <n v="50.12"/>
  </r>
  <r>
    <x v="0"/>
    <x v="6"/>
    <x v="5"/>
    <x v="4"/>
    <x v="1"/>
    <n v="137748"/>
    <n v="99658"/>
    <n v="92844"/>
    <n v="4731"/>
    <n v="19.624603677869374"/>
    <n v="3.56"/>
    <n v="3.14"/>
    <n v="21696"/>
    <n v="71148"/>
    <n v="181092"/>
    <n v="36.47"/>
  </r>
  <r>
    <x v="1"/>
    <x v="6"/>
    <x v="4"/>
    <x v="2"/>
    <x v="0"/>
    <n v="197394"/>
    <n v="22296"/>
    <n v="23058"/>
    <n v="3241"/>
    <n v="7.1144708423326133"/>
    <n v="12.65"/>
    <n v="8.86"/>
    <n v="22917"/>
    <n v="141"/>
    <n v="259159"/>
    <n v="56.57"/>
  </r>
  <r>
    <x v="0"/>
    <x v="7"/>
    <x v="3"/>
    <x v="4"/>
    <x v="1"/>
    <n v="116738"/>
    <n v="88438"/>
    <n v="188284"/>
    <n v="4008"/>
    <n v="46.977045908183634"/>
    <n v="10.64"/>
    <n v="13.42"/>
    <n v="49123"/>
    <n v="139161"/>
    <n v="200883"/>
    <n v="65.61"/>
  </r>
  <r>
    <x v="3"/>
    <x v="6"/>
    <x v="6"/>
    <x v="3"/>
    <x v="1"/>
    <n v="28662"/>
    <n v="1077"/>
    <n v="273523"/>
    <n v="4633"/>
    <n v="59.037988344485214"/>
    <n v="15.26"/>
    <n v="3.57"/>
    <n v="18774"/>
    <n v="254749"/>
    <n v="269056"/>
    <n v="73.510000000000005"/>
  </r>
  <r>
    <x v="0"/>
    <x v="1"/>
    <x v="3"/>
    <x v="4"/>
    <x v="1"/>
    <n v="116954"/>
    <n v="8167"/>
    <n v="97884"/>
    <n v="9172"/>
    <n v="10.672045355429569"/>
    <n v="17.809999999999999"/>
    <n v="11.75"/>
    <n v="30599"/>
    <n v="67285"/>
    <n v="117321"/>
    <n v="41.14"/>
  </r>
  <r>
    <x v="0"/>
    <x v="7"/>
    <x v="6"/>
    <x v="2"/>
    <x v="0"/>
    <n v="163836"/>
    <n v="152113"/>
    <n v="49772"/>
    <n v="7857"/>
    <n v="6.3347333587883412"/>
    <n v="12.48"/>
    <n v="14.96"/>
    <n v="11951"/>
    <n v="37821"/>
    <n v="296116"/>
    <n v="21.25"/>
  </r>
  <r>
    <x v="2"/>
    <x v="3"/>
    <x v="5"/>
    <x v="3"/>
    <x v="1"/>
    <n v="62031"/>
    <n v="37091"/>
    <n v="175233"/>
    <n v="3150"/>
    <n v="55.62952380952381"/>
    <n v="24.38"/>
    <n v="7.57"/>
    <n v="31128"/>
    <n v="144105"/>
    <n v="224012"/>
    <n v="22.41"/>
  </r>
  <r>
    <x v="1"/>
    <x v="5"/>
    <x v="3"/>
    <x v="1"/>
    <x v="0"/>
    <n v="190842"/>
    <n v="60133"/>
    <n v="250635"/>
    <n v="4077"/>
    <n v="61.475349521707138"/>
    <n v="11.11"/>
    <n v="10.039999999999999"/>
    <n v="25848"/>
    <n v="224787"/>
    <n v="217233"/>
    <n v="67.459999999999994"/>
  </r>
  <r>
    <x v="5"/>
    <x v="6"/>
    <x v="6"/>
    <x v="1"/>
    <x v="0"/>
    <n v="174656"/>
    <n v="14884"/>
    <n v="31860"/>
    <n v="1840"/>
    <n v="17.315217391304348"/>
    <n v="18.47"/>
    <n v="9.25"/>
    <n v="28248"/>
    <n v="3612"/>
    <n v="218246"/>
    <n v="17.66"/>
  </r>
  <r>
    <x v="0"/>
    <x v="2"/>
    <x v="4"/>
    <x v="3"/>
    <x v="1"/>
    <n v="54141"/>
    <n v="38921"/>
    <n v="56034"/>
    <n v="1918"/>
    <n v="29.2148070907195"/>
    <n v="15.26"/>
    <n v="6.31"/>
    <n v="2914"/>
    <n v="53120"/>
    <n v="256804"/>
    <n v="20.350000000000001"/>
  </r>
  <r>
    <x v="0"/>
    <x v="4"/>
    <x v="0"/>
    <x v="3"/>
    <x v="1"/>
    <n v="75691"/>
    <n v="22890"/>
    <n v="6508"/>
    <n v="3719"/>
    <n v="1.7499327776283948"/>
    <n v="10.84"/>
    <n v="2.75"/>
    <n v="7931"/>
    <n v="-1423"/>
    <n v="84256"/>
    <n v="30.93"/>
  </r>
  <r>
    <x v="5"/>
    <x v="2"/>
    <x v="2"/>
    <x v="0"/>
    <x v="0"/>
    <n v="40526"/>
    <n v="27004"/>
    <n v="225870"/>
    <n v="9662"/>
    <n v="23.377147588490995"/>
    <n v="3.62"/>
    <n v="1.56"/>
    <n v="47047"/>
    <n v="178823"/>
    <n v="119014"/>
    <n v="24.34"/>
  </r>
  <r>
    <x v="5"/>
    <x v="0"/>
    <x v="6"/>
    <x v="3"/>
    <x v="1"/>
    <n v="178460"/>
    <n v="29660"/>
    <n v="178936"/>
    <n v="903"/>
    <n v="198.15725359911406"/>
    <n v="16.5"/>
    <n v="14.19"/>
    <n v="30587"/>
    <n v="148349"/>
    <n v="77224"/>
    <n v="7.49"/>
  </r>
  <r>
    <x v="2"/>
    <x v="7"/>
    <x v="7"/>
    <x v="1"/>
    <x v="0"/>
    <n v="53796"/>
    <n v="8408"/>
    <n v="266606"/>
    <n v="7259"/>
    <n v="36.727648436423749"/>
    <n v="6.29"/>
    <n v="13.08"/>
    <n v="33646"/>
    <n v="232960"/>
    <n v="282171"/>
    <n v="11.04"/>
  </r>
  <r>
    <x v="2"/>
    <x v="7"/>
    <x v="4"/>
    <x v="2"/>
    <x v="0"/>
    <n v="109967"/>
    <n v="30226"/>
    <n v="66132"/>
    <n v="8694"/>
    <n v="7.6066252587991716"/>
    <n v="9.14"/>
    <n v="11.77"/>
    <n v="48323"/>
    <n v="17809"/>
    <n v="20257"/>
    <n v="19.010000000000002"/>
  </r>
  <r>
    <x v="5"/>
    <x v="3"/>
    <x v="5"/>
    <x v="3"/>
    <x v="1"/>
    <n v="126941"/>
    <n v="114380"/>
    <n v="179102"/>
    <n v="1198"/>
    <n v="149.50083472454091"/>
    <n v="15.02"/>
    <n v="11.29"/>
    <n v="14743"/>
    <n v="164359"/>
    <n v="92945"/>
    <n v="58.01"/>
  </r>
  <r>
    <x v="2"/>
    <x v="4"/>
    <x v="6"/>
    <x v="0"/>
    <x v="0"/>
    <n v="191927"/>
    <n v="46199"/>
    <n v="269244"/>
    <n v="7315"/>
    <n v="36.807108680792894"/>
    <n v="17.670000000000002"/>
    <n v="10.38"/>
    <n v="23987"/>
    <n v="245257"/>
    <n v="51934"/>
    <n v="66.05"/>
  </r>
  <r>
    <x v="4"/>
    <x v="7"/>
    <x v="7"/>
    <x v="3"/>
    <x v="1"/>
    <n v="27753"/>
    <n v="18734"/>
    <n v="38702"/>
    <n v="8427"/>
    <n v="4.5926189628574816"/>
    <n v="9.0299999999999994"/>
    <n v="14.92"/>
    <n v="3731"/>
    <n v="34971"/>
    <n v="53108"/>
    <n v="52.37"/>
  </r>
  <r>
    <x v="4"/>
    <x v="1"/>
    <x v="2"/>
    <x v="1"/>
    <x v="0"/>
    <n v="7601"/>
    <n v="6687"/>
    <n v="203546"/>
    <n v="1340"/>
    <n v="151.9"/>
    <n v="24.23"/>
    <n v="5.17"/>
    <n v="7575"/>
    <n v="195971"/>
    <n v="228471"/>
    <n v="55.14"/>
  </r>
  <r>
    <x v="4"/>
    <x v="0"/>
    <x v="2"/>
    <x v="2"/>
    <x v="0"/>
    <n v="56901"/>
    <n v="23316"/>
    <n v="79908"/>
    <n v="9186"/>
    <n v="8.6988896146309607"/>
    <n v="21.33"/>
    <n v="6.31"/>
    <n v="9593"/>
    <n v="70315"/>
    <n v="257308"/>
    <n v="53.35"/>
  </r>
  <r>
    <x v="4"/>
    <x v="5"/>
    <x v="4"/>
    <x v="3"/>
    <x v="1"/>
    <n v="181637"/>
    <n v="118086"/>
    <n v="22180"/>
    <n v="3737"/>
    <n v="5.9352421728659355"/>
    <n v="12.76"/>
    <n v="9.02"/>
    <n v="39424"/>
    <n v="-17244"/>
    <n v="82691"/>
    <n v="28.53"/>
  </r>
  <r>
    <x v="2"/>
    <x v="2"/>
    <x v="1"/>
    <x v="3"/>
    <x v="1"/>
    <n v="49244"/>
    <n v="18175"/>
    <n v="213537"/>
    <n v="5426"/>
    <n v="39.354404718024327"/>
    <n v="10.85"/>
    <n v="1.66"/>
    <n v="13618"/>
    <n v="199919"/>
    <n v="25442"/>
    <n v="79.010000000000005"/>
  </r>
  <r>
    <x v="4"/>
    <x v="5"/>
    <x v="2"/>
    <x v="2"/>
    <x v="0"/>
    <n v="116379"/>
    <n v="50890"/>
    <n v="57866"/>
    <n v="9202"/>
    <n v="6.288415561834384"/>
    <n v="21.72"/>
    <n v="9.93"/>
    <n v="44992"/>
    <n v="12874"/>
    <n v="246343"/>
    <n v="51.09"/>
  </r>
  <r>
    <x v="5"/>
    <x v="5"/>
    <x v="5"/>
    <x v="1"/>
    <x v="0"/>
    <n v="69835"/>
    <n v="4402"/>
    <n v="258069"/>
    <n v="7190"/>
    <n v="35.892767732962447"/>
    <n v="7.5"/>
    <n v="2.34"/>
    <n v="14610"/>
    <n v="243459"/>
    <n v="101059"/>
    <n v="58.77"/>
  </r>
  <r>
    <x v="3"/>
    <x v="5"/>
    <x v="5"/>
    <x v="1"/>
    <x v="0"/>
    <n v="111940"/>
    <n v="50802"/>
    <n v="14730"/>
    <n v="7518"/>
    <n v="1.9592976855546689"/>
    <n v="21.46"/>
    <n v="9.56"/>
    <n v="28737"/>
    <n v="-14007"/>
    <n v="134546"/>
    <n v="76.900000000000006"/>
  </r>
  <r>
    <x v="5"/>
    <x v="5"/>
    <x v="7"/>
    <x v="3"/>
    <x v="1"/>
    <n v="149528"/>
    <n v="116265"/>
    <n v="294247"/>
    <n v="3569"/>
    <n v="82.445222751470993"/>
    <n v="20.89"/>
    <n v="3.28"/>
    <n v="27025"/>
    <n v="267222"/>
    <n v="173184"/>
    <n v="54.3"/>
  </r>
  <r>
    <x v="5"/>
    <x v="4"/>
    <x v="6"/>
    <x v="0"/>
    <x v="0"/>
    <n v="69350"/>
    <n v="38461"/>
    <n v="76616"/>
    <n v="6003"/>
    <n v="12.762951857404632"/>
    <n v="10.62"/>
    <n v="4.34"/>
    <n v="35217"/>
    <n v="41399"/>
    <n v="132309"/>
    <n v="70.98"/>
  </r>
  <r>
    <x v="0"/>
    <x v="3"/>
    <x v="0"/>
    <x v="0"/>
    <x v="0"/>
    <n v="112989"/>
    <n v="55288"/>
    <n v="53501"/>
    <n v="2136"/>
    <n v="25.047284644194757"/>
    <n v="22"/>
    <n v="13.38"/>
    <n v="26741"/>
    <n v="26760"/>
    <n v="21408"/>
    <n v="69.23"/>
  </r>
  <r>
    <x v="1"/>
    <x v="2"/>
    <x v="2"/>
    <x v="0"/>
    <x v="0"/>
    <n v="82236"/>
    <n v="21452"/>
    <n v="81446"/>
    <n v="4246"/>
    <n v="19.181818181818183"/>
    <n v="21.81"/>
    <n v="5.07"/>
    <n v="40421"/>
    <n v="41025"/>
    <n v="185089"/>
    <n v="65.430000000000007"/>
  </r>
  <r>
    <x v="0"/>
    <x v="6"/>
    <x v="7"/>
    <x v="0"/>
    <x v="0"/>
    <n v="50129"/>
    <n v="10917"/>
    <n v="253328"/>
    <n v="7385"/>
    <n v="34.303046716316857"/>
    <n v="11.53"/>
    <n v="12.81"/>
    <n v="49773"/>
    <n v="203555"/>
    <n v="193159"/>
    <n v="52.84"/>
  </r>
  <r>
    <x v="5"/>
    <x v="3"/>
    <x v="7"/>
    <x v="4"/>
    <x v="1"/>
    <n v="189949"/>
    <n v="166356"/>
    <n v="262790"/>
    <n v="2032"/>
    <n v="129.32578740157481"/>
    <n v="14.16"/>
    <n v="12.71"/>
    <n v="36143"/>
    <n v="226647"/>
    <n v="17631"/>
    <n v="55.85"/>
  </r>
  <r>
    <x v="0"/>
    <x v="5"/>
    <x v="2"/>
    <x v="3"/>
    <x v="1"/>
    <n v="103338"/>
    <n v="35730"/>
    <n v="87392"/>
    <n v="6771"/>
    <n v="12.906808447792054"/>
    <n v="22.94"/>
    <n v="7.87"/>
    <n v="49723"/>
    <n v="37669"/>
    <n v="40112"/>
    <n v="43.97"/>
  </r>
  <r>
    <x v="0"/>
    <x v="6"/>
    <x v="4"/>
    <x v="0"/>
    <x v="0"/>
    <n v="126340"/>
    <n v="42180"/>
    <n v="53057"/>
    <n v="5562"/>
    <n v="9.5391945343401652"/>
    <n v="16.510000000000002"/>
    <n v="13.92"/>
    <n v="46417"/>
    <n v="6640"/>
    <n v="71238"/>
    <n v="78.03"/>
  </r>
  <r>
    <x v="1"/>
    <x v="2"/>
    <x v="4"/>
    <x v="3"/>
    <x v="1"/>
    <n v="107937"/>
    <n v="100680"/>
    <n v="69133"/>
    <n v="8680"/>
    <n v="7.9646313364055299"/>
    <n v="16.64"/>
    <n v="12.74"/>
    <n v="34328"/>
    <n v="34805"/>
    <n v="10473"/>
    <n v="34.89"/>
  </r>
  <r>
    <x v="5"/>
    <x v="4"/>
    <x v="2"/>
    <x v="2"/>
    <x v="0"/>
    <n v="155110"/>
    <n v="42162"/>
    <n v="212461"/>
    <n v="7156"/>
    <n v="29.689910564561206"/>
    <n v="8.31"/>
    <n v="13.8"/>
    <n v="9985"/>
    <n v="202476"/>
    <n v="16978"/>
    <n v="65.48"/>
  </r>
  <r>
    <x v="2"/>
    <x v="6"/>
    <x v="1"/>
    <x v="4"/>
    <x v="1"/>
    <n v="96473"/>
    <n v="79278"/>
    <n v="41507"/>
    <n v="4444"/>
    <n v="9.3400090009000909"/>
    <n v="24.78"/>
    <n v="12.04"/>
    <n v="37581"/>
    <n v="3926"/>
    <n v="71378"/>
    <n v="47.93"/>
  </r>
  <r>
    <x v="2"/>
    <x v="7"/>
    <x v="2"/>
    <x v="4"/>
    <x v="1"/>
    <n v="107115"/>
    <n v="24557"/>
    <n v="245992"/>
    <n v="6368"/>
    <n v="38.629396984924625"/>
    <n v="16.079999999999998"/>
    <n v="10.65"/>
    <n v="42102"/>
    <n v="203890"/>
    <n v="117153"/>
    <n v="24.82"/>
  </r>
  <r>
    <x v="4"/>
    <x v="2"/>
    <x v="1"/>
    <x v="3"/>
    <x v="1"/>
    <n v="45012"/>
    <n v="15212"/>
    <n v="292545"/>
    <n v="3698"/>
    <n v="79.108977825851809"/>
    <n v="6.46"/>
    <n v="5.25"/>
    <n v="15413"/>
    <n v="277132"/>
    <n v="137387"/>
    <n v="15.07"/>
  </r>
  <r>
    <x v="1"/>
    <x v="6"/>
    <x v="2"/>
    <x v="4"/>
    <x v="1"/>
    <n v="136890"/>
    <n v="128567"/>
    <n v="40989"/>
    <n v="2817"/>
    <n v="14.550585729499467"/>
    <n v="22.89"/>
    <n v="7.11"/>
    <n v="18325"/>
    <n v="22664"/>
    <n v="43650"/>
    <n v="18.41"/>
  </r>
  <r>
    <x v="1"/>
    <x v="5"/>
    <x v="1"/>
    <x v="3"/>
    <x v="1"/>
    <n v="197692"/>
    <n v="142993"/>
    <n v="276091"/>
    <n v="4564"/>
    <n v="60.493207712532865"/>
    <n v="7.73"/>
    <n v="12.99"/>
    <n v="16313"/>
    <n v="259778"/>
    <n v="91043"/>
    <n v="63.05"/>
  </r>
  <r>
    <x v="0"/>
    <x v="5"/>
    <x v="3"/>
    <x v="0"/>
    <x v="0"/>
    <n v="95550"/>
    <n v="56664"/>
    <n v="101870"/>
    <n v="9147"/>
    <n v="11.136984803760797"/>
    <n v="6.64"/>
    <n v="6.63"/>
    <n v="8896"/>
    <n v="92974"/>
    <n v="10860"/>
    <n v="73.8"/>
  </r>
  <r>
    <x v="1"/>
    <x v="7"/>
    <x v="7"/>
    <x v="1"/>
    <x v="0"/>
    <n v="132286"/>
    <n v="21312"/>
    <n v="289765"/>
    <n v="7059"/>
    <n v="41.049015441280638"/>
    <n v="3.86"/>
    <n v="14.06"/>
    <n v="34123"/>
    <n v="255642"/>
    <n v="66968"/>
    <n v="72.86"/>
  </r>
  <r>
    <x v="0"/>
    <x v="1"/>
    <x v="3"/>
    <x v="3"/>
    <x v="1"/>
    <n v="96061"/>
    <n v="84351"/>
    <n v="26982"/>
    <n v="1222"/>
    <n v="22.080196399345336"/>
    <n v="15.13"/>
    <n v="7.98"/>
    <n v="960"/>
    <n v="26022"/>
    <n v="83430"/>
    <n v="47.18"/>
  </r>
  <r>
    <x v="4"/>
    <x v="0"/>
    <x v="6"/>
    <x v="2"/>
    <x v="0"/>
    <n v="99430"/>
    <n v="38256"/>
    <n v="186742"/>
    <n v="6749"/>
    <n v="27.669580678619056"/>
    <n v="11.49"/>
    <n v="8.2200000000000006"/>
    <n v="21351"/>
    <n v="165391"/>
    <n v="72500"/>
    <n v="40.14"/>
  </r>
  <r>
    <x v="4"/>
    <x v="2"/>
    <x v="6"/>
    <x v="2"/>
    <x v="0"/>
    <n v="120823"/>
    <n v="37198"/>
    <n v="221113"/>
    <n v="5672"/>
    <n v="38.983251057827928"/>
    <n v="15.08"/>
    <n v="14.22"/>
    <n v="2253"/>
    <n v="218860"/>
    <n v="155093"/>
    <n v="68.680000000000007"/>
  </r>
  <r>
    <x v="0"/>
    <x v="1"/>
    <x v="2"/>
    <x v="2"/>
    <x v="0"/>
    <n v="136906"/>
    <n v="110290"/>
    <n v="268546"/>
    <n v="1384"/>
    <n v="194.03612716763007"/>
    <n v="9.4700000000000006"/>
    <n v="14.65"/>
    <n v="9962"/>
    <n v="258584"/>
    <n v="116992"/>
    <n v="31.17"/>
  </r>
  <r>
    <x v="3"/>
    <x v="1"/>
    <x v="1"/>
    <x v="4"/>
    <x v="1"/>
    <n v="76704"/>
    <n v="68144"/>
    <n v="187982"/>
    <n v="1340"/>
    <n v="140.28507462686568"/>
    <n v="16.239999999999998"/>
    <n v="13.47"/>
    <n v="33475"/>
    <n v="154507"/>
    <n v="118906"/>
    <n v="30.27"/>
  </r>
  <r>
    <x v="1"/>
    <x v="2"/>
    <x v="1"/>
    <x v="2"/>
    <x v="0"/>
    <n v="71717"/>
    <n v="57026"/>
    <n v="296221"/>
    <n v="1166"/>
    <n v="254.04888507718695"/>
    <n v="12.21"/>
    <n v="9.39"/>
    <n v="22159"/>
    <n v="274062"/>
    <n v="104261"/>
    <n v="8.0299999999999994"/>
  </r>
  <r>
    <x v="3"/>
    <x v="5"/>
    <x v="4"/>
    <x v="0"/>
    <x v="0"/>
    <n v="78966"/>
    <n v="54263"/>
    <n v="289347"/>
    <n v="1811"/>
    <n v="159.77194919933737"/>
    <n v="9.75"/>
    <n v="1.94"/>
    <n v="1693"/>
    <n v="287654"/>
    <n v="202258"/>
    <n v="13.03"/>
  </r>
  <r>
    <x v="0"/>
    <x v="7"/>
    <x v="4"/>
    <x v="2"/>
    <x v="0"/>
    <n v="50187"/>
    <n v="44120"/>
    <n v="41736"/>
    <n v="945"/>
    <n v="44.165079365079364"/>
    <n v="8.25"/>
    <n v="9.5500000000000007"/>
    <n v="25286"/>
    <n v="16450"/>
    <n v="212453"/>
    <n v="10.98"/>
  </r>
  <r>
    <x v="1"/>
    <x v="4"/>
    <x v="7"/>
    <x v="2"/>
    <x v="0"/>
    <n v="167100"/>
    <n v="30387"/>
    <n v="9345"/>
    <n v="5332"/>
    <n v="1.7526256564141036"/>
    <n v="15.82"/>
    <n v="9.32"/>
    <n v="11442"/>
    <n v="-2097"/>
    <n v="255025"/>
    <n v="72.19"/>
  </r>
  <r>
    <x v="0"/>
    <x v="2"/>
    <x v="1"/>
    <x v="3"/>
    <x v="1"/>
    <n v="151814"/>
    <n v="74640"/>
    <n v="194837"/>
    <n v="7089"/>
    <n v="27.48441247002398"/>
    <n v="17.72"/>
    <n v="3.43"/>
    <n v="22115"/>
    <n v="172722"/>
    <n v="76545"/>
    <n v="44.6"/>
  </r>
  <r>
    <x v="2"/>
    <x v="1"/>
    <x v="0"/>
    <x v="0"/>
    <x v="0"/>
    <n v="99813"/>
    <n v="94363"/>
    <n v="69786"/>
    <n v="2942"/>
    <n v="23.720598232494901"/>
    <n v="5.78"/>
    <n v="10.91"/>
    <n v="13779"/>
    <n v="56007"/>
    <n v="176112"/>
    <n v="38.799999999999997"/>
  </r>
  <r>
    <x v="0"/>
    <x v="7"/>
    <x v="0"/>
    <x v="0"/>
    <x v="0"/>
    <n v="152606"/>
    <n v="121239"/>
    <n v="43507"/>
    <n v="9255"/>
    <n v="4.7009184224743379"/>
    <n v="12.53"/>
    <n v="5.55"/>
    <n v="44209"/>
    <n v="-702"/>
    <n v="153982"/>
    <n v="51.11"/>
  </r>
  <r>
    <x v="1"/>
    <x v="3"/>
    <x v="0"/>
    <x v="1"/>
    <x v="0"/>
    <n v="24143"/>
    <n v="11272"/>
    <n v="153323"/>
    <n v="6373"/>
    <n v="24.058214341754276"/>
    <n v="24.78"/>
    <n v="8.76"/>
    <n v="7399"/>
    <n v="145924"/>
    <n v="123084"/>
    <n v="33.31"/>
  </r>
  <r>
    <x v="3"/>
    <x v="1"/>
    <x v="2"/>
    <x v="0"/>
    <x v="0"/>
    <n v="126572"/>
    <n v="126453"/>
    <n v="151729"/>
    <n v="5506"/>
    <n v="27.557028695968036"/>
    <n v="19.75"/>
    <n v="9.81"/>
    <n v="37832"/>
    <n v="113897"/>
    <n v="161093"/>
    <n v="19.63"/>
  </r>
  <r>
    <x v="5"/>
    <x v="7"/>
    <x v="0"/>
    <x v="2"/>
    <x v="0"/>
    <n v="85171"/>
    <n v="74027"/>
    <n v="206493"/>
    <n v="9261"/>
    <n v="22.297052154195011"/>
    <n v="18.89"/>
    <n v="3.49"/>
    <n v="35268"/>
    <n v="171225"/>
    <n v="34140"/>
    <n v="29.56"/>
  </r>
  <r>
    <x v="4"/>
    <x v="2"/>
    <x v="4"/>
    <x v="0"/>
    <x v="0"/>
    <n v="13279"/>
    <n v="12966"/>
    <n v="145082"/>
    <n v="3867"/>
    <n v="37.517972588569954"/>
    <n v="20.56"/>
    <n v="12.09"/>
    <n v="42207"/>
    <n v="102875"/>
    <n v="281784"/>
    <n v="25.67"/>
  </r>
  <r>
    <x v="3"/>
    <x v="5"/>
    <x v="7"/>
    <x v="3"/>
    <x v="1"/>
    <n v="28667"/>
    <n v="5829"/>
    <n v="152738"/>
    <n v="8632"/>
    <n v="17.694392956441149"/>
    <n v="20.61"/>
    <n v="14.92"/>
    <n v="8279"/>
    <n v="144459"/>
    <n v="182179"/>
    <n v="25.08"/>
  </r>
  <r>
    <x v="2"/>
    <x v="5"/>
    <x v="0"/>
    <x v="2"/>
    <x v="0"/>
    <n v="188475"/>
    <n v="137241"/>
    <n v="18911"/>
    <n v="7959"/>
    <n v="2.3760522678728484"/>
    <n v="9.6"/>
    <n v="7.23"/>
    <n v="5941"/>
    <n v="12970"/>
    <n v="40513"/>
    <n v="57.75"/>
  </r>
  <r>
    <x v="1"/>
    <x v="4"/>
    <x v="3"/>
    <x v="0"/>
    <x v="0"/>
    <n v="87360"/>
    <n v="3664"/>
    <n v="163167"/>
    <n v="4931"/>
    <n v="33.090042587710407"/>
    <n v="9.39"/>
    <n v="14.71"/>
    <n v="49960"/>
    <n v="113207"/>
    <n v="91655"/>
    <n v="56.79"/>
  </r>
  <r>
    <x v="1"/>
    <x v="2"/>
    <x v="0"/>
    <x v="3"/>
    <x v="1"/>
    <n v="116479"/>
    <n v="98536"/>
    <n v="132472"/>
    <n v="1931"/>
    <n v="68.602796478508552"/>
    <n v="8.6999999999999993"/>
    <n v="8.39"/>
    <n v="20141"/>
    <n v="112331"/>
    <n v="293429"/>
    <n v="65.02"/>
  </r>
  <r>
    <x v="1"/>
    <x v="5"/>
    <x v="5"/>
    <x v="3"/>
    <x v="1"/>
    <n v="106273"/>
    <n v="67690"/>
    <n v="108306"/>
    <n v="4519"/>
    <n v="23.966806815667184"/>
    <n v="18.13"/>
    <n v="9.6"/>
    <n v="41287"/>
    <n v="67019"/>
    <n v="167847"/>
    <n v="61.27"/>
  </r>
  <r>
    <x v="0"/>
    <x v="4"/>
    <x v="1"/>
    <x v="2"/>
    <x v="0"/>
    <n v="58633"/>
    <n v="22349"/>
    <n v="154805"/>
    <n v="1686"/>
    <n v="91.817912218268091"/>
    <n v="2.83"/>
    <n v="14.68"/>
    <n v="13750"/>
    <n v="141055"/>
    <n v="218238"/>
    <n v="77.08"/>
  </r>
  <r>
    <x v="3"/>
    <x v="7"/>
    <x v="2"/>
    <x v="4"/>
    <x v="1"/>
    <n v="73291"/>
    <n v="22461"/>
    <n v="280065"/>
    <n v="6653"/>
    <n v="42.096046896137082"/>
    <n v="6.39"/>
    <n v="6.27"/>
    <n v="36240"/>
    <n v="243825"/>
    <n v="257651"/>
    <n v="19.68"/>
  </r>
  <r>
    <x v="0"/>
    <x v="2"/>
    <x v="6"/>
    <x v="2"/>
    <x v="0"/>
    <n v="64783"/>
    <n v="55192"/>
    <n v="229865"/>
    <n v="1736"/>
    <n v="132.41071428571428"/>
    <n v="7.86"/>
    <n v="12.15"/>
    <n v="2007"/>
    <n v="227858"/>
    <n v="109958"/>
    <n v="54.31"/>
  </r>
  <r>
    <x v="1"/>
    <x v="2"/>
    <x v="7"/>
    <x v="2"/>
    <x v="0"/>
    <n v="86822"/>
    <n v="61130"/>
    <n v="182449"/>
    <n v="6449"/>
    <n v="28.291052876414948"/>
    <n v="22.66"/>
    <n v="3.32"/>
    <n v="49231"/>
    <n v="133218"/>
    <n v="295511"/>
    <n v="18.559999999999999"/>
  </r>
  <r>
    <x v="2"/>
    <x v="5"/>
    <x v="2"/>
    <x v="1"/>
    <x v="0"/>
    <n v="118247"/>
    <n v="65994"/>
    <n v="8369"/>
    <n v="6546"/>
    <n v="1.2784906813321113"/>
    <n v="4.1900000000000004"/>
    <n v="6.87"/>
    <n v="630"/>
    <n v="7739"/>
    <n v="75845"/>
    <n v="63.52"/>
  </r>
  <r>
    <x v="0"/>
    <x v="5"/>
    <x v="1"/>
    <x v="2"/>
    <x v="0"/>
    <n v="188492"/>
    <n v="180437"/>
    <n v="101865"/>
    <n v="3835"/>
    <n v="26.561929595827902"/>
    <n v="23.9"/>
    <n v="10.95"/>
    <n v="31583"/>
    <n v="70282"/>
    <n v="144892"/>
    <n v="10.38"/>
  </r>
  <r>
    <x v="2"/>
    <x v="7"/>
    <x v="3"/>
    <x v="0"/>
    <x v="0"/>
    <n v="123520"/>
    <n v="3246"/>
    <n v="10957"/>
    <n v="6499"/>
    <n v="1.6859516848745961"/>
    <n v="19.190000000000001"/>
    <n v="3.32"/>
    <n v="293"/>
    <n v="10664"/>
    <n v="161095"/>
    <n v="41.73"/>
  </r>
  <r>
    <x v="3"/>
    <x v="5"/>
    <x v="2"/>
    <x v="1"/>
    <x v="0"/>
    <n v="29233"/>
    <n v="10072"/>
    <n v="209682"/>
    <n v="4374"/>
    <n v="47.938271604938272"/>
    <n v="16.079999999999998"/>
    <n v="4.28"/>
    <n v="37516"/>
    <n v="172166"/>
    <n v="205964"/>
    <n v="39.909999999999997"/>
  </r>
  <r>
    <x v="5"/>
    <x v="1"/>
    <x v="4"/>
    <x v="3"/>
    <x v="1"/>
    <n v="142620"/>
    <n v="52413"/>
    <n v="286906"/>
    <n v="7110"/>
    <n v="40.352461322081574"/>
    <n v="10.8"/>
    <n v="14.94"/>
    <n v="30444"/>
    <n v="256462"/>
    <n v="103386"/>
    <n v="17.37"/>
  </r>
  <r>
    <x v="1"/>
    <x v="5"/>
    <x v="3"/>
    <x v="0"/>
    <x v="0"/>
    <n v="140511"/>
    <n v="86327"/>
    <n v="73622"/>
    <n v="2720"/>
    <n v="27.066911764705882"/>
    <n v="2.3199999999999998"/>
    <n v="11.11"/>
    <n v="17642"/>
    <n v="55980"/>
    <n v="92737"/>
    <n v="25.46"/>
  </r>
  <r>
    <x v="4"/>
    <x v="7"/>
    <x v="1"/>
    <x v="2"/>
    <x v="0"/>
    <n v="171563"/>
    <n v="150366"/>
    <n v="116332"/>
    <n v="8596"/>
    <n v="13.533271288971616"/>
    <n v="16.64"/>
    <n v="6.75"/>
    <n v="21618"/>
    <n v="94714"/>
    <n v="213626"/>
    <n v="21.4"/>
  </r>
  <r>
    <x v="3"/>
    <x v="1"/>
    <x v="0"/>
    <x v="4"/>
    <x v="1"/>
    <n v="83748"/>
    <n v="27460"/>
    <n v="254313"/>
    <n v="8765"/>
    <n v="29.014603536794066"/>
    <n v="7.37"/>
    <n v="1.73"/>
    <n v="17279"/>
    <n v="237034"/>
    <n v="208031"/>
    <n v="35.79"/>
  </r>
  <r>
    <x v="5"/>
    <x v="2"/>
    <x v="3"/>
    <x v="1"/>
    <x v="0"/>
    <n v="176673"/>
    <n v="169684"/>
    <n v="54265"/>
    <n v="3861"/>
    <n v="14.054649054649055"/>
    <n v="15.57"/>
    <n v="10.67"/>
    <n v="35462"/>
    <n v="18803"/>
    <n v="201581"/>
    <n v="15.33"/>
  </r>
  <r>
    <x v="0"/>
    <x v="1"/>
    <x v="1"/>
    <x v="4"/>
    <x v="1"/>
    <n v="76250"/>
    <n v="32112"/>
    <n v="9361"/>
    <n v="8437"/>
    <n v="1.1095176010430248"/>
    <n v="5.07"/>
    <n v="7.24"/>
    <n v="11460"/>
    <n v="-2099"/>
    <n v="95558"/>
    <n v="52.99"/>
  </r>
  <r>
    <x v="1"/>
    <x v="4"/>
    <x v="7"/>
    <x v="4"/>
    <x v="1"/>
    <n v="36072"/>
    <n v="15732"/>
    <n v="166951"/>
    <n v="5010"/>
    <n v="33.323552894211574"/>
    <n v="17.57"/>
    <n v="11.78"/>
    <n v="46339"/>
    <n v="120612"/>
    <n v="202482"/>
    <n v="68.36"/>
  </r>
  <r>
    <x v="5"/>
    <x v="2"/>
    <x v="0"/>
    <x v="0"/>
    <x v="0"/>
    <n v="97602"/>
    <n v="33399"/>
    <n v="188909"/>
    <n v="7571"/>
    <n v="24.951657640998548"/>
    <n v="22.15"/>
    <n v="7.14"/>
    <n v="23822"/>
    <n v="165087"/>
    <n v="295867"/>
    <n v="67.680000000000007"/>
  </r>
  <r>
    <x v="4"/>
    <x v="5"/>
    <x v="5"/>
    <x v="3"/>
    <x v="1"/>
    <n v="155349"/>
    <n v="123203"/>
    <n v="74310"/>
    <n v="1991"/>
    <n v="37.322953289804119"/>
    <n v="19.38"/>
    <n v="3.88"/>
    <n v="35189"/>
    <n v="39121"/>
    <n v="284322"/>
    <n v="39.549999999999997"/>
  </r>
  <r>
    <x v="0"/>
    <x v="1"/>
    <x v="4"/>
    <x v="0"/>
    <x v="0"/>
    <n v="94704"/>
    <n v="76399"/>
    <n v="109730"/>
    <n v="7913"/>
    <n v="13.867054214583597"/>
    <n v="21.39"/>
    <n v="12.67"/>
    <n v="44996"/>
    <n v="64734"/>
    <n v="199938"/>
    <n v="64.400000000000006"/>
  </r>
  <r>
    <x v="5"/>
    <x v="6"/>
    <x v="5"/>
    <x v="4"/>
    <x v="1"/>
    <n v="57729"/>
    <n v="18476"/>
    <n v="41055"/>
    <n v="1824"/>
    <n v="22.508223684210527"/>
    <n v="9.42"/>
    <n v="4.54"/>
    <n v="39471"/>
    <n v="1584"/>
    <n v="281023"/>
    <n v="29.98"/>
  </r>
  <r>
    <x v="4"/>
    <x v="5"/>
    <x v="6"/>
    <x v="3"/>
    <x v="1"/>
    <n v="10437"/>
    <n v="7613"/>
    <n v="86827"/>
    <n v="2740"/>
    <n v="31.688686131386863"/>
    <n v="5.34"/>
    <n v="4.45"/>
    <n v="4088"/>
    <n v="82739"/>
    <n v="213870"/>
    <n v="64.790000000000006"/>
  </r>
  <r>
    <x v="5"/>
    <x v="3"/>
    <x v="1"/>
    <x v="3"/>
    <x v="1"/>
    <n v="82430"/>
    <n v="27042"/>
    <n v="179556"/>
    <n v="8651"/>
    <n v="20.755519593110623"/>
    <n v="22.39"/>
    <n v="10.61"/>
    <n v="32407"/>
    <n v="147149"/>
    <n v="289399"/>
    <n v="39.49"/>
  </r>
  <r>
    <x v="5"/>
    <x v="4"/>
    <x v="4"/>
    <x v="0"/>
    <x v="0"/>
    <n v="106705"/>
    <n v="104351"/>
    <n v="71833"/>
    <n v="2882"/>
    <n v="24.924705065926439"/>
    <n v="13.28"/>
    <n v="9.83"/>
    <n v="2487"/>
    <n v="69346"/>
    <n v="191448"/>
    <n v="76.63"/>
  </r>
  <r>
    <x v="2"/>
    <x v="5"/>
    <x v="6"/>
    <x v="0"/>
    <x v="0"/>
    <n v="51715"/>
    <n v="1888"/>
    <n v="202441"/>
    <n v="7743"/>
    <n v="26.145034224460804"/>
    <n v="19.059999999999999"/>
    <n v="9.42"/>
    <n v="7090"/>
    <n v="195351"/>
    <n v="102465"/>
    <n v="63.65"/>
  </r>
  <r>
    <x v="3"/>
    <x v="1"/>
    <x v="1"/>
    <x v="1"/>
    <x v="0"/>
    <n v="10170"/>
    <n v="8585"/>
    <n v="126286"/>
    <n v="6977"/>
    <n v="18.100329654579333"/>
    <n v="10.64"/>
    <n v="2.85"/>
    <n v="47944"/>
    <n v="78342"/>
    <n v="276203"/>
    <n v="72.06"/>
  </r>
  <r>
    <x v="1"/>
    <x v="2"/>
    <x v="1"/>
    <x v="1"/>
    <x v="0"/>
    <n v="168216"/>
    <n v="151485"/>
    <n v="29357"/>
    <n v="1254"/>
    <n v="23.410685805422649"/>
    <n v="12.69"/>
    <n v="3.05"/>
    <n v="26523"/>
    <n v="2834"/>
    <n v="273627"/>
    <n v="74.55"/>
  </r>
  <r>
    <x v="3"/>
    <x v="2"/>
    <x v="7"/>
    <x v="3"/>
    <x v="1"/>
    <n v="151580"/>
    <n v="36895"/>
    <n v="8326"/>
    <n v="9987"/>
    <n v="0.83368378892560324"/>
    <n v="3.6"/>
    <n v="5.6"/>
    <n v="46797"/>
    <n v="-38471"/>
    <n v="56403"/>
    <n v="23.98"/>
  </r>
  <r>
    <x v="2"/>
    <x v="0"/>
    <x v="6"/>
    <x v="2"/>
    <x v="0"/>
    <n v="125869"/>
    <n v="36483"/>
    <n v="110216"/>
    <n v="916"/>
    <n v="120.32314410480349"/>
    <n v="5.38"/>
    <n v="4.71"/>
    <n v="33509"/>
    <n v="76707"/>
    <n v="20619"/>
    <n v="9.27"/>
  </r>
  <r>
    <x v="1"/>
    <x v="6"/>
    <x v="5"/>
    <x v="4"/>
    <x v="1"/>
    <n v="197210"/>
    <n v="70169"/>
    <n v="60650"/>
    <n v="4989"/>
    <n v="12.15674483864502"/>
    <n v="3.84"/>
    <n v="14.64"/>
    <n v="3184"/>
    <n v="57466"/>
    <n v="104939"/>
    <n v="67.58"/>
  </r>
  <r>
    <x v="5"/>
    <x v="5"/>
    <x v="1"/>
    <x v="3"/>
    <x v="1"/>
    <n v="145766"/>
    <n v="22786"/>
    <n v="207764"/>
    <n v="1705"/>
    <n v="121.85571847507332"/>
    <n v="4.97"/>
    <n v="4.49"/>
    <n v="48055"/>
    <n v="159709"/>
    <n v="158953"/>
    <n v="64.63"/>
  </r>
  <r>
    <x v="1"/>
    <x v="5"/>
    <x v="6"/>
    <x v="3"/>
    <x v="1"/>
    <n v="5197"/>
    <n v="2004"/>
    <n v="245729"/>
    <n v="7644"/>
    <n v="32.146650968079541"/>
    <n v="7.06"/>
    <n v="10.52"/>
    <n v="16154"/>
    <n v="229575"/>
    <n v="15253"/>
    <n v="57.22"/>
  </r>
  <r>
    <x v="5"/>
    <x v="1"/>
    <x v="6"/>
    <x v="3"/>
    <x v="1"/>
    <n v="50049"/>
    <n v="38805"/>
    <n v="259333"/>
    <n v="3724"/>
    <n v="69.638292158968852"/>
    <n v="9.7100000000000009"/>
    <n v="3.22"/>
    <n v="46088"/>
    <n v="213245"/>
    <n v="134079"/>
    <n v="62.68"/>
  </r>
  <r>
    <x v="0"/>
    <x v="5"/>
    <x v="5"/>
    <x v="4"/>
    <x v="1"/>
    <n v="171290"/>
    <n v="68759"/>
    <n v="101379"/>
    <n v="1420"/>
    <n v="71.39366197183098"/>
    <n v="18.73"/>
    <n v="12.24"/>
    <n v="30580"/>
    <n v="70799"/>
    <n v="116434"/>
    <n v="31.6"/>
  </r>
  <r>
    <x v="5"/>
    <x v="6"/>
    <x v="0"/>
    <x v="3"/>
    <x v="1"/>
    <n v="81525"/>
    <n v="57212"/>
    <n v="124417"/>
    <n v="574"/>
    <n v="216.75435540069685"/>
    <n v="22.73"/>
    <n v="5"/>
    <n v="27590"/>
    <n v="96827"/>
    <n v="166272"/>
    <n v="45.46"/>
  </r>
  <r>
    <x v="3"/>
    <x v="0"/>
    <x v="5"/>
    <x v="1"/>
    <x v="0"/>
    <n v="136860"/>
    <n v="95670"/>
    <n v="245846"/>
    <n v="9138"/>
    <n v="26.903698840008754"/>
    <n v="11.49"/>
    <n v="6.77"/>
    <n v="29434"/>
    <n v="216412"/>
    <n v="220058"/>
    <n v="17.010000000000002"/>
  </r>
  <r>
    <x v="0"/>
    <x v="7"/>
    <x v="4"/>
    <x v="3"/>
    <x v="1"/>
    <n v="176742"/>
    <n v="59418"/>
    <n v="234290"/>
    <n v="694"/>
    <n v="337.5936599423631"/>
    <n v="16.760000000000002"/>
    <n v="4.5199999999999996"/>
    <n v="23124"/>
    <n v="211166"/>
    <n v="110809"/>
    <n v="53.61"/>
  </r>
  <r>
    <x v="0"/>
    <x v="4"/>
    <x v="7"/>
    <x v="1"/>
    <x v="0"/>
    <n v="88161"/>
    <n v="78698"/>
    <n v="139064"/>
    <n v="7537"/>
    <n v="18.450842510282605"/>
    <n v="19.82"/>
    <n v="2.63"/>
    <n v="18397"/>
    <n v="120667"/>
    <n v="100087"/>
    <n v="14.12"/>
  </r>
  <r>
    <x v="5"/>
    <x v="2"/>
    <x v="2"/>
    <x v="0"/>
    <x v="0"/>
    <n v="166991"/>
    <n v="35344"/>
    <n v="26368"/>
    <n v="3017"/>
    <n v="8.7398077560490552"/>
    <n v="17.95"/>
    <n v="4.99"/>
    <n v="24112"/>
    <n v="2256"/>
    <n v="77057"/>
    <n v="73.31"/>
  </r>
  <r>
    <x v="0"/>
    <x v="7"/>
    <x v="1"/>
    <x v="3"/>
    <x v="1"/>
    <n v="172548"/>
    <n v="23435"/>
    <n v="205903"/>
    <n v="707"/>
    <n v="291.23479490806221"/>
    <n v="14.08"/>
    <n v="9.92"/>
    <n v="11258"/>
    <n v="194645"/>
    <n v="29142"/>
    <n v="46.84"/>
  </r>
  <r>
    <x v="1"/>
    <x v="0"/>
    <x v="1"/>
    <x v="2"/>
    <x v="0"/>
    <n v="35909"/>
    <n v="26469"/>
    <n v="110231"/>
    <n v="7718"/>
    <n v="14.282327027727391"/>
    <n v="8.7100000000000009"/>
    <n v="8.49"/>
    <n v="20305"/>
    <n v="89926"/>
    <n v="125144"/>
    <n v="64.77"/>
  </r>
  <r>
    <x v="1"/>
    <x v="3"/>
    <x v="3"/>
    <x v="3"/>
    <x v="1"/>
    <n v="79754"/>
    <n v="78064"/>
    <n v="257406"/>
    <n v="9039"/>
    <n v="28.477265184201791"/>
    <n v="2.62"/>
    <n v="8.17"/>
    <n v="48716"/>
    <n v="208690"/>
    <n v="239367"/>
    <n v="26.81"/>
  </r>
  <r>
    <x v="5"/>
    <x v="3"/>
    <x v="1"/>
    <x v="1"/>
    <x v="0"/>
    <n v="81170"/>
    <n v="14027"/>
    <n v="275220"/>
    <n v="868"/>
    <n v="317.07373271889401"/>
    <n v="11.96"/>
    <n v="14.19"/>
    <n v="30067"/>
    <n v="245153"/>
    <n v="295980"/>
    <n v="59.11"/>
  </r>
  <r>
    <x v="0"/>
    <x v="1"/>
    <x v="6"/>
    <x v="4"/>
    <x v="1"/>
    <n v="25166"/>
    <n v="2623"/>
    <n v="298867"/>
    <n v="6062"/>
    <n v="49.301715605410756"/>
    <n v="24.34"/>
    <n v="10.98"/>
    <n v="3838"/>
    <n v="295029"/>
    <n v="167574"/>
    <n v="70.59"/>
  </r>
  <r>
    <x v="3"/>
    <x v="0"/>
    <x v="5"/>
    <x v="4"/>
    <x v="1"/>
    <n v="180395"/>
    <n v="52387"/>
    <n v="112931"/>
    <n v="7325"/>
    <n v="15.417201365187713"/>
    <n v="24.86"/>
    <n v="1.91"/>
    <n v="13762"/>
    <n v="99169"/>
    <n v="202521"/>
    <n v="7.87"/>
  </r>
  <r>
    <x v="2"/>
    <x v="1"/>
    <x v="7"/>
    <x v="2"/>
    <x v="0"/>
    <n v="71463"/>
    <n v="11521"/>
    <n v="218094"/>
    <n v="5831"/>
    <n v="37.40250385868633"/>
    <n v="24.78"/>
    <n v="3.57"/>
    <n v="9631"/>
    <n v="208463"/>
    <n v="108035"/>
    <n v="78.92"/>
  </r>
  <r>
    <x v="1"/>
    <x v="0"/>
    <x v="6"/>
    <x v="4"/>
    <x v="1"/>
    <n v="65332"/>
    <n v="56195"/>
    <n v="11281"/>
    <n v="4556"/>
    <n v="2.4760755048287972"/>
    <n v="10.87"/>
    <n v="5.82"/>
    <n v="6483"/>
    <n v="4798"/>
    <n v="264114"/>
    <n v="14.34"/>
  </r>
  <r>
    <x v="5"/>
    <x v="6"/>
    <x v="1"/>
    <x v="3"/>
    <x v="1"/>
    <n v="155809"/>
    <n v="6744"/>
    <n v="26037"/>
    <n v="4073"/>
    <n v="6.392585317947459"/>
    <n v="20.69"/>
    <n v="2.83"/>
    <n v="45248"/>
    <n v="-19211"/>
    <n v="225678"/>
    <n v="77.77"/>
  </r>
  <r>
    <x v="1"/>
    <x v="0"/>
    <x v="0"/>
    <x v="1"/>
    <x v="0"/>
    <n v="197723"/>
    <n v="164415"/>
    <n v="179051"/>
    <n v="8682"/>
    <n v="20.623243492282885"/>
    <n v="19.559999999999999"/>
    <n v="8.56"/>
    <n v="7719"/>
    <n v="171332"/>
    <n v="92510"/>
    <n v="19.02"/>
  </r>
  <r>
    <x v="5"/>
    <x v="5"/>
    <x v="2"/>
    <x v="0"/>
    <x v="0"/>
    <n v="95814"/>
    <n v="46846"/>
    <n v="204075"/>
    <n v="1548"/>
    <n v="131.83139534883722"/>
    <n v="4.3899999999999997"/>
    <n v="5.69"/>
    <n v="4102"/>
    <n v="199973"/>
    <n v="146605"/>
    <n v="72.069999999999993"/>
  </r>
  <r>
    <x v="1"/>
    <x v="6"/>
    <x v="6"/>
    <x v="3"/>
    <x v="1"/>
    <n v="132594"/>
    <n v="23897"/>
    <n v="91911"/>
    <n v="2384"/>
    <n v="38.553271812080538"/>
    <n v="3.44"/>
    <n v="12.98"/>
    <n v="22555"/>
    <n v="69356"/>
    <n v="175795"/>
    <n v="60.24"/>
  </r>
  <r>
    <x v="2"/>
    <x v="3"/>
    <x v="4"/>
    <x v="3"/>
    <x v="1"/>
    <n v="137629"/>
    <n v="75094"/>
    <n v="42756"/>
    <n v="642"/>
    <n v="66.598130841121488"/>
    <n v="4.1900000000000004"/>
    <n v="2.2599999999999998"/>
    <n v="23905"/>
    <n v="18851"/>
    <n v="289304"/>
    <n v="70.89"/>
  </r>
  <r>
    <x v="3"/>
    <x v="6"/>
    <x v="5"/>
    <x v="0"/>
    <x v="0"/>
    <n v="74544"/>
    <n v="53213"/>
    <n v="150467"/>
    <n v="3847"/>
    <n v="39.112815180660256"/>
    <n v="19.3"/>
    <n v="10.8"/>
    <n v="39614"/>
    <n v="110853"/>
    <n v="219298"/>
    <n v="78.42"/>
  </r>
  <r>
    <x v="3"/>
    <x v="0"/>
    <x v="6"/>
    <x v="3"/>
    <x v="1"/>
    <n v="8276"/>
    <n v="4366"/>
    <n v="99169"/>
    <n v="6987"/>
    <n v="14.193359095463002"/>
    <n v="2.16"/>
    <n v="2.64"/>
    <n v="4996"/>
    <n v="94173"/>
    <n v="106272"/>
    <n v="5.84"/>
  </r>
  <r>
    <x v="3"/>
    <x v="5"/>
    <x v="0"/>
    <x v="4"/>
    <x v="1"/>
    <n v="78158"/>
    <n v="14259"/>
    <n v="32673"/>
    <n v="6365"/>
    <n v="5.133228593872742"/>
    <n v="14.7"/>
    <n v="12.25"/>
    <n v="19708"/>
    <n v="12965"/>
    <n v="293339"/>
    <n v="40.630000000000003"/>
  </r>
  <r>
    <x v="4"/>
    <x v="5"/>
    <x v="5"/>
    <x v="0"/>
    <x v="0"/>
    <n v="184482"/>
    <n v="125223"/>
    <n v="224972"/>
    <n v="2396"/>
    <n v="93.894824707846411"/>
    <n v="16.559999999999999"/>
    <n v="5.65"/>
    <n v="14541"/>
    <n v="210431"/>
    <n v="281744"/>
    <n v="71.72"/>
  </r>
  <r>
    <x v="4"/>
    <x v="6"/>
    <x v="4"/>
    <x v="4"/>
    <x v="1"/>
    <n v="154284"/>
    <n v="64900"/>
    <n v="105083"/>
    <n v="3955"/>
    <n v="26.569658659924148"/>
    <n v="23.27"/>
    <n v="4.47"/>
    <n v="27936"/>
    <n v="77147"/>
    <n v="118426"/>
    <n v="70.41"/>
  </r>
  <r>
    <x v="3"/>
    <x v="3"/>
    <x v="1"/>
    <x v="4"/>
    <x v="1"/>
    <n v="191795"/>
    <n v="153794"/>
    <n v="259539"/>
    <n v="2973"/>
    <n v="87.298688193743686"/>
    <n v="15.62"/>
    <n v="6.36"/>
    <n v="24384"/>
    <n v="235155"/>
    <n v="259533"/>
    <n v="63.04"/>
  </r>
  <r>
    <x v="0"/>
    <x v="0"/>
    <x v="2"/>
    <x v="2"/>
    <x v="0"/>
    <n v="135146"/>
    <n v="73217"/>
    <n v="89358"/>
    <n v="3758"/>
    <n v="23.778073443320917"/>
    <n v="14.07"/>
    <n v="5.47"/>
    <n v="11331"/>
    <n v="78027"/>
    <n v="78577"/>
    <n v="70.09"/>
  </r>
  <r>
    <x v="3"/>
    <x v="5"/>
    <x v="3"/>
    <x v="1"/>
    <x v="0"/>
    <n v="80205"/>
    <n v="43585"/>
    <n v="219093"/>
    <n v="8012"/>
    <n v="27.345606590114826"/>
    <n v="22.93"/>
    <n v="2.58"/>
    <n v="8620"/>
    <n v="210473"/>
    <n v="129404"/>
    <n v="17.04"/>
  </r>
  <r>
    <x v="2"/>
    <x v="0"/>
    <x v="3"/>
    <x v="0"/>
    <x v="0"/>
    <n v="26653"/>
    <n v="9218"/>
    <n v="215362"/>
    <n v="9582"/>
    <n v="22.47568357336673"/>
    <n v="5.03"/>
    <n v="1.43"/>
    <n v="45353"/>
    <n v="170009"/>
    <n v="248798"/>
    <n v="65.66"/>
  </r>
  <r>
    <x v="4"/>
    <x v="5"/>
    <x v="5"/>
    <x v="1"/>
    <x v="0"/>
    <n v="175019"/>
    <n v="112018"/>
    <n v="172402"/>
    <n v="3721"/>
    <n v="46.332168771835526"/>
    <n v="17.53"/>
    <n v="2.21"/>
    <n v="11977"/>
    <n v="160425"/>
    <n v="216628"/>
    <n v="26.83"/>
  </r>
  <r>
    <x v="0"/>
    <x v="5"/>
    <x v="6"/>
    <x v="2"/>
    <x v="0"/>
    <n v="155013"/>
    <n v="55037"/>
    <n v="62127"/>
    <n v="8275"/>
    <n v="7.5077945619335349"/>
    <n v="13.39"/>
    <n v="8.14"/>
    <n v="27585"/>
    <n v="34542"/>
    <n v="124131"/>
    <n v="53.36"/>
  </r>
  <r>
    <x v="5"/>
    <x v="7"/>
    <x v="3"/>
    <x v="2"/>
    <x v="0"/>
    <n v="99734"/>
    <n v="8368"/>
    <n v="21353"/>
    <n v="6330"/>
    <n v="3.373301737756714"/>
    <n v="14.45"/>
    <n v="9.0500000000000007"/>
    <n v="18231"/>
    <n v="3122"/>
    <n v="70516"/>
    <n v="34.979999999999997"/>
  </r>
  <r>
    <x v="5"/>
    <x v="0"/>
    <x v="4"/>
    <x v="0"/>
    <x v="0"/>
    <n v="169121"/>
    <n v="25432"/>
    <n v="124159"/>
    <n v="5174"/>
    <n v="23.996714340935448"/>
    <n v="4.8899999999999997"/>
    <n v="5.5"/>
    <n v="15372"/>
    <n v="108787"/>
    <n v="119697"/>
    <n v="76.739999999999995"/>
  </r>
  <r>
    <x v="1"/>
    <x v="1"/>
    <x v="3"/>
    <x v="2"/>
    <x v="0"/>
    <n v="98891"/>
    <n v="75832"/>
    <n v="31285"/>
    <n v="1135"/>
    <n v="27.56387665198238"/>
    <n v="24.01"/>
    <n v="7.43"/>
    <n v="45929"/>
    <n v="-14644"/>
    <n v="100603"/>
    <n v="61.44"/>
  </r>
  <r>
    <x v="5"/>
    <x v="0"/>
    <x v="0"/>
    <x v="4"/>
    <x v="1"/>
    <n v="180667"/>
    <n v="84047"/>
    <n v="151642"/>
    <n v="5418"/>
    <n v="27.988556662975267"/>
    <n v="11.68"/>
    <n v="2.76"/>
    <n v="28007"/>
    <n v="123635"/>
    <n v="222962"/>
    <n v="73.64"/>
  </r>
  <r>
    <x v="5"/>
    <x v="1"/>
    <x v="5"/>
    <x v="4"/>
    <x v="1"/>
    <n v="140390"/>
    <n v="43723"/>
    <n v="298983"/>
    <n v="8741"/>
    <n v="34.204667658162684"/>
    <n v="18.02"/>
    <n v="1.87"/>
    <n v="29618"/>
    <n v="269365"/>
    <n v="67985"/>
    <n v="65.510000000000005"/>
  </r>
  <r>
    <x v="3"/>
    <x v="7"/>
    <x v="3"/>
    <x v="1"/>
    <x v="0"/>
    <n v="191829"/>
    <n v="78612"/>
    <n v="83993"/>
    <n v="4287"/>
    <n v="19.592488919990668"/>
    <n v="5.61"/>
    <n v="4.6399999999999997"/>
    <n v="11637"/>
    <n v="72356"/>
    <n v="55904"/>
    <n v="74.3"/>
  </r>
  <r>
    <x v="2"/>
    <x v="5"/>
    <x v="2"/>
    <x v="2"/>
    <x v="0"/>
    <n v="188315"/>
    <n v="164968"/>
    <n v="220582"/>
    <n v="7396"/>
    <n v="29.824499729583557"/>
    <n v="18.78"/>
    <n v="14.8"/>
    <n v="26485"/>
    <n v="194097"/>
    <n v="151442"/>
    <n v="73.739999999999995"/>
  </r>
  <r>
    <x v="3"/>
    <x v="2"/>
    <x v="4"/>
    <x v="3"/>
    <x v="1"/>
    <n v="68863"/>
    <n v="43310"/>
    <n v="286321"/>
    <n v="3688"/>
    <n v="77.635845986984819"/>
    <n v="6.72"/>
    <n v="13.02"/>
    <n v="3981"/>
    <n v="282340"/>
    <n v="205286"/>
    <n v="45.5"/>
  </r>
  <r>
    <x v="0"/>
    <x v="2"/>
    <x v="3"/>
    <x v="4"/>
    <x v="1"/>
    <n v="160387"/>
    <n v="110979"/>
    <n v="18993"/>
    <n v="9669"/>
    <n v="1.9643189574930189"/>
    <n v="24.73"/>
    <n v="5.2"/>
    <n v="45104"/>
    <n v="-26111"/>
    <n v="151933"/>
    <n v="76.790000000000006"/>
  </r>
  <r>
    <x v="3"/>
    <x v="1"/>
    <x v="3"/>
    <x v="2"/>
    <x v="0"/>
    <n v="80296"/>
    <n v="6309"/>
    <n v="203456"/>
    <n v="1987"/>
    <n v="102.3935581278309"/>
    <n v="9.57"/>
    <n v="13.47"/>
    <n v="46604"/>
    <n v="156852"/>
    <n v="202820"/>
    <n v="55.17"/>
  </r>
  <r>
    <x v="2"/>
    <x v="5"/>
    <x v="6"/>
    <x v="0"/>
    <x v="0"/>
    <n v="130574"/>
    <n v="107910"/>
    <n v="73091"/>
    <n v="1843"/>
    <n v="39.658708627238198"/>
    <n v="9.81"/>
    <n v="2.73"/>
    <n v="46030"/>
    <n v="27061"/>
    <n v="212438"/>
    <n v="61.22"/>
  </r>
  <r>
    <x v="1"/>
    <x v="2"/>
    <x v="1"/>
    <x v="3"/>
    <x v="1"/>
    <n v="42804"/>
    <n v="33184"/>
    <n v="111079"/>
    <n v="5669"/>
    <n v="19.594108308343625"/>
    <n v="2.99"/>
    <n v="13.55"/>
    <n v="18502"/>
    <n v="92577"/>
    <n v="120821"/>
    <n v="52.21"/>
  </r>
  <r>
    <x v="2"/>
    <x v="1"/>
    <x v="4"/>
    <x v="4"/>
    <x v="1"/>
    <n v="106666"/>
    <n v="103096"/>
    <n v="21719"/>
    <n v="5420"/>
    <n v="4.0071955719557195"/>
    <n v="15.84"/>
    <n v="6.23"/>
    <n v="18005"/>
    <n v="3714"/>
    <n v="286464"/>
    <n v="34.549999999999997"/>
  </r>
  <r>
    <x v="4"/>
    <x v="4"/>
    <x v="7"/>
    <x v="3"/>
    <x v="1"/>
    <n v="137034"/>
    <n v="50588"/>
    <n v="135391"/>
    <n v="7112"/>
    <n v="19.036979752530932"/>
    <n v="6.7"/>
    <n v="2.2200000000000002"/>
    <n v="21473"/>
    <n v="113918"/>
    <n v="53022"/>
    <n v="6.11"/>
  </r>
  <r>
    <x v="5"/>
    <x v="5"/>
    <x v="0"/>
    <x v="0"/>
    <x v="0"/>
    <n v="47158"/>
    <n v="43745"/>
    <n v="250880"/>
    <n v="9595"/>
    <n v="26.146951537258989"/>
    <n v="8.61"/>
    <n v="13.23"/>
    <n v="2147"/>
    <n v="248733"/>
    <n v="273805"/>
    <n v="59.83"/>
  </r>
  <r>
    <x v="5"/>
    <x v="5"/>
    <x v="3"/>
    <x v="3"/>
    <x v="1"/>
    <n v="132719"/>
    <n v="37410"/>
    <n v="290969"/>
    <n v="4427"/>
    <n v="65.725999548226795"/>
    <n v="6.81"/>
    <n v="3.17"/>
    <n v="37095"/>
    <n v="253874"/>
    <n v="97555"/>
    <n v="18.170000000000002"/>
  </r>
  <r>
    <x v="2"/>
    <x v="0"/>
    <x v="5"/>
    <x v="4"/>
    <x v="1"/>
    <n v="134075"/>
    <n v="89898"/>
    <n v="149989"/>
    <n v="1671"/>
    <n v="89.760023937761815"/>
    <n v="8.01"/>
    <n v="2.92"/>
    <n v="24495"/>
    <n v="125494"/>
    <n v="85370"/>
    <n v="28.59"/>
  </r>
  <r>
    <x v="0"/>
    <x v="5"/>
    <x v="5"/>
    <x v="2"/>
    <x v="0"/>
    <n v="54449"/>
    <n v="21115"/>
    <n v="124570"/>
    <n v="5873"/>
    <n v="21.210624893580793"/>
    <n v="7.31"/>
    <n v="4.8499999999999996"/>
    <n v="7079"/>
    <n v="117491"/>
    <n v="285333"/>
    <n v="36.1"/>
  </r>
  <r>
    <x v="2"/>
    <x v="6"/>
    <x v="2"/>
    <x v="1"/>
    <x v="0"/>
    <n v="56091"/>
    <n v="54317"/>
    <n v="98333"/>
    <n v="3248"/>
    <n v="30.27493842364532"/>
    <n v="21.68"/>
    <n v="14.48"/>
    <n v="45302"/>
    <n v="53031"/>
    <n v="69326"/>
    <n v="19.59"/>
  </r>
  <r>
    <x v="0"/>
    <x v="2"/>
    <x v="0"/>
    <x v="3"/>
    <x v="1"/>
    <n v="60365"/>
    <n v="33740"/>
    <n v="29084"/>
    <n v="722"/>
    <n v="40.282548476454295"/>
    <n v="13.7"/>
    <n v="14.83"/>
    <n v="1609"/>
    <n v="27475"/>
    <n v="259825"/>
    <n v="21.5"/>
  </r>
  <r>
    <x v="1"/>
    <x v="2"/>
    <x v="5"/>
    <x v="3"/>
    <x v="1"/>
    <n v="199565"/>
    <n v="28526"/>
    <n v="250161"/>
    <n v="2229"/>
    <n v="112.23014804845222"/>
    <n v="7.42"/>
    <n v="9.4499999999999993"/>
    <n v="45590"/>
    <n v="204571"/>
    <n v="107943"/>
    <n v="11.96"/>
  </r>
  <r>
    <x v="5"/>
    <x v="6"/>
    <x v="6"/>
    <x v="1"/>
    <x v="0"/>
    <n v="49503"/>
    <n v="43574"/>
    <n v="172051"/>
    <n v="3196"/>
    <n v="53.833229036295371"/>
    <n v="18.670000000000002"/>
    <n v="3.24"/>
    <n v="22133"/>
    <n v="149918"/>
    <n v="265630"/>
    <n v="19.149999999999999"/>
  </r>
  <r>
    <x v="4"/>
    <x v="2"/>
    <x v="0"/>
    <x v="0"/>
    <x v="0"/>
    <n v="127294"/>
    <n v="12526"/>
    <n v="56843"/>
    <n v="901"/>
    <n v="63.088790233074363"/>
    <n v="6.29"/>
    <n v="2.8"/>
    <n v="8948"/>
    <n v="47895"/>
    <n v="87236"/>
    <n v="70.62"/>
  </r>
  <r>
    <x v="3"/>
    <x v="2"/>
    <x v="2"/>
    <x v="0"/>
    <x v="0"/>
    <n v="63592"/>
    <n v="37265"/>
    <n v="151809"/>
    <n v="4481"/>
    <n v="33.878375362642267"/>
    <n v="6"/>
    <n v="14.92"/>
    <n v="46980"/>
    <n v="104829"/>
    <n v="14219"/>
    <n v="20.76"/>
  </r>
  <r>
    <x v="2"/>
    <x v="3"/>
    <x v="7"/>
    <x v="1"/>
    <x v="0"/>
    <n v="145896"/>
    <n v="98207"/>
    <n v="216179"/>
    <n v="3518"/>
    <n v="61.449403069926092"/>
    <n v="4.3099999999999996"/>
    <n v="14.78"/>
    <n v="49901"/>
    <n v="166278"/>
    <n v="246024"/>
    <n v="69.069999999999993"/>
  </r>
  <r>
    <x v="1"/>
    <x v="0"/>
    <x v="3"/>
    <x v="0"/>
    <x v="0"/>
    <n v="112498"/>
    <n v="21397"/>
    <n v="254391"/>
    <n v="9673"/>
    <n v="26.299079913160345"/>
    <n v="10.91"/>
    <n v="10.48"/>
    <n v="39130"/>
    <n v="215261"/>
    <n v="265995"/>
    <n v="40.14"/>
  </r>
  <r>
    <x v="0"/>
    <x v="5"/>
    <x v="2"/>
    <x v="4"/>
    <x v="1"/>
    <n v="100305"/>
    <n v="50548"/>
    <n v="275548"/>
    <n v="6114"/>
    <n v="45.068367680732742"/>
    <n v="22.38"/>
    <n v="11.68"/>
    <n v="188"/>
    <n v="275360"/>
    <n v="204456"/>
    <n v="38.14"/>
  </r>
  <r>
    <x v="1"/>
    <x v="5"/>
    <x v="7"/>
    <x v="4"/>
    <x v="1"/>
    <n v="189544"/>
    <n v="103677"/>
    <n v="200743"/>
    <n v="8598"/>
    <n v="23.347638985810654"/>
    <n v="4.2300000000000004"/>
    <n v="4.38"/>
    <n v="6720"/>
    <n v="194023"/>
    <n v="60713"/>
    <n v="43"/>
  </r>
  <r>
    <x v="1"/>
    <x v="0"/>
    <x v="4"/>
    <x v="3"/>
    <x v="1"/>
    <n v="36283"/>
    <n v="35279"/>
    <n v="184237"/>
    <n v="4225"/>
    <n v="43.606390532544381"/>
    <n v="23.62"/>
    <n v="10.43"/>
    <n v="12340"/>
    <n v="171897"/>
    <n v="178983"/>
    <n v="27.33"/>
  </r>
  <r>
    <x v="5"/>
    <x v="4"/>
    <x v="1"/>
    <x v="1"/>
    <x v="0"/>
    <n v="197888"/>
    <n v="39092"/>
    <n v="31521"/>
    <n v="6600"/>
    <n v="4.7759090909090913"/>
    <n v="6.21"/>
    <n v="4.96"/>
    <n v="17143"/>
    <n v="14378"/>
    <n v="52926"/>
    <n v="16.670000000000002"/>
  </r>
  <r>
    <x v="4"/>
    <x v="2"/>
    <x v="0"/>
    <x v="3"/>
    <x v="1"/>
    <n v="165275"/>
    <n v="80265"/>
    <n v="46699"/>
    <n v="8716"/>
    <n v="5.3578476365305185"/>
    <n v="18.829999999999998"/>
    <n v="10.32"/>
    <n v="25293"/>
    <n v="21406"/>
    <n v="38784"/>
    <n v="18"/>
  </r>
  <r>
    <x v="3"/>
    <x v="1"/>
    <x v="4"/>
    <x v="1"/>
    <x v="0"/>
    <n v="53771"/>
    <n v="49569"/>
    <n v="105559"/>
    <n v="1302"/>
    <n v="81.074500768049148"/>
    <n v="23.03"/>
    <n v="2.93"/>
    <n v="40174"/>
    <n v="65385"/>
    <n v="278115"/>
    <n v="72.400000000000006"/>
  </r>
  <r>
    <x v="4"/>
    <x v="1"/>
    <x v="3"/>
    <x v="2"/>
    <x v="0"/>
    <n v="138695"/>
    <n v="37639"/>
    <n v="139780"/>
    <n v="2932"/>
    <n v="47.67394270122783"/>
    <n v="12.16"/>
    <n v="6.25"/>
    <n v="16488"/>
    <n v="123292"/>
    <n v="286769"/>
    <n v="62.13"/>
  </r>
  <r>
    <x v="0"/>
    <x v="5"/>
    <x v="3"/>
    <x v="3"/>
    <x v="1"/>
    <n v="22220"/>
    <n v="7325"/>
    <n v="19341"/>
    <n v="2295"/>
    <n v="8.4274509803921571"/>
    <n v="16.309999999999999"/>
    <n v="14.77"/>
    <n v="30595"/>
    <n v="-11254"/>
    <n v="72157"/>
    <n v="45.38"/>
  </r>
  <r>
    <x v="4"/>
    <x v="0"/>
    <x v="0"/>
    <x v="2"/>
    <x v="0"/>
    <n v="181333"/>
    <n v="100550"/>
    <n v="296468"/>
    <n v="594"/>
    <n v="499.10437710437708"/>
    <n v="12.16"/>
    <n v="5.2"/>
    <n v="37356"/>
    <n v="259112"/>
    <n v="178319"/>
    <n v="28.38"/>
  </r>
  <r>
    <x v="5"/>
    <x v="3"/>
    <x v="4"/>
    <x v="0"/>
    <x v="0"/>
    <n v="5993"/>
    <n v="2038"/>
    <n v="121261"/>
    <n v="5003"/>
    <n v="24.237657405556664"/>
    <n v="12.9"/>
    <n v="4.9000000000000004"/>
    <n v="9519"/>
    <n v="111742"/>
    <n v="154830"/>
    <n v="76.88"/>
  </r>
  <r>
    <x v="5"/>
    <x v="4"/>
    <x v="5"/>
    <x v="4"/>
    <x v="1"/>
    <n v="41092"/>
    <n v="35374"/>
    <n v="211014"/>
    <n v="1703"/>
    <n v="123.90722254844393"/>
    <n v="16.96"/>
    <n v="9.36"/>
    <n v="27574"/>
    <n v="183440"/>
    <n v="237468"/>
    <n v="10.84"/>
  </r>
  <r>
    <x v="3"/>
    <x v="7"/>
    <x v="3"/>
    <x v="0"/>
    <x v="0"/>
    <n v="9957"/>
    <n v="7299"/>
    <n v="183612"/>
    <n v="3887"/>
    <n v="47.237458193979933"/>
    <n v="23.87"/>
    <n v="13.51"/>
    <n v="14672"/>
    <n v="168940"/>
    <n v="93967"/>
    <n v="20.62"/>
  </r>
  <r>
    <x v="2"/>
    <x v="1"/>
    <x v="4"/>
    <x v="1"/>
    <x v="0"/>
    <n v="22057"/>
    <n v="5492"/>
    <n v="197723"/>
    <n v="7594"/>
    <n v="26.036739531208848"/>
    <n v="3.82"/>
    <n v="3.19"/>
    <n v="42180"/>
    <n v="155543"/>
    <n v="247214"/>
    <n v="69.739999999999995"/>
  </r>
  <r>
    <x v="4"/>
    <x v="1"/>
    <x v="6"/>
    <x v="1"/>
    <x v="0"/>
    <n v="146580"/>
    <n v="84187"/>
    <n v="12936"/>
    <n v="6284"/>
    <n v="2.0585614258434117"/>
    <n v="2.84"/>
    <n v="11.99"/>
    <n v="2693"/>
    <n v="10243"/>
    <n v="191931"/>
    <n v="49.13"/>
  </r>
  <r>
    <x v="0"/>
    <x v="6"/>
    <x v="7"/>
    <x v="1"/>
    <x v="0"/>
    <n v="13101"/>
    <n v="10004"/>
    <n v="112741"/>
    <n v="6173"/>
    <n v="18.263567147254172"/>
    <n v="23.29"/>
    <n v="9.85"/>
    <n v="15201"/>
    <n v="97540"/>
    <n v="290921"/>
    <n v="27.84"/>
  </r>
  <r>
    <x v="4"/>
    <x v="3"/>
    <x v="7"/>
    <x v="0"/>
    <x v="0"/>
    <n v="196308"/>
    <n v="98858"/>
    <n v="39254"/>
    <n v="7089"/>
    <n v="5.5373113274086609"/>
    <n v="21.48"/>
    <n v="8.2100000000000009"/>
    <n v="26626"/>
    <n v="12628"/>
    <n v="18087"/>
    <n v="9.81"/>
  </r>
  <r>
    <x v="3"/>
    <x v="0"/>
    <x v="5"/>
    <x v="3"/>
    <x v="1"/>
    <n v="181949"/>
    <n v="136051"/>
    <n v="140491"/>
    <n v="6337"/>
    <n v="22.169954237020672"/>
    <n v="17.02"/>
    <n v="5.88"/>
    <n v="35894"/>
    <n v="104597"/>
    <n v="169454"/>
    <n v="5.31"/>
  </r>
  <r>
    <x v="1"/>
    <x v="1"/>
    <x v="0"/>
    <x v="3"/>
    <x v="1"/>
    <n v="115587"/>
    <n v="99192"/>
    <n v="254154"/>
    <n v="9262"/>
    <n v="27.44050960915569"/>
    <n v="2.85"/>
    <n v="1.66"/>
    <n v="19170"/>
    <n v="234984"/>
    <n v="66676"/>
    <n v="40.75"/>
  </r>
  <r>
    <x v="0"/>
    <x v="2"/>
    <x v="7"/>
    <x v="2"/>
    <x v="0"/>
    <n v="14086"/>
    <n v="11238"/>
    <n v="115731"/>
    <n v="1569"/>
    <n v="73.760994263862329"/>
    <n v="14.53"/>
    <n v="5.0199999999999996"/>
    <n v="39220"/>
    <n v="76511"/>
    <n v="265354"/>
    <n v="76.55"/>
  </r>
  <r>
    <x v="5"/>
    <x v="2"/>
    <x v="0"/>
    <x v="2"/>
    <x v="0"/>
    <n v="18244"/>
    <n v="9103"/>
    <n v="102347"/>
    <n v="5786"/>
    <n v="17.688731420670585"/>
    <n v="13.64"/>
    <n v="9.0399999999999991"/>
    <n v="7791"/>
    <n v="94556"/>
    <n v="296060"/>
    <n v="31.26"/>
  </r>
  <r>
    <x v="0"/>
    <x v="3"/>
    <x v="0"/>
    <x v="0"/>
    <x v="0"/>
    <n v="128227"/>
    <n v="23598"/>
    <n v="85805"/>
    <n v="2386"/>
    <n v="35.961860854987428"/>
    <n v="8.5299999999999994"/>
    <n v="12.78"/>
    <n v="18549"/>
    <n v="67256"/>
    <n v="77486"/>
    <n v="52.52"/>
  </r>
  <r>
    <x v="3"/>
    <x v="3"/>
    <x v="4"/>
    <x v="1"/>
    <x v="0"/>
    <n v="162804"/>
    <n v="128016"/>
    <n v="209055"/>
    <n v="2447"/>
    <n v="85.433183489987741"/>
    <n v="10.7"/>
    <n v="6.42"/>
    <n v="46721"/>
    <n v="162334"/>
    <n v="93021"/>
    <n v="44.41"/>
  </r>
  <r>
    <x v="4"/>
    <x v="2"/>
    <x v="6"/>
    <x v="4"/>
    <x v="1"/>
    <n v="195787"/>
    <n v="132775"/>
    <n v="214658"/>
    <n v="3625"/>
    <n v="59.216000000000001"/>
    <n v="19.14"/>
    <n v="6.2"/>
    <n v="35381"/>
    <n v="179277"/>
    <n v="150230"/>
    <n v="35.33"/>
  </r>
  <r>
    <x v="4"/>
    <x v="7"/>
    <x v="2"/>
    <x v="2"/>
    <x v="0"/>
    <n v="118580"/>
    <n v="109510"/>
    <n v="256083"/>
    <n v="5422"/>
    <n v="47.230357801549246"/>
    <n v="18.489999999999998"/>
    <n v="14.05"/>
    <n v="9178"/>
    <n v="246905"/>
    <n v="111847"/>
    <n v="64.12"/>
  </r>
  <r>
    <x v="5"/>
    <x v="4"/>
    <x v="4"/>
    <x v="1"/>
    <x v="0"/>
    <n v="168600"/>
    <n v="75462"/>
    <n v="143030"/>
    <n v="4242"/>
    <n v="33.717586044318715"/>
    <n v="2.19"/>
    <n v="5.36"/>
    <n v="43033"/>
    <n v="99997"/>
    <n v="110162"/>
    <n v="39.65"/>
  </r>
  <r>
    <x v="3"/>
    <x v="5"/>
    <x v="1"/>
    <x v="4"/>
    <x v="1"/>
    <n v="39162"/>
    <n v="15172"/>
    <n v="262852"/>
    <n v="1425"/>
    <n v="184.45754385964912"/>
    <n v="7.14"/>
    <n v="6.99"/>
    <n v="21243"/>
    <n v="241609"/>
    <n v="221549"/>
    <n v="25.44"/>
  </r>
  <r>
    <x v="5"/>
    <x v="5"/>
    <x v="0"/>
    <x v="1"/>
    <x v="0"/>
    <n v="70163"/>
    <n v="37828"/>
    <n v="246832"/>
    <n v="2901"/>
    <n v="85.085143054119271"/>
    <n v="20.27"/>
    <n v="14.93"/>
    <n v="18200"/>
    <n v="228632"/>
    <n v="136741"/>
    <n v="40.94"/>
  </r>
  <r>
    <x v="4"/>
    <x v="3"/>
    <x v="7"/>
    <x v="3"/>
    <x v="1"/>
    <n v="3915"/>
    <n v="1590"/>
    <n v="80282"/>
    <n v="1831"/>
    <n v="43.845985800109233"/>
    <n v="8.67"/>
    <n v="14.46"/>
    <n v="43318"/>
    <n v="36964"/>
    <n v="93078"/>
    <n v="16.93"/>
  </r>
  <r>
    <x v="0"/>
    <x v="3"/>
    <x v="0"/>
    <x v="2"/>
    <x v="0"/>
    <n v="126779"/>
    <n v="45845"/>
    <n v="196395"/>
    <n v="7689"/>
    <n v="25.542333203277408"/>
    <n v="11.19"/>
    <n v="10.99"/>
    <n v="11710"/>
    <n v="184685"/>
    <n v="127941"/>
    <n v="15.28"/>
  </r>
  <r>
    <x v="4"/>
    <x v="6"/>
    <x v="1"/>
    <x v="4"/>
    <x v="1"/>
    <n v="25360"/>
    <n v="18633"/>
    <n v="10632"/>
    <n v="4436"/>
    <n v="2.3967538322813344"/>
    <n v="3.09"/>
    <n v="12.47"/>
    <n v="43378"/>
    <n v="-32746"/>
    <n v="93398"/>
    <n v="9.11"/>
  </r>
  <r>
    <x v="5"/>
    <x v="7"/>
    <x v="4"/>
    <x v="1"/>
    <x v="0"/>
    <n v="128351"/>
    <n v="95645"/>
    <n v="275518"/>
    <n v="4628"/>
    <n v="59.532843560933451"/>
    <n v="3.58"/>
    <n v="7.53"/>
    <n v="6720"/>
    <n v="268798"/>
    <n v="166881"/>
    <n v="22.9"/>
  </r>
  <r>
    <x v="0"/>
    <x v="7"/>
    <x v="7"/>
    <x v="0"/>
    <x v="0"/>
    <n v="118924"/>
    <n v="90821"/>
    <n v="254982"/>
    <n v="7774"/>
    <n v="32.799331103678931"/>
    <n v="13.9"/>
    <n v="6.16"/>
    <n v="3606"/>
    <n v="251376"/>
    <n v="262154"/>
    <n v="27.75"/>
  </r>
  <r>
    <x v="2"/>
    <x v="3"/>
    <x v="7"/>
    <x v="2"/>
    <x v="0"/>
    <n v="146455"/>
    <n v="94122"/>
    <n v="47091"/>
    <n v="2295"/>
    <n v="20.518954248366015"/>
    <n v="20.149999999999999"/>
    <n v="6.32"/>
    <n v="3905"/>
    <n v="43186"/>
    <n v="42908"/>
    <n v="46.04"/>
  </r>
  <r>
    <x v="4"/>
    <x v="1"/>
    <x v="5"/>
    <x v="2"/>
    <x v="0"/>
    <n v="147803"/>
    <n v="28169"/>
    <n v="55502"/>
    <n v="729"/>
    <n v="76.134430727023314"/>
    <n v="21.06"/>
    <n v="9.86"/>
    <n v="33766"/>
    <n v="21736"/>
    <n v="178142"/>
    <n v="22.45"/>
  </r>
  <r>
    <x v="4"/>
    <x v="1"/>
    <x v="6"/>
    <x v="2"/>
    <x v="0"/>
    <n v="146499"/>
    <n v="94555"/>
    <n v="296038"/>
    <n v="4399"/>
    <n v="67.296658331438962"/>
    <n v="21.71"/>
    <n v="11.18"/>
    <n v="1099"/>
    <n v="294939"/>
    <n v="11418"/>
    <n v="14.11"/>
  </r>
  <r>
    <x v="4"/>
    <x v="4"/>
    <x v="7"/>
    <x v="3"/>
    <x v="1"/>
    <n v="99896"/>
    <n v="2271"/>
    <n v="64410"/>
    <n v="3424"/>
    <n v="18.811331775700936"/>
    <n v="11.85"/>
    <n v="14.72"/>
    <n v="16680"/>
    <n v="47730"/>
    <n v="69437"/>
    <n v="74.23"/>
  </r>
  <r>
    <x v="3"/>
    <x v="4"/>
    <x v="4"/>
    <x v="4"/>
    <x v="1"/>
    <n v="107445"/>
    <n v="75613"/>
    <n v="121744"/>
    <n v="2917"/>
    <n v="41.7360301679808"/>
    <n v="12.79"/>
    <n v="8.99"/>
    <n v="1116"/>
    <n v="120628"/>
    <n v="224783"/>
    <n v="75.08"/>
  </r>
  <r>
    <x v="1"/>
    <x v="2"/>
    <x v="3"/>
    <x v="1"/>
    <x v="0"/>
    <n v="167275"/>
    <n v="160827"/>
    <n v="178618"/>
    <n v="9213"/>
    <n v="19.38760447194182"/>
    <n v="6.8"/>
    <n v="9.9700000000000006"/>
    <n v="27092"/>
    <n v="151526"/>
    <n v="262214"/>
    <n v="19.88"/>
  </r>
  <r>
    <x v="4"/>
    <x v="7"/>
    <x v="7"/>
    <x v="1"/>
    <x v="0"/>
    <n v="170276"/>
    <n v="16505"/>
    <n v="4881"/>
    <n v="5766"/>
    <n v="0.8465140478668054"/>
    <n v="12.24"/>
    <n v="8.1999999999999993"/>
    <n v="14063"/>
    <n v="-9182"/>
    <n v="280070"/>
    <n v="22.04"/>
  </r>
  <r>
    <x v="5"/>
    <x v="7"/>
    <x v="2"/>
    <x v="4"/>
    <x v="1"/>
    <n v="181399"/>
    <n v="17740"/>
    <n v="241040"/>
    <n v="8898"/>
    <n v="27.089233535625983"/>
    <n v="13.98"/>
    <n v="6.93"/>
    <n v="2982"/>
    <n v="238058"/>
    <n v="145528"/>
    <n v="53.85"/>
  </r>
  <r>
    <x v="2"/>
    <x v="5"/>
    <x v="6"/>
    <x v="4"/>
    <x v="1"/>
    <n v="52735"/>
    <n v="18873"/>
    <n v="109467"/>
    <n v="3615"/>
    <n v="30.281327800829875"/>
    <n v="8.83"/>
    <n v="4.24"/>
    <n v="45229"/>
    <n v="64238"/>
    <n v="265071"/>
    <n v="22.73"/>
  </r>
  <r>
    <x v="4"/>
    <x v="3"/>
    <x v="4"/>
    <x v="3"/>
    <x v="1"/>
    <n v="135159"/>
    <n v="81289"/>
    <n v="216577"/>
    <n v="4842"/>
    <n v="44.728831061544817"/>
    <n v="6.99"/>
    <n v="3.49"/>
    <n v="41693"/>
    <n v="174884"/>
    <n v="147039"/>
    <n v="58.49"/>
  </r>
  <r>
    <x v="2"/>
    <x v="7"/>
    <x v="5"/>
    <x v="2"/>
    <x v="0"/>
    <n v="51934"/>
    <n v="23483"/>
    <n v="31734"/>
    <n v="1016"/>
    <n v="31.234251968503937"/>
    <n v="14.84"/>
    <n v="2.11"/>
    <n v="27300"/>
    <n v="4434"/>
    <n v="225445"/>
    <n v="12.27"/>
  </r>
  <r>
    <x v="3"/>
    <x v="6"/>
    <x v="0"/>
    <x v="3"/>
    <x v="1"/>
    <n v="148084"/>
    <n v="126708"/>
    <n v="67881"/>
    <n v="2729"/>
    <n v="24.873946500549653"/>
    <n v="9.67"/>
    <n v="3.9"/>
    <n v="46594"/>
    <n v="21287"/>
    <n v="41428"/>
    <n v="26.88"/>
  </r>
  <r>
    <x v="2"/>
    <x v="0"/>
    <x v="1"/>
    <x v="2"/>
    <x v="0"/>
    <n v="194463"/>
    <n v="154955"/>
    <n v="242674"/>
    <n v="1694"/>
    <n v="143.25501770956316"/>
    <n v="19.5"/>
    <n v="6.38"/>
    <n v="17060"/>
    <n v="225614"/>
    <n v="125553"/>
    <n v="40.090000000000003"/>
  </r>
  <r>
    <x v="0"/>
    <x v="3"/>
    <x v="7"/>
    <x v="2"/>
    <x v="0"/>
    <n v="165201"/>
    <n v="77569"/>
    <n v="226507"/>
    <n v="3645"/>
    <n v="62.141838134430728"/>
    <n v="9.25"/>
    <n v="4.66"/>
    <n v="24644"/>
    <n v="201863"/>
    <n v="216984"/>
    <n v="16.41"/>
  </r>
  <r>
    <x v="5"/>
    <x v="4"/>
    <x v="4"/>
    <x v="1"/>
    <x v="0"/>
    <n v="173498"/>
    <n v="131808"/>
    <n v="160176"/>
    <n v="6869"/>
    <n v="23.318678119085746"/>
    <n v="16.149999999999999"/>
    <n v="2.0099999999999998"/>
    <n v="17515"/>
    <n v="142661"/>
    <n v="285046"/>
    <n v="40.49"/>
  </r>
  <r>
    <x v="5"/>
    <x v="2"/>
    <x v="2"/>
    <x v="4"/>
    <x v="1"/>
    <n v="110652"/>
    <n v="44063"/>
    <n v="244587"/>
    <n v="1996"/>
    <n v="122.53857715430861"/>
    <n v="19.5"/>
    <n v="13.15"/>
    <n v="20738"/>
    <n v="223849"/>
    <n v="158768"/>
    <n v="25.4"/>
  </r>
  <r>
    <x v="4"/>
    <x v="2"/>
    <x v="5"/>
    <x v="4"/>
    <x v="1"/>
    <n v="5906"/>
    <n v="4818"/>
    <n v="176465"/>
    <n v="3417"/>
    <n v="51.643254316652033"/>
    <n v="10.47"/>
    <n v="8.3000000000000007"/>
    <n v="33224"/>
    <n v="143241"/>
    <n v="123324"/>
    <n v="34.94"/>
  </r>
  <r>
    <x v="1"/>
    <x v="4"/>
    <x v="2"/>
    <x v="3"/>
    <x v="1"/>
    <n v="31106"/>
    <n v="17720"/>
    <n v="133809"/>
    <n v="9672"/>
    <n v="13.834677419354838"/>
    <n v="20.420000000000002"/>
    <n v="3.59"/>
    <n v="649"/>
    <n v="133160"/>
    <n v="220580"/>
    <n v="37.630000000000003"/>
  </r>
  <r>
    <x v="1"/>
    <x v="5"/>
    <x v="0"/>
    <x v="2"/>
    <x v="0"/>
    <n v="35118"/>
    <n v="11078"/>
    <n v="225362"/>
    <n v="9516"/>
    <n v="23.68242959226566"/>
    <n v="6.98"/>
    <n v="7.64"/>
    <n v="19677"/>
    <n v="205685"/>
    <n v="193640"/>
    <n v="6.51"/>
  </r>
  <r>
    <x v="5"/>
    <x v="4"/>
    <x v="1"/>
    <x v="1"/>
    <x v="0"/>
    <n v="162294"/>
    <n v="129076"/>
    <n v="106813"/>
    <n v="6384"/>
    <n v="16.731359649122808"/>
    <n v="7.66"/>
    <n v="10"/>
    <n v="10671"/>
    <n v="96142"/>
    <n v="219592"/>
    <n v="57.92"/>
  </r>
  <r>
    <x v="2"/>
    <x v="5"/>
    <x v="6"/>
    <x v="3"/>
    <x v="1"/>
    <n v="49883"/>
    <n v="34315"/>
    <n v="231631"/>
    <n v="9091"/>
    <n v="25.479155208447917"/>
    <n v="18.68"/>
    <n v="11.07"/>
    <n v="18601"/>
    <n v="213030"/>
    <n v="215308"/>
    <n v="31.32"/>
  </r>
  <r>
    <x v="1"/>
    <x v="2"/>
    <x v="7"/>
    <x v="0"/>
    <x v="0"/>
    <n v="152921"/>
    <n v="108839"/>
    <n v="276581"/>
    <n v="2650"/>
    <n v="104.37018867924529"/>
    <n v="5.54"/>
    <n v="13.88"/>
    <n v="3916"/>
    <n v="272665"/>
    <n v="194058"/>
    <n v="37.619999999999997"/>
  </r>
  <r>
    <x v="0"/>
    <x v="5"/>
    <x v="2"/>
    <x v="1"/>
    <x v="0"/>
    <n v="61032"/>
    <n v="1130"/>
    <n v="130574"/>
    <n v="3174"/>
    <n v="41.138626339004411"/>
    <n v="17.41"/>
    <n v="13.44"/>
    <n v="5199"/>
    <n v="125375"/>
    <n v="62010"/>
    <n v="58.76"/>
  </r>
  <r>
    <x v="3"/>
    <x v="5"/>
    <x v="4"/>
    <x v="0"/>
    <x v="0"/>
    <n v="90262"/>
    <n v="43135"/>
    <n v="184267"/>
    <n v="6915"/>
    <n v="26.647433116413595"/>
    <n v="9.2799999999999994"/>
    <n v="10.56"/>
    <n v="38052"/>
    <n v="146215"/>
    <n v="35830"/>
    <n v="47.12"/>
  </r>
  <r>
    <x v="2"/>
    <x v="1"/>
    <x v="5"/>
    <x v="0"/>
    <x v="0"/>
    <n v="59846"/>
    <n v="20801"/>
    <n v="23941"/>
    <n v="3075"/>
    <n v="7.7856910569105695"/>
    <n v="17.64"/>
    <n v="3.63"/>
    <n v="19445"/>
    <n v="4496"/>
    <n v="23459"/>
    <n v="74.790000000000006"/>
  </r>
  <r>
    <x v="1"/>
    <x v="0"/>
    <x v="3"/>
    <x v="2"/>
    <x v="0"/>
    <n v="42286"/>
    <n v="32258"/>
    <n v="72504"/>
    <n v="9967"/>
    <n v="7.2744055382763122"/>
    <n v="23.89"/>
    <n v="14.03"/>
    <n v="12998"/>
    <n v="59506"/>
    <n v="228139"/>
    <n v="11.8"/>
  </r>
  <r>
    <x v="3"/>
    <x v="2"/>
    <x v="1"/>
    <x v="0"/>
    <x v="0"/>
    <n v="189639"/>
    <n v="50286"/>
    <n v="221104"/>
    <n v="2444"/>
    <n v="90.468085106382972"/>
    <n v="11.04"/>
    <n v="11.75"/>
    <n v="30606"/>
    <n v="190498"/>
    <n v="137644"/>
    <n v="9.220000000000000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0BEEC9-268A-4967-A7CC-1F53E146A4C4}" name="PivotTable1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2:B11" firstHeaderRow="1" firstDataRow="1" firstDataCol="1"/>
  <pivotFields count="16">
    <pivotField showAll="0"/>
    <pivotField showAll="0"/>
    <pivotField axis="axisRow" showAll="0">
      <items count="9">
        <item x="0"/>
        <item x="7"/>
        <item x="4"/>
        <item x="2"/>
        <item x="6"/>
        <item x="1"/>
        <item x="3"/>
        <item x="5"/>
        <item t="default"/>
      </items>
    </pivotField>
    <pivotField showAll="0"/>
    <pivotField showAll="0"/>
    <pivotField showAll="0"/>
    <pivotField showAll="0"/>
    <pivotField dataField="1" showAll="0"/>
    <pivotField showAll="0"/>
    <pivotField numFmtId="176"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Revenue (Crore ₹)" fld="7" baseField="0" baseItem="0" numFmtId="168"/>
  </dataFields>
  <formats count="1">
    <format dxfId="48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043214-8A4B-48DD-93A7-D3E06F16CAEF}" name="PivotTable2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2:C8" firstHeaderRow="0" firstDataRow="1" firstDataCol="1"/>
  <pivotFields count="16">
    <pivotField showAll="0"/>
    <pivotField showAll="0"/>
    <pivotField showAll="0"/>
    <pivotField axis="axisRow" showAll="0">
      <items count="6">
        <item x="2"/>
        <item x="0"/>
        <item x="4"/>
        <item x="1"/>
        <item x="3"/>
        <item t="default"/>
      </items>
    </pivotField>
    <pivotField showAll="0"/>
    <pivotField dataField="1" showAll="0"/>
    <pivotField dataField="1" showAll="0"/>
    <pivotField showAll="0"/>
    <pivotField showAll="0"/>
    <pivotField numFmtId="176"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duction (GWh)" fld="5" baseField="0" baseItem="0"/>
    <dataField name="Sum of Consumption (GWh)" fld="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DC33B8-ED24-410A-A55C-0660F3CA110C}" name="PivotTable3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2:B8" firstHeaderRow="1" firstDataRow="1" firstDataCol="1"/>
  <pivotFields count="16">
    <pivotField showAll="0"/>
    <pivotField showAll="0"/>
    <pivotField showAll="0"/>
    <pivotField axis="axisRow" showAll="0" sortType="descending">
      <items count="6">
        <item x="2"/>
        <item x="0"/>
        <item x="4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numFmtId="176" showAll="0"/>
    <pivotField dataField="1"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3"/>
    </i>
    <i>
      <x v="1"/>
    </i>
    <i>
      <x v="4"/>
    </i>
    <i>
      <x v="2"/>
    </i>
    <i t="grand">
      <x/>
    </i>
  </rowItems>
  <colItems count="1">
    <i/>
  </colItems>
  <dataFields count="1">
    <dataField name="Average of Profit Margin %" fld="10" subtotal="average" baseField="3" baseItem="0" numFmtId="2"/>
  </dataFields>
  <formats count="1">
    <format dxfId="47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5D298F-E554-4AD3-B95B-6BF5B2EE3795}" name="PivotTable4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:B9" firstHeaderRow="1" firstDataRow="1" firstDataCol="1"/>
  <pivotFields count="16">
    <pivotField axis="axisRow" showAll="0" sortType="ascending">
      <items count="7">
        <item x="0"/>
        <item x="2"/>
        <item x="1"/>
        <item x="5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176"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Revenue (Crore ₹)" fld="7" baseField="0" baseItem="0" numFmtId="44"/>
  </dataFields>
  <formats count="1">
    <format dxfId="46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A6F525-0F21-4661-989F-B04DFDF8521D}" name="PivotTable5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2:B11" firstHeaderRow="1" firstDataRow="1" firstDataCol="1"/>
  <pivotFields count="16">
    <pivotField showAll="0"/>
    <pivotField axis="axisRow" showAll="0" sortType="descending">
      <items count="9">
        <item x="3"/>
        <item x="1"/>
        <item x="2"/>
        <item x="0"/>
        <item x="5"/>
        <item x="4"/>
        <item x="6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numFmtId="176"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9">
    <i>
      <x v="2"/>
    </i>
    <i>
      <x v="4"/>
    </i>
    <i>
      <x v="1"/>
    </i>
    <i>
      <x/>
    </i>
    <i>
      <x v="3"/>
    </i>
    <i>
      <x v="7"/>
    </i>
    <i>
      <x v="5"/>
    </i>
    <i>
      <x v="6"/>
    </i>
    <i t="grand">
      <x/>
    </i>
  </rowItems>
  <colItems count="1">
    <i/>
  </colItems>
  <dataFields count="1">
    <dataField name="Sum of Production (GWh)" fld="5" baseField="0" baseItem="0" numFmtId="44"/>
  </dataFields>
  <formats count="1">
    <format dxfId="44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C18EEB-5A00-499E-9E48-C067F92B7EDA}" name="PivotTable6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2:B11" firstHeaderRow="1" firstDataRow="1" firstDataCol="1"/>
  <pivotFields count="16">
    <pivotField showAll="0"/>
    <pivotField showAll="0"/>
    <pivotField axis="axisRow" showAll="0">
      <items count="9">
        <item x="0"/>
        <item x="7"/>
        <item x="4"/>
        <item x="2"/>
        <item x="6"/>
        <item x="1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numFmtId="176" showAll="0"/>
    <pivotField showAll="0"/>
    <pivotField dataField="1" showAll="0"/>
    <pivotField showAll="0"/>
    <pivotField showAll="0"/>
    <pivotField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Growth %" fld="11" subtotal="average" baseField="2" baseItem="0" numFmtId="176"/>
  </dataFields>
  <formats count="1">
    <format dxfId="26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6A4F7B-73F0-4825-AB88-12920C750952}" name="PivotTable7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2:B8" firstHeaderRow="1" firstDataRow="1" firstDataCol="1"/>
  <pivotFields count="16">
    <pivotField showAll="0"/>
    <pivotField showAll="0"/>
    <pivotField showAll="0"/>
    <pivotField axis="axisRow" showAll="0">
      <items count="6">
        <item x="2"/>
        <item x="0"/>
        <item x="4"/>
        <item x="1"/>
        <item x="3"/>
        <item t="default"/>
      </items>
    </pivotField>
    <pivotField showAll="0"/>
    <pivotField showAll="0"/>
    <pivotField showAll="0"/>
    <pivotField showAll="0"/>
    <pivotField showAll="0"/>
    <pivotField numFmtId="176" showAll="0"/>
    <pivotField showAll="0"/>
    <pivotField showAll="0"/>
    <pivotField showAll="0"/>
    <pivotField showAll="0"/>
    <pivotField dataField="1"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Carbon Emission (tons)" fld="14" subtotal="average" baseField="0" baseItem="0" numFmtId="176"/>
  </dataFields>
  <formats count="1">
    <format dxfId="17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4EABFD-E532-401C-85DB-40A597799575}" name="PivotTable8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:B5" firstHeaderRow="1" firstDataRow="1" firstDataCol="1"/>
  <pivotFields count="16"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dataField="1" showAll="0"/>
    <pivotField showAll="0"/>
    <pivotField numFmtId="176"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um of Revenue (Crore ₹)" fld="7" baseField="0" baseItem="0" numFmtId="44"/>
  </dataFields>
  <formats count="1">
    <format dxfId="8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8683D0-EA70-4E2C-809E-BEF553DF8F81}" name="PivotTable9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2:B11" firstHeaderRow="1" firstDataRow="1" firstDataCol="1"/>
  <pivotFields count="16">
    <pivotField showAll="0"/>
    <pivotField showAll="0"/>
    <pivotField axis="axisRow" showAll="0">
      <items count="9">
        <item x="0"/>
        <item x="7"/>
        <item x="4"/>
        <item x="2"/>
        <item x="6"/>
        <item x="1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176"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Employee Revenue" fld="9" subtotal="average" baseField="0" baseItem="0" numFmtId="176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FCCA90-B475-4969-8905-F4CCFA85FE66}" name="Table1" displayName="Table1" ref="A1:P501" totalsRowShown="0" headerRowDxfId="49" headerRowBorderDxfId="50" tableBorderDxfId="51">
  <autoFilter ref="A1:P501" xr:uid="{C8FCCA90-B475-4969-8905-F4CCFA85FE66}"/>
  <tableColumns count="16">
    <tableColumn id="1" xr3:uid="{67D0EF94-6CD5-473F-97BA-E2580C7FDD88}" name="Year"/>
    <tableColumn id="2" xr3:uid="{BA0A04B2-B0E8-48E8-B1EC-B65FE186B053}" name="State"/>
    <tableColumn id="3" xr3:uid="{18696685-623B-4B6F-B7FE-D70FF2AAC7C4}" name="Company"/>
    <tableColumn id="4" xr3:uid="{759E7A30-6777-4D18-9E85-104ECB86C7CE}" name="Energy Type"/>
    <tableColumn id="15" xr3:uid="{08F40FA2-07B6-48B5-B681-2C4967ECCBF7}" name="Renewable And Non-Renewable" dataDxfId="15">
      <calculatedColumnFormula>IF(OR(Table1[[#This Row],[Energy Type]]="Solar",Table1[[#This Row],[Energy Type]]="Wind"),"Renewable","Non-Renewable")</calculatedColumnFormula>
    </tableColumn>
    <tableColumn id="5" xr3:uid="{EF1B19F6-2913-4B37-9EBE-04B2EA792DE4}" name="Production (GWh)"/>
    <tableColumn id="6" xr3:uid="{2B9E8158-CAC1-4F16-8D33-FD19AADF4EEE}" name="Consumption (GWh)"/>
    <tableColumn id="7" xr3:uid="{D4B123EC-D102-469E-B9BA-3EEFC62993B0}" name="Revenue (Crore ₹)"/>
    <tableColumn id="8" xr3:uid="{2D7AC0EE-05DD-4740-AFDC-2EEF8CFD81D5}" name="Employees"/>
    <tableColumn id="16" xr3:uid="{3B8BE058-084F-4F6B-8140-941EF6515B13}" name="Employee Revenue" dataDxfId="7">
      <calculatedColumnFormula>Table1[[#This Row],[Revenue (Crore ₹)]]/Table1[[#This Row],[Employees]]</calculatedColumnFormula>
    </tableColumn>
    <tableColumn id="9" xr3:uid="{2E97411B-B7CE-48A5-AF2B-FFD6177EDB82}" name="Profit Margin %"/>
    <tableColumn id="10" xr3:uid="{9B3B7E08-B02C-45FF-948D-1F4C9DAD96E5}" name="Growth %"/>
    <tableColumn id="11" xr3:uid="{212BBB23-598D-47D5-8BFD-1A365058F223}" name="Exports (Crore ₹)"/>
    <tableColumn id="12" xr3:uid="{AB280A46-8112-449A-96B9-2867ABD0D5D8}" name="Domestic Sales (Crore ₹)"/>
    <tableColumn id="13" xr3:uid="{A88571EF-FD22-481A-9B7B-00A3D530B22E}" name="Carbon Emission (tons)"/>
    <tableColumn id="14" xr3:uid="{E07FEDE9-7300-4D1B-85CB-171649C1605C}" name="Renewable Share %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1"/>
  <sheetViews>
    <sheetView topLeftCell="A2" workbookViewId="0">
      <selection activeCell="E12" sqref="E12"/>
    </sheetView>
  </sheetViews>
  <sheetFormatPr defaultRowHeight="14.4" x14ac:dyDescent="0.3"/>
  <cols>
    <col min="1" max="1" width="9.109375" bestFit="1" customWidth="1"/>
    <col min="2" max="2" width="13.77734375" bestFit="1" customWidth="1"/>
    <col min="3" max="3" width="13.88671875" bestFit="1" customWidth="1"/>
    <col min="4" max="4" width="15.77734375" bestFit="1" customWidth="1"/>
    <col min="5" max="5" width="32.6640625" bestFit="1" customWidth="1"/>
    <col min="6" max="6" width="20.77734375" bestFit="1" customWidth="1"/>
    <col min="7" max="7" width="22.88671875" bestFit="1" customWidth="1"/>
    <col min="8" max="8" width="20.6640625" bestFit="1" customWidth="1"/>
    <col min="9" max="9" width="14.5546875" bestFit="1" customWidth="1"/>
    <col min="10" max="10" width="21.77734375" bestFit="1" customWidth="1"/>
    <col min="11" max="11" width="13.5546875" bestFit="1" customWidth="1"/>
    <col min="12" max="12" width="19.5546875" bestFit="1" customWidth="1"/>
    <col min="13" max="13" width="26" bestFit="1" customWidth="1"/>
    <col min="14" max="14" width="25" bestFit="1" customWidth="1"/>
    <col min="15" max="15" width="22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46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 spans="1:16" x14ac:dyDescent="0.3">
      <c r="A2">
        <v>2020</v>
      </c>
      <c r="B2" t="s">
        <v>14</v>
      </c>
      <c r="C2" t="s">
        <v>15</v>
      </c>
      <c r="D2" t="s">
        <v>16</v>
      </c>
      <c r="E2" t="str">
        <f>IF(OR(Table1[[#This Row],[Energy Type]]="Solar",Table1[[#This Row],[Energy Type]]="Wind"),"Renewable","Non-Renewable")</f>
        <v>Non-Renewable</v>
      </c>
      <c r="F2">
        <v>99321</v>
      </c>
      <c r="G2">
        <v>62342</v>
      </c>
      <c r="H2">
        <v>196839</v>
      </c>
      <c r="I2">
        <v>9000</v>
      </c>
      <c r="J2" s="8">
        <f>Table1[[#This Row],[Revenue (Crore ₹)]]/Table1[[#This Row],[Employees]]</f>
        <v>21.870999999999999</v>
      </c>
      <c r="K2">
        <v>2.88</v>
      </c>
      <c r="L2">
        <v>4.17</v>
      </c>
      <c r="M2">
        <v>38334</v>
      </c>
      <c r="N2">
        <v>158505</v>
      </c>
      <c r="O2">
        <v>34240</v>
      </c>
      <c r="P2">
        <v>53.31</v>
      </c>
    </row>
    <row r="3" spans="1:16" x14ac:dyDescent="0.3">
      <c r="A3">
        <v>2022</v>
      </c>
      <c r="B3" t="s">
        <v>17</v>
      </c>
      <c r="C3" t="s">
        <v>18</v>
      </c>
      <c r="D3" t="s">
        <v>16</v>
      </c>
      <c r="E3" t="str">
        <f>IF(OR(Table1[[#This Row],[Energy Type]]="Solar",Table1[[#This Row],[Energy Type]]="Wind"),"Renewable","Non-Renewable")</f>
        <v>Non-Renewable</v>
      </c>
      <c r="F3">
        <v>131000</v>
      </c>
      <c r="G3">
        <v>70653</v>
      </c>
      <c r="H3">
        <v>50889</v>
      </c>
      <c r="I3">
        <v>9695</v>
      </c>
      <c r="J3" s="8">
        <f>Table1[[#This Row],[Revenue (Crore ₹)]]/Table1[[#This Row],[Employees]]</f>
        <v>5.2489943269726664</v>
      </c>
      <c r="K3">
        <v>19.559999999999999</v>
      </c>
      <c r="L3">
        <v>7.62</v>
      </c>
      <c r="M3">
        <v>22889</v>
      </c>
      <c r="N3">
        <v>28000</v>
      </c>
      <c r="O3">
        <v>44245</v>
      </c>
      <c r="P3">
        <v>47.72</v>
      </c>
    </row>
    <row r="4" spans="1:16" x14ac:dyDescent="0.3">
      <c r="A4">
        <v>2021</v>
      </c>
      <c r="B4" t="s">
        <v>19</v>
      </c>
      <c r="C4" t="s">
        <v>15</v>
      </c>
      <c r="D4" t="s">
        <v>20</v>
      </c>
      <c r="E4" t="str">
        <f>IF(OR(Table1[[#This Row],[Energy Type]]="Solar",Table1[[#This Row],[Energy Type]]="Wind"),"Renewable","Non-Renewable")</f>
        <v>Non-Renewable</v>
      </c>
      <c r="F4">
        <v>19672</v>
      </c>
      <c r="G4">
        <v>12780</v>
      </c>
      <c r="H4">
        <v>165338</v>
      </c>
      <c r="I4">
        <v>4549</v>
      </c>
      <c r="J4" s="8">
        <f>Table1[[#This Row],[Revenue (Crore ₹)]]/Table1[[#This Row],[Employees]]</f>
        <v>36.346010112112552</v>
      </c>
      <c r="K4">
        <v>2.19</v>
      </c>
      <c r="L4">
        <v>9.93</v>
      </c>
      <c r="M4">
        <v>15081</v>
      </c>
      <c r="N4">
        <v>150257</v>
      </c>
      <c r="O4">
        <v>80834</v>
      </c>
      <c r="P4">
        <v>66.66</v>
      </c>
    </row>
    <row r="5" spans="1:16" x14ac:dyDescent="0.3">
      <c r="A5">
        <v>2025</v>
      </c>
      <c r="B5" t="s">
        <v>17</v>
      </c>
      <c r="C5" t="s">
        <v>21</v>
      </c>
      <c r="D5" t="s">
        <v>22</v>
      </c>
      <c r="E5" t="str">
        <f>IF(OR(Table1[[#This Row],[Energy Type]]="Solar",Table1[[#This Row],[Energy Type]]="Wind"),"Renewable","Non-Renewable")</f>
        <v>Non-Renewable</v>
      </c>
      <c r="F5">
        <v>99342</v>
      </c>
      <c r="G5">
        <v>76219</v>
      </c>
      <c r="H5">
        <v>144147</v>
      </c>
      <c r="I5">
        <v>531</v>
      </c>
      <c r="J5" s="8">
        <f>Table1[[#This Row],[Revenue (Crore ₹)]]/Table1[[#This Row],[Employees]]</f>
        <v>271.46327683615817</v>
      </c>
      <c r="K5">
        <v>5.89</v>
      </c>
      <c r="L5">
        <v>13.87</v>
      </c>
      <c r="M5">
        <v>4635</v>
      </c>
      <c r="N5">
        <v>139512</v>
      </c>
      <c r="O5">
        <v>49737</v>
      </c>
      <c r="P5">
        <v>35.28</v>
      </c>
    </row>
    <row r="6" spans="1:16" x14ac:dyDescent="0.3">
      <c r="A6">
        <v>2024</v>
      </c>
      <c r="B6" t="s">
        <v>23</v>
      </c>
      <c r="C6" t="s">
        <v>24</v>
      </c>
      <c r="D6" t="s">
        <v>22</v>
      </c>
      <c r="E6" t="str">
        <f>IF(OR(Table1[[#This Row],[Energy Type]]="Solar",Table1[[#This Row],[Energy Type]]="Wind"),"Renewable","Non-Renewable")</f>
        <v>Non-Renewable</v>
      </c>
      <c r="F6">
        <v>163958</v>
      </c>
      <c r="G6">
        <v>88464</v>
      </c>
      <c r="H6">
        <v>192799</v>
      </c>
      <c r="I6">
        <v>3146</v>
      </c>
      <c r="J6" s="8">
        <f>Table1[[#This Row],[Revenue (Crore ₹)]]/Table1[[#This Row],[Employees]]</f>
        <v>61.283852511125239</v>
      </c>
      <c r="K6">
        <v>13.69</v>
      </c>
      <c r="L6">
        <v>12.42</v>
      </c>
      <c r="M6">
        <v>44747</v>
      </c>
      <c r="N6">
        <v>148052</v>
      </c>
      <c r="O6">
        <v>36405</v>
      </c>
      <c r="P6">
        <v>71.67</v>
      </c>
    </row>
    <row r="7" spans="1:16" x14ac:dyDescent="0.3">
      <c r="A7">
        <v>2025</v>
      </c>
      <c r="B7" t="s">
        <v>14</v>
      </c>
      <c r="C7" t="s">
        <v>18</v>
      </c>
      <c r="D7" t="s">
        <v>22</v>
      </c>
      <c r="E7" t="str">
        <f>IF(OR(Table1[[#This Row],[Energy Type]]="Solar",Table1[[#This Row],[Energy Type]]="Wind"),"Renewable","Non-Renewable")</f>
        <v>Non-Renewable</v>
      </c>
      <c r="F7">
        <v>61729</v>
      </c>
      <c r="G7">
        <v>8475</v>
      </c>
      <c r="H7">
        <v>268014</v>
      </c>
      <c r="I7">
        <v>7874</v>
      </c>
      <c r="J7" s="8">
        <f>Table1[[#This Row],[Revenue (Crore ₹)]]/Table1[[#This Row],[Employees]]</f>
        <v>34.037846075692151</v>
      </c>
      <c r="K7">
        <v>7.33</v>
      </c>
      <c r="L7">
        <v>12.42</v>
      </c>
      <c r="M7">
        <v>30105</v>
      </c>
      <c r="N7">
        <v>237909</v>
      </c>
      <c r="O7">
        <v>64443</v>
      </c>
      <c r="P7">
        <v>31.62</v>
      </c>
    </row>
    <row r="8" spans="1:16" x14ac:dyDescent="0.3">
      <c r="A8">
        <v>2025</v>
      </c>
      <c r="B8" t="s">
        <v>23</v>
      </c>
      <c r="C8" t="s">
        <v>21</v>
      </c>
      <c r="D8" t="s">
        <v>16</v>
      </c>
      <c r="E8" t="str">
        <f>IF(OR(Table1[[#This Row],[Energy Type]]="Solar",Table1[[#This Row],[Energy Type]]="Wind"),"Renewable","Non-Renewable")</f>
        <v>Non-Renewable</v>
      </c>
      <c r="F8">
        <v>80828</v>
      </c>
      <c r="G8">
        <v>21848</v>
      </c>
      <c r="H8">
        <v>66372</v>
      </c>
      <c r="I8">
        <v>3627</v>
      </c>
      <c r="J8" s="8">
        <f>Table1[[#This Row],[Revenue (Crore ₹)]]/Table1[[#This Row],[Employees]]</f>
        <v>18.299421009098428</v>
      </c>
      <c r="K8">
        <v>17.64</v>
      </c>
      <c r="L8">
        <v>1.88</v>
      </c>
      <c r="M8">
        <v>41168</v>
      </c>
      <c r="N8">
        <v>25204</v>
      </c>
      <c r="O8">
        <v>46105</v>
      </c>
      <c r="P8">
        <v>48.63</v>
      </c>
    </row>
    <row r="9" spans="1:16" x14ac:dyDescent="0.3">
      <c r="A9">
        <v>2024</v>
      </c>
      <c r="B9" t="s">
        <v>14</v>
      </c>
      <c r="C9" t="s">
        <v>18</v>
      </c>
      <c r="D9" t="s">
        <v>25</v>
      </c>
      <c r="E9" t="str">
        <f>IF(OR(Table1[[#This Row],[Energy Type]]="Solar",Table1[[#This Row],[Energy Type]]="Wind"),"Renewable","Non-Renewable")</f>
        <v>Renewable</v>
      </c>
      <c r="F9">
        <v>194958</v>
      </c>
      <c r="G9">
        <v>15845</v>
      </c>
      <c r="H9">
        <v>169525</v>
      </c>
      <c r="I9">
        <v>9203</v>
      </c>
      <c r="J9" s="8">
        <f>Table1[[#This Row],[Revenue (Crore ₹)]]/Table1[[#This Row],[Employees]]</f>
        <v>18.420623709659893</v>
      </c>
      <c r="K9">
        <v>9.19</v>
      </c>
      <c r="L9">
        <v>11.82</v>
      </c>
      <c r="M9">
        <v>11582</v>
      </c>
      <c r="N9">
        <v>157943</v>
      </c>
      <c r="O9">
        <v>135651</v>
      </c>
      <c r="P9">
        <v>51</v>
      </c>
    </row>
    <row r="10" spans="1:16" x14ac:dyDescent="0.3">
      <c r="A10">
        <v>2024</v>
      </c>
      <c r="B10" t="s">
        <v>23</v>
      </c>
      <c r="C10" t="s">
        <v>26</v>
      </c>
      <c r="D10" t="s">
        <v>16</v>
      </c>
      <c r="E10" t="str">
        <f>IF(OR(Table1[[#This Row],[Energy Type]]="Solar",Table1[[#This Row],[Energy Type]]="Wind"),"Renewable","Non-Renewable")</f>
        <v>Non-Renewable</v>
      </c>
      <c r="F10">
        <v>99828</v>
      </c>
      <c r="G10">
        <v>93993</v>
      </c>
      <c r="H10">
        <v>91708</v>
      </c>
      <c r="I10">
        <v>9099</v>
      </c>
      <c r="J10" s="8">
        <f>Table1[[#This Row],[Revenue (Crore ₹)]]/Table1[[#This Row],[Employees]]</f>
        <v>10.078909770304429</v>
      </c>
      <c r="K10">
        <v>18.989999999999998</v>
      </c>
      <c r="L10">
        <v>6.53</v>
      </c>
      <c r="M10">
        <v>42517</v>
      </c>
      <c r="N10">
        <v>49191</v>
      </c>
      <c r="O10">
        <v>52958</v>
      </c>
      <c r="P10">
        <v>61.3</v>
      </c>
    </row>
    <row r="11" spans="1:16" x14ac:dyDescent="0.3">
      <c r="A11">
        <v>2024</v>
      </c>
      <c r="B11" t="s">
        <v>23</v>
      </c>
      <c r="C11" t="s">
        <v>21</v>
      </c>
      <c r="D11" t="s">
        <v>20</v>
      </c>
      <c r="E11" t="str">
        <f>IF(OR(Table1[[#This Row],[Energy Type]]="Solar",Table1[[#This Row],[Energy Type]]="Wind"),"Renewable","Non-Renewable")</f>
        <v>Non-Renewable</v>
      </c>
      <c r="F11">
        <v>72087</v>
      </c>
      <c r="G11">
        <v>56422</v>
      </c>
      <c r="H11">
        <v>68449</v>
      </c>
      <c r="I11">
        <v>6934</v>
      </c>
      <c r="J11" s="8">
        <f>Table1[[#This Row],[Revenue (Crore ₹)]]/Table1[[#This Row],[Employees]]</f>
        <v>9.8715027401211426</v>
      </c>
      <c r="K11">
        <v>14.34</v>
      </c>
      <c r="L11">
        <v>9.1999999999999993</v>
      </c>
      <c r="M11">
        <v>265</v>
      </c>
      <c r="N11">
        <v>68184</v>
      </c>
      <c r="O11">
        <v>225334</v>
      </c>
      <c r="P11">
        <v>51.53</v>
      </c>
    </row>
    <row r="12" spans="1:16" x14ac:dyDescent="0.3">
      <c r="A12">
        <v>2020</v>
      </c>
      <c r="B12" t="s">
        <v>27</v>
      </c>
      <c r="C12" t="s">
        <v>15</v>
      </c>
      <c r="D12" t="s">
        <v>22</v>
      </c>
      <c r="E12" t="str">
        <f>IF(OR(Table1[[#This Row],[Energy Type]]="Solar",Table1[[#This Row],[Energy Type]]="Wind"),"Renewable","Non-Renewable")</f>
        <v>Non-Renewable</v>
      </c>
      <c r="F12">
        <v>114068</v>
      </c>
      <c r="G12">
        <v>99511</v>
      </c>
      <c r="H12">
        <v>22330</v>
      </c>
      <c r="I12">
        <v>5884</v>
      </c>
      <c r="J12" s="8">
        <f>Table1[[#This Row],[Revenue (Crore ₹)]]/Table1[[#This Row],[Employees]]</f>
        <v>3.7950373895309313</v>
      </c>
      <c r="K12">
        <v>7.09</v>
      </c>
      <c r="L12">
        <v>11.89</v>
      </c>
      <c r="M12">
        <v>13281</v>
      </c>
      <c r="N12">
        <v>9049</v>
      </c>
      <c r="O12">
        <v>265387</v>
      </c>
      <c r="P12">
        <v>28.56</v>
      </c>
    </row>
    <row r="13" spans="1:16" x14ac:dyDescent="0.3">
      <c r="A13">
        <v>2021</v>
      </c>
      <c r="B13" t="s">
        <v>27</v>
      </c>
      <c r="C13" t="s">
        <v>28</v>
      </c>
      <c r="D13" t="s">
        <v>22</v>
      </c>
      <c r="E13" t="str">
        <f>IF(OR(Table1[[#This Row],[Energy Type]]="Solar",Table1[[#This Row],[Energy Type]]="Wind"),"Renewable","Non-Renewable")</f>
        <v>Non-Renewable</v>
      </c>
      <c r="F13">
        <v>58701</v>
      </c>
      <c r="G13">
        <v>33725</v>
      </c>
      <c r="H13">
        <v>111078</v>
      </c>
      <c r="I13">
        <v>8149</v>
      </c>
      <c r="J13" s="8">
        <f>Table1[[#This Row],[Revenue (Crore ₹)]]/Table1[[#This Row],[Employees]]</f>
        <v>13.630874953982083</v>
      </c>
      <c r="K13">
        <v>9.59</v>
      </c>
      <c r="L13">
        <v>14.75</v>
      </c>
      <c r="M13">
        <v>27438</v>
      </c>
      <c r="N13">
        <v>83640</v>
      </c>
      <c r="O13">
        <v>150398</v>
      </c>
      <c r="P13">
        <v>22.94</v>
      </c>
    </row>
    <row r="14" spans="1:16" x14ac:dyDescent="0.3">
      <c r="A14">
        <v>2024</v>
      </c>
      <c r="B14" t="s">
        <v>27</v>
      </c>
      <c r="C14" t="s">
        <v>15</v>
      </c>
      <c r="D14" t="s">
        <v>16</v>
      </c>
      <c r="E14" t="str">
        <f>IF(OR(Table1[[#This Row],[Energy Type]]="Solar",Table1[[#This Row],[Energy Type]]="Wind"),"Renewable","Non-Renewable")</f>
        <v>Non-Renewable</v>
      </c>
      <c r="F14">
        <v>19070</v>
      </c>
      <c r="G14">
        <v>9236</v>
      </c>
      <c r="H14">
        <v>67574</v>
      </c>
      <c r="I14">
        <v>4651</v>
      </c>
      <c r="J14" s="8">
        <f>Table1[[#This Row],[Revenue (Crore ₹)]]/Table1[[#This Row],[Employees]]</f>
        <v>14.528918512147925</v>
      </c>
      <c r="K14">
        <v>9.93</v>
      </c>
      <c r="L14">
        <v>13.12</v>
      </c>
      <c r="M14">
        <v>41668</v>
      </c>
      <c r="N14">
        <v>25906</v>
      </c>
      <c r="O14">
        <v>16739</v>
      </c>
      <c r="P14">
        <v>64.040000000000006</v>
      </c>
    </row>
    <row r="15" spans="1:16" x14ac:dyDescent="0.3">
      <c r="A15">
        <v>2022</v>
      </c>
      <c r="B15" t="s">
        <v>14</v>
      </c>
      <c r="C15" t="s">
        <v>21</v>
      </c>
      <c r="D15" t="s">
        <v>16</v>
      </c>
      <c r="E15" t="str">
        <f>IF(OR(Table1[[#This Row],[Energy Type]]="Solar",Table1[[#This Row],[Energy Type]]="Wind"),"Renewable","Non-Renewable")</f>
        <v>Non-Renewable</v>
      </c>
      <c r="F15">
        <v>75740</v>
      </c>
      <c r="G15">
        <v>73272</v>
      </c>
      <c r="H15">
        <v>177490</v>
      </c>
      <c r="I15">
        <v>7113</v>
      </c>
      <c r="J15" s="8">
        <f>Table1[[#This Row],[Revenue (Crore ₹)]]/Table1[[#This Row],[Employees]]</f>
        <v>24.952903135104737</v>
      </c>
      <c r="K15">
        <v>15.18</v>
      </c>
      <c r="L15">
        <v>14.94</v>
      </c>
      <c r="M15">
        <v>44145</v>
      </c>
      <c r="N15">
        <v>133345</v>
      </c>
      <c r="O15">
        <v>16086</v>
      </c>
      <c r="P15">
        <v>34.25</v>
      </c>
    </row>
    <row r="16" spans="1:16" x14ac:dyDescent="0.3">
      <c r="A16">
        <v>2021</v>
      </c>
      <c r="B16" t="s">
        <v>17</v>
      </c>
      <c r="C16" t="s">
        <v>15</v>
      </c>
      <c r="D16" t="s">
        <v>16</v>
      </c>
      <c r="E16" t="str">
        <f>IF(OR(Table1[[#This Row],[Energy Type]]="Solar",Table1[[#This Row],[Energy Type]]="Wind"),"Renewable","Non-Renewable")</f>
        <v>Non-Renewable</v>
      </c>
      <c r="F16">
        <v>144278</v>
      </c>
      <c r="G16">
        <v>128700</v>
      </c>
      <c r="H16">
        <v>54845</v>
      </c>
      <c r="I16">
        <v>8298</v>
      </c>
      <c r="J16" s="8">
        <f>Table1[[#This Row],[Revenue (Crore ₹)]]/Table1[[#This Row],[Employees]]</f>
        <v>6.6094239575801401</v>
      </c>
      <c r="K16">
        <v>11.81</v>
      </c>
      <c r="L16">
        <v>3.19</v>
      </c>
      <c r="M16">
        <v>47847</v>
      </c>
      <c r="N16">
        <v>6998</v>
      </c>
      <c r="O16">
        <v>38173</v>
      </c>
      <c r="P16">
        <v>50.75</v>
      </c>
    </row>
    <row r="17" spans="1:16" x14ac:dyDescent="0.3">
      <c r="A17">
        <v>2020</v>
      </c>
      <c r="B17" t="s">
        <v>29</v>
      </c>
      <c r="C17" t="s">
        <v>26</v>
      </c>
      <c r="D17" t="s">
        <v>16</v>
      </c>
      <c r="E17" t="str">
        <f>IF(OR(Table1[[#This Row],[Energy Type]]="Solar",Table1[[#This Row],[Energy Type]]="Wind"),"Renewable","Non-Renewable")</f>
        <v>Non-Renewable</v>
      </c>
      <c r="F17">
        <v>63225</v>
      </c>
      <c r="G17">
        <v>29998</v>
      </c>
      <c r="H17">
        <v>266353</v>
      </c>
      <c r="I17">
        <v>3887</v>
      </c>
      <c r="J17" s="8">
        <f>Table1[[#This Row],[Revenue (Crore ₹)]]/Table1[[#This Row],[Employees]]</f>
        <v>68.524054540776945</v>
      </c>
      <c r="K17">
        <v>24.02</v>
      </c>
      <c r="L17">
        <v>2.77</v>
      </c>
      <c r="M17">
        <v>9073</v>
      </c>
      <c r="N17">
        <v>257280</v>
      </c>
      <c r="O17">
        <v>62535</v>
      </c>
      <c r="P17">
        <v>18.86</v>
      </c>
    </row>
    <row r="18" spans="1:16" x14ac:dyDescent="0.3">
      <c r="A18">
        <v>2025</v>
      </c>
      <c r="B18" t="s">
        <v>17</v>
      </c>
      <c r="C18" t="s">
        <v>26</v>
      </c>
      <c r="D18" t="s">
        <v>16</v>
      </c>
      <c r="E18" t="str">
        <f>IF(OR(Table1[[#This Row],[Energy Type]]="Solar",Table1[[#This Row],[Energy Type]]="Wind"),"Renewable","Non-Renewable")</f>
        <v>Non-Renewable</v>
      </c>
      <c r="F18">
        <v>24676</v>
      </c>
      <c r="G18">
        <v>19067</v>
      </c>
      <c r="H18">
        <v>51716</v>
      </c>
      <c r="I18">
        <v>5887</v>
      </c>
      <c r="J18" s="8">
        <f>Table1[[#This Row],[Revenue (Crore ₹)]]/Table1[[#This Row],[Employees]]</f>
        <v>8.784780023781213</v>
      </c>
      <c r="K18">
        <v>4.8899999999999997</v>
      </c>
      <c r="L18">
        <v>9.09</v>
      </c>
      <c r="M18">
        <v>44363</v>
      </c>
      <c r="N18">
        <v>7353</v>
      </c>
      <c r="O18">
        <v>141564</v>
      </c>
      <c r="P18">
        <v>41.29</v>
      </c>
    </row>
    <row r="19" spans="1:16" x14ac:dyDescent="0.3">
      <c r="A19">
        <v>2023</v>
      </c>
      <c r="B19" t="s">
        <v>30</v>
      </c>
      <c r="C19" t="s">
        <v>15</v>
      </c>
      <c r="D19" t="s">
        <v>25</v>
      </c>
      <c r="E19" t="str">
        <f>IF(OR(Table1[[#This Row],[Energy Type]]="Solar",Table1[[#This Row],[Energy Type]]="Wind"),"Renewable","Non-Renewable")</f>
        <v>Renewable</v>
      </c>
      <c r="F19">
        <v>180841</v>
      </c>
      <c r="G19">
        <v>3885</v>
      </c>
      <c r="H19">
        <v>266225</v>
      </c>
      <c r="I19">
        <v>5561</v>
      </c>
      <c r="J19" s="8">
        <f>Table1[[#This Row],[Revenue (Crore ₹)]]/Table1[[#This Row],[Employees]]</f>
        <v>47.873583887789962</v>
      </c>
      <c r="K19">
        <v>14.4</v>
      </c>
      <c r="L19">
        <v>3.66</v>
      </c>
      <c r="M19">
        <v>34501</v>
      </c>
      <c r="N19">
        <v>231724</v>
      </c>
      <c r="O19">
        <v>280063</v>
      </c>
      <c r="P19">
        <v>52.52</v>
      </c>
    </row>
    <row r="20" spans="1:16" x14ac:dyDescent="0.3">
      <c r="A20">
        <v>2020</v>
      </c>
      <c r="B20" t="s">
        <v>17</v>
      </c>
      <c r="C20" t="s">
        <v>26</v>
      </c>
      <c r="D20" t="s">
        <v>22</v>
      </c>
      <c r="E20" t="str">
        <f>IF(OR(Table1[[#This Row],[Energy Type]]="Solar",Table1[[#This Row],[Energy Type]]="Wind"),"Renewable","Non-Renewable")</f>
        <v>Non-Renewable</v>
      </c>
      <c r="F20">
        <v>85898</v>
      </c>
      <c r="G20">
        <v>80164</v>
      </c>
      <c r="H20">
        <v>227794</v>
      </c>
      <c r="I20">
        <v>4571</v>
      </c>
      <c r="J20" s="8">
        <f>Table1[[#This Row],[Revenue (Crore ₹)]]/Table1[[#This Row],[Employees]]</f>
        <v>49.834609494640119</v>
      </c>
      <c r="K20">
        <v>17.63</v>
      </c>
      <c r="L20">
        <v>2.82</v>
      </c>
      <c r="M20">
        <v>19729</v>
      </c>
      <c r="N20">
        <v>208065</v>
      </c>
      <c r="O20">
        <v>268210</v>
      </c>
      <c r="P20">
        <v>35.85</v>
      </c>
    </row>
    <row r="21" spans="1:16" x14ac:dyDescent="0.3">
      <c r="A21">
        <v>2022</v>
      </c>
      <c r="B21" t="s">
        <v>14</v>
      </c>
      <c r="C21" t="s">
        <v>15</v>
      </c>
      <c r="D21" t="s">
        <v>16</v>
      </c>
      <c r="E21" t="str">
        <f>IF(OR(Table1[[#This Row],[Energy Type]]="Solar",Table1[[#This Row],[Energy Type]]="Wind"),"Renewable","Non-Renewable")</f>
        <v>Non-Renewable</v>
      </c>
      <c r="F21">
        <v>17188</v>
      </c>
      <c r="G21">
        <v>1294</v>
      </c>
      <c r="H21">
        <v>163224</v>
      </c>
      <c r="I21">
        <v>9879</v>
      </c>
      <c r="J21" s="8">
        <f>Table1[[#This Row],[Revenue (Crore ₹)]]/Table1[[#This Row],[Employees]]</f>
        <v>16.522320072881872</v>
      </c>
      <c r="K21">
        <v>3.65</v>
      </c>
      <c r="L21">
        <v>7.97</v>
      </c>
      <c r="M21">
        <v>1651</v>
      </c>
      <c r="N21">
        <v>161573</v>
      </c>
      <c r="O21">
        <v>26353</v>
      </c>
      <c r="P21">
        <v>17.11</v>
      </c>
    </row>
    <row r="22" spans="1:16" x14ac:dyDescent="0.3">
      <c r="A22">
        <v>2024</v>
      </c>
      <c r="B22" t="s">
        <v>17</v>
      </c>
      <c r="C22" t="s">
        <v>18</v>
      </c>
      <c r="D22" t="s">
        <v>25</v>
      </c>
      <c r="E22" t="str">
        <f>IF(OR(Table1[[#This Row],[Energy Type]]="Solar",Table1[[#This Row],[Energy Type]]="Wind"),"Renewable","Non-Renewable")</f>
        <v>Renewable</v>
      </c>
      <c r="F22">
        <v>180738</v>
      </c>
      <c r="G22">
        <v>42046</v>
      </c>
      <c r="H22">
        <v>127738</v>
      </c>
      <c r="I22">
        <v>8211</v>
      </c>
      <c r="J22" s="8">
        <f>Table1[[#This Row],[Revenue (Crore ₹)]]/Table1[[#This Row],[Employees]]</f>
        <v>15.556935817805384</v>
      </c>
      <c r="K22">
        <v>13.31</v>
      </c>
      <c r="L22">
        <v>10.51</v>
      </c>
      <c r="M22">
        <v>2742</v>
      </c>
      <c r="N22">
        <v>124996</v>
      </c>
      <c r="O22">
        <v>299613</v>
      </c>
      <c r="P22">
        <v>20.02</v>
      </c>
    </row>
    <row r="23" spans="1:16" x14ac:dyDescent="0.3">
      <c r="A23">
        <v>2024</v>
      </c>
      <c r="B23" t="s">
        <v>19</v>
      </c>
      <c r="C23" t="s">
        <v>24</v>
      </c>
      <c r="D23" t="s">
        <v>25</v>
      </c>
      <c r="E23" t="str">
        <f>IF(OR(Table1[[#This Row],[Energy Type]]="Solar",Table1[[#This Row],[Energy Type]]="Wind"),"Renewable","Non-Renewable")</f>
        <v>Renewable</v>
      </c>
      <c r="F23">
        <v>58772</v>
      </c>
      <c r="G23">
        <v>52856</v>
      </c>
      <c r="H23">
        <v>105204</v>
      </c>
      <c r="I23">
        <v>857</v>
      </c>
      <c r="J23" s="8">
        <f>Table1[[#This Row],[Revenue (Crore ₹)]]/Table1[[#This Row],[Employees]]</f>
        <v>122.75845974329054</v>
      </c>
      <c r="K23">
        <v>8.23</v>
      </c>
      <c r="L23">
        <v>13.47</v>
      </c>
      <c r="M23">
        <v>38433</v>
      </c>
      <c r="N23">
        <v>66771</v>
      </c>
      <c r="O23">
        <v>126909</v>
      </c>
      <c r="P23">
        <v>67.94</v>
      </c>
    </row>
    <row r="24" spans="1:16" x14ac:dyDescent="0.3">
      <c r="A24">
        <v>2020</v>
      </c>
      <c r="B24" t="s">
        <v>19</v>
      </c>
      <c r="C24" t="s">
        <v>26</v>
      </c>
      <c r="D24" t="s">
        <v>25</v>
      </c>
      <c r="E24" t="str">
        <f>IF(OR(Table1[[#This Row],[Energy Type]]="Solar",Table1[[#This Row],[Energy Type]]="Wind"),"Renewable","Non-Renewable")</f>
        <v>Renewable</v>
      </c>
      <c r="F24">
        <v>94472</v>
      </c>
      <c r="G24">
        <v>44765</v>
      </c>
      <c r="H24">
        <v>229756</v>
      </c>
      <c r="I24">
        <v>4267</v>
      </c>
      <c r="J24" s="8">
        <f>Table1[[#This Row],[Revenue (Crore ₹)]]/Table1[[#This Row],[Employees]]</f>
        <v>53.844855870635108</v>
      </c>
      <c r="K24">
        <v>3.99</v>
      </c>
      <c r="L24">
        <v>12.1</v>
      </c>
      <c r="M24">
        <v>45776</v>
      </c>
      <c r="N24">
        <v>183980</v>
      </c>
      <c r="O24">
        <v>207085</v>
      </c>
      <c r="P24">
        <v>44.19</v>
      </c>
    </row>
    <row r="25" spans="1:16" x14ac:dyDescent="0.3">
      <c r="A25">
        <v>2022</v>
      </c>
      <c r="B25" t="s">
        <v>30</v>
      </c>
      <c r="C25" t="s">
        <v>18</v>
      </c>
      <c r="D25" t="s">
        <v>20</v>
      </c>
      <c r="E25" t="str">
        <f>IF(OR(Table1[[#This Row],[Energy Type]]="Solar",Table1[[#This Row],[Energy Type]]="Wind"),"Renewable","Non-Renewable")</f>
        <v>Non-Renewable</v>
      </c>
      <c r="F25">
        <v>72118</v>
      </c>
      <c r="G25">
        <v>1714</v>
      </c>
      <c r="H25">
        <v>112997</v>
      </c>
      <c r="I25">
        <v>9222</v>
      </c>
      <c r="J25" s="8">
        <f>Table1[[#This Row],[Revenue (Crore ₹)]]/Table1[[#This Row],[Employees]]</f>
        <v>12.252981999566254</v>
      </c>
      <c r="K25">
        <v>12.93</v>
      </c>
      <c r="L25">
        <v>8.51</v>
      </c>
      <c r="M25">
        <v>5136</v>
      </c>
      <c r="N25">
        <v>107861</v>
      </c>
      <c r="O25">
        <v>180419</v>
      </c>
      <c r="P25">
        <v>42.94</v>
      </c>
    </row>
    <row r="26" spans="1:16" x14ac:dyDescent="0.3">
      <c r="A26">
        <v>2021</v>
      </c>
      <c r="B26" t="s">
        <v>31</v>
      </c>
      <c r="C26" t="s">
        <v>21</v>
      </c>
      <c r="D26" t="s">
        <v>20</v>
      </c>
      <c r="E26" t="str">
        <f>IF(OR(Table1[[#This Row],[Energy Type]]="Solar",Table1[[#This Row],[Energy Type]]="Wind"),"Renewable","Non-Renewable")</f>
        <v>Non-Renewable</v>
      </c>
      <c r="F26">
        <v>111636</v>
      </c>
      <c r="G26">
        <v>85546</v>
      </c>
      <c r="H26">
        <v>77227</v>
      </c>
      <c r="I26">
        <v>8730</v>
      </c>
      <c r="J26" s="8">
        <f>Table1[[#This Row],[Revenue (Crore ₹)]]/Table1[[#This Row],[Employees]]</f>
        <v>8.8461626575028642</v>
      </c>
      <c r="K26">
        <v>18.41</v>
      </c>
      <c r="L26">
        <v>14.16</v>
      </c>
      <c r="M26">
        <v>22353</v>
      </c>
      <c r="N26">
        <v>54874</v>
      </c>
      <c r="O26">
        <v>284337</v>
      </c>
      <c r="P26">
        <v>61.01</v>
      </c>
    </row>
    <row r="27" spans="1:16" x14ac:dyDescent="0.3">
      <c r="A27">
        <v>2023</v>
      </c>
      <c r="B27" t="s">
        <v>27</v>
      </c>
      <c r="C27" t="s">
        <v>15</v>
      </c>
      <c r="D27" t="s">
        <v>22</v>
      </c>
      <c r="E27" t="str">
        <f>IF(OR(Table1[[#This Row],[Energy Type]]="Solar",Table1[[#This Row],[Energy Type]]="Wind"),"Renewable","Non-Renewable")</f>
        <v>Non-Renewable</v>
      </c>
      <c r="F27">
        <v>159390</v>
      </c>
      <c r="G27">
        <v>65368</v>
      </c>
      <c r="H27">
        <v>25999</v>
      </c>
      <c r="I27">
        <v>4834</v>
      </c>
      <c r="J27" s="8">
        <f>Table1[[#This Row],[Revenue (Crore ₹)]]/Table1[[#This Row],[Employees]]</f>
        <v>5.3783616052958214</v>
      </c>
      <c r="K27">
        <v>16.75</v>
      </c>
      <c r="L27">
        <v>6.09</v>
      </c>
      <c r="M27">
        <v>17086</v>
      </c>
      <c r="N27">
        <v>8913</v>
      </c>
      <c r="O27">
        <v>294507</v>
      </c>
      <c r="P27">
        <v>72.989999999999995</v>
      </c>
    </row>
    <row r="28" spans="1:16" x14ac:dyDescent="0.3">
      <c r="A28">
        <v>2022</v>
      </c>
      <c r="B28" t="s">
        <v>31</v>
      </c>
      <c r="C28" t="s">
        <v>18</v>
      </c>
      <c r="D28" t="s">
        <v>20</v>
      </c>
      <c r="E28" t="str">
        <f>IF(OR(Table1[[#This Row],[Energy Type]]="Solar",Table1[[#This Row],[Energy Type]]="Wind"),"Renewable","Non-Renewable")</f>
        <v>Non-Renewable</v>
      </c>
      <c r="F28">
        <v>45474</v>
      </c>
      <c r="G28">
        <v>42798</v>
      </c>
      <c r="H28">
        <v>220160</v>
      </c>
      <c r="I28">
        <v>5924</v>
      </c>
      <c r="J28" s="8">
        <f>Table1[[#This Row],[Revenue (Crore ₹)]]/Table1[[#This Row],[Employees]]</f>
        <v>37.164078325455776</v>
      </c>
      <c r="K28">
        <v>5.65</v>
      </c>
      <c r="L28">
        <v>13.98</v>
      </c>
      <c r="M28">
        <v>25082</v>
      </c>
      <c r="N28">
        <v>195078</v>
      </c>
      <c r="O28">
        <v>214124</v>
      </c>
      <c r="P28">
        <v>23.6</v>
      </c>
    </row>
    <row r="29" spans="1:16" x14ac:dyDescent="0.3">
      <c r="A29">
        <v>2021</v>
      </c>
      <c r="B29" t="s">
        <v>30</v>
      </c>
      <c r="C29" t="s">
        <v>24</v>
      </c>
      <c r="D29" t="s">
        <v>32</v>
      </c>
      <c r="E29" t="str">
        <f>IF(OR(Table1[[#This Row],[Energy Type]]="Solar",Table1[[#This Row],[Energy Type]]="Wind"),"Renewable","Non-Renewable")</f>
        <v>Renewable</v>
      </c>
      <c r="F29">
        <v>91676</v>
      </c>
      <c r="G29">
        <v>19685</v>
      </c>
      <c r="H29">
        <v>129651</v>
      </c>
      <c r="I29">
        <v>6461</v>
      </c>
      <c r="J29" s="8">
        <f>Table1[[#This Row],[Revenue (Crore ₹)]]/Table1[[#This Row],[Employees]]</f>
        <v>20.066707939947378</v>
      </c>
      <c r="K29">
        <v>21.86</v>
      </c>
      <c r="L29">
        <v>5.04</v>
      </c>
      <c r="M29">
        <v>11649</v>
      </c>
      <c r="N29">
        <v>118002</v>
      </c>
      <c r="O29">
        <v>131163</v>
      </c>
      <c r="P29">
        <v>71.17</v>
      </c>
    </row>
    <row r="30" spans="1:16" x14ac:dyDescent="0.3">
      <c r="A30">
        <v>2020</v>
      </c>
      <c r="B30" t="s">
        <v>23</v>
      </c>
      <c r="C30" t="s">
        <v>33</v>
      </c>
      <c r="D30" t="s">
        <v>22</v>
      </c>
      <c r="E30" t="str">
        <f>IF(OR(Table1[[#This Row],[Energy Type]]="Solar",Table1[[#This Row],[Energy Type]]="Wind"),"Renewable","Non-Renewable")</f>
        <v>Non-Renewable</v>
      </c>
      <c r="F30">
        <v>4340</v>
      </c>
      <c r="G30">
        <v>1656</v>
      </c>
      <c r="H30">
        <v>184061</v>
      </c>
      <c r="I30">
        <v>4843</v>
      </c>
      <c r="J30" s="8">
        <f>Table1[[#This Row],[Revenue (Crore ₹)]]/Table1[[#This Row],[Employees]]</f>
        <v>38.005575056782988</v>
      </c>
      <c r="K30">
        <v>19.63</v>
      </c>
      <c r="L30">
        <v>11.13</v>
      </c>
      <c r="M30">
        <v>49528</v>
      </c>
      <c r="N30">
        <v>134533</v>
      </c>
      <c r="O30">
        <v>152868</v>
      </c>
      <c r="P30">
        <v>49.14</v>
      </c>
    </row>
    <row r="31" spans="1:16" x14ac:dyDescent="0.3">
      <c r="A31">
        <v>2023</v>
      </c>
      <c r="B31" t="s">
        <v>23</v>
      </c>
      <c r="C31" t="s">
        <v>24</v>
      </c>
      <c r="D31" t="s">
        <v>22</v>
      </c>
      <c r="E31" t="str">
        <f>IF(OR(Table1[[#This Row],[Energy Type]]="Solar",Table1[[#This Row],[Energy Type]]="Wind"),"Renewable","Non-Renewable")</f>
        <v>Non-Renewable</v>
      </c>
      <c r="F31">
        <v>148591</v>
      </c>
      <c r="G31">
        <v>54880</v>
      </c>
      <c r="H31">
        <v>236780</v>
      </c>
      <c r="I31">
        <v>5485</v>
      </c>
      <c r="J31" s="8">
        <f>Table1[[#This Row],[Revenue (Crore ₹)]]/Table1[[#This Row],[Employees]]</f>
        <v>43.168641750227891</v>
      </c>
      <c r="K31">
        <v>24.73</v>
      </c>
      <c r="L31">
        <v>6.89</v>
      </c>
      <c r="M31">
        <v>7027</v>
      </c>
      <c r="N31">
        <v>229753</v>
      </c>
      <c r="O31">
        <v>90720</v>
      </c>
      <c r="P31">
        <v>14.24</v>
      </c>
    </row>
    <row r="32" spans="1:16" x14ac:dyDescent="0.3">
      <c r="A32">
        <v>2020</v>
      </c>
      <c r="B32" t="s">
        <v>31</v>
      </c>
      <c r="C32" t="s">
        <v>24</v>
      </c>
      <c r="D32" t="s">
        <v>16</v>
      </c>
      <c r="E32" t="str">
        <f>IF(OR(Table1[[#This Row],[Energy Type]]="Solar",Table1[[#This Row],[Energy Type]]="Wind"),"Renewable","Non-Renewable")</f>
        <v>Non-Renewable</v>
      </c>
      <c r="F32">
        <v>70488</v>
      </c>
      <c r="G32">
        <v>69962</v>
      </c>
      <c r="H32">
        <v>62673</v>
      </c>
      <c r="I32">
        <v>7662</v>
      </c>
      <c r="J32" s="8">
        <f>Table1[[#This Row],[Revenue (Crore ₹)]]/Table1[[#This Row],[Employees]]</f>
        <v>8.1797180892717307</v>
      </c>
      <c r="K32">
        <v>8.9700000000000006</v>
      </c>
      <c r="L32">
        <v>3.16</v>
      </c>
      <c r="M32">
        <v>47384</v>
      </c>
      <c r="N32">
        <v>15289</v>
      </c>
      <c r="O32">
        <v>29200</v>
      </c>
      <c r="P32">
        <v>36.14</v>
      </c>
    </row>
    <row r="33" spans="1:16" x14ac:dyDescent="0.3">
      <c r="A33">
        <v>2022</v>
      </c>
      <c r="B33" t="s">
        <v>31</v>
      </c>
      <c r="C33" t="s">
        <v>18</v>
      </c>
      <c r="D33" t="s">
        <v>16</v>
      </c>
      <c r="E33" t="str">
        <f>IF(OR(Table1[[#This Row],[Energy Type]]="Solar",Table1[[#This Row],[Energy Type]]="Wind"),"Renewable","Non-Renewable")</f>
        <v>Non-Renewable</v>
      </c>
      <c r="F33">
        <v>30382</v>
      </c>
      <c r="G33">
        <v>9381</v>
      </c>
      <c r="H33">
        <v>4541</v>
      </c>
      <c r="I33">
        <v>3967</v>
      </c>
      <c r="J33" s="8">
        <f>Table1[[#This Row],[Revenue (Crore ₹)]]/Table1[[#This Row],[Employees]]</f>
        <v>1.1446937232165364</v>
      </c>
      <c r="K33">
        <v>20.36</v>
      </c>
      <c r="L33">
        <v>13.63</v>
      </c>
      <c r="M33">
        <v>15779</v>
      </c>
      <c r="N33">
        <v>-11238</v>
      </c>
      <c r="O33">
        <v>85271</v>
      </c>
      <c r="P33">
        <v>6.92</v>
      </c>
    </row>
    <row r="34" spans="1:16" x14ac:dyDescent="0.3">
      <c r="A34">
        <v>2024</v>
      </c>
      <c r="B34" t="s">
        <v>27</v>
      </c>
      <c r="C34" t="s">
        <v>28</v>
      </c>
      <c r="D34" t="s">
        <v>16</v>
      </c>
      <c r="E34" t="str">
        <f>IF(OR(Table1[[#This Row],[Energy Type]]="Solar",Table1[[#This Row],[Energy Type]]="Wind"),"Renewable","Non-Renewable")</f>
        <v>Non-Renewable</v>
      </c>
      <c r="F34">
        <v>171340</v>
      </c>
      <c r="G34">
        <v>97676</v>
      </c>
      <c r="H34">
        <v>258153</v>
      </c>
      <c r="I34">
        <v>6266</v>
      </c>
      <c r="J34" s="8">
        <f>Table1[[#This Row],[Revenue (Crore ₹)]]/Table1[[#This Row],[Employees]]</f>
        <v>41.199010533035427</v>
      </c>
      <c r="K34">
        <v>13.19</v>
      </c>
      <c r="L34">
        <v>11.04</v>
      </c>
      <c r="M34">
        <v>37809</v>
      </c>
      <c r="N34">
        <v>220344</v>
      </c>
      <c r="O34">
        <v>270779</v>
      </c>
      <c r="P34">
        <v>70.150000000000006</v>
      </c>
    </row>
    <row r="35" spans="1:16" x14ac:dyDescent="0.3">
      <c r="A35">
        <v>2022</v>
      </c>
      <c r="B35" t="s">
        <v>23</v>
      </c>
      <c r="C35" t="s">
        <v>26</v>
      </c>
      <c r="D35" t="s">
        <v>20</v>
      </c>
      <c r="E35" t="str">
        <f>IF(OR(Table1[[#This Row],[Energy Type]]="Solar",Table1[[#This Row],[Energy Type]]="Wind"),"Renewable","Non-Renewable")</f>
        <v>Non-Renewable</v>
      </c>
      <c r="F35">
        <v>95669</v>
      </c>
      <c r="G35">
        <v>70350</v>
      </c>
      <c r="H35">
        <v>99877</v>
      </c>
      <c r="I35">
        <v>3580</v>
      </c>
      <c r="J35" s="8">
        <f>Table1[[#This Row],[Revenue (Crore ₹)]]/Table1[[#This Row],[Employees]]</f>
        <v>27.898603351955309</v>
      </c>
      <c r="K35">
        <v>13.42</v>
      </c>
      <c r="L35">
        <v>10.34</v>
      </c>
      <c r="M35">
        <v>9989</v>
      </c>
      <c r="N35">
        <v>89888</v>
      </c>
      <c r="O35">
        <v>167431</v>
      </c>
      <c r="P35">
        <v>40.94</v>
      </c>
    </row>
    <row r="36" spans="1:16" x14ac:dyDescent="0.3">
      <c r="A36">
        <v>2022</v>
      </c>
      <c r="B36" t="s">
        <v>23</v>
      </c>
      <c r="C36" t="s">
        <v>33</v>
      </c>
      <c r="D36" t="s">
        <v>20</v>
      </c>
      <c r="E36" t="str">
        <f>IF(OR(Table1[[#This Row],[Energy Type]]="Solar",Table1[[#This Row],[Energy Type]]="Wind"),"Renewable","Non-Renewable")</f>
        <v>Non-Renewable</v>
      </c>
      <c r="F36">
        <v>143755</v>
      </c>
      <c r="G36">
        <v>90459</v>
      </c>
      <c r="H36">
        <v>237617</v>
      </c>
      <c r="I36">
        <v>7829</v>
      </c>
      <c r="J36" s="8">
        <f>Table1[[#This Row],[Revenue (Crore ₹)]]/Table1[[#This Row],[Employees]]</f>
        <v>30.350874952101162</v>
      </c>
      <c r="K36">
        <v>8.7799999999999994</v>
      </c>
      <c r="L36">
        <v>3.42</v>
      </c>
      <c r="M36">
        <v>24563</v>
      </c>
      <c r="N36">
        <v>213054</v>
      </c>
      <c r="O36">
        <v>206327</v>
      </c>
      <c r="P36">
        <v>75.17</v>
      </c>
    </row>
    <row r="37" spans="1:16" x14ac:dyDescent="0.3">
      <c r="A37">
        <v>2024</v>
      </c>
      <c r="B37" t="s">
        <v>27</v>
      </c>
      <c r="C37" t="s">
        <v>24</v>
      </c>
      <c r="D37" t="s">
        <v>32</v>
      </c>
      <c r="E37" t="str">
        <f>IF(OR(Table1[[#This Row],[Energy Type]]="Solar",Table1[[#This Row],[Energy Type]]="Wind"),"Renewable","Non-Renewable")</f>
        <v>Renewable</v>
      </c>
      <c r="F37">
        <v>28090</v>
      </c>
      <c r="G37">
        <v>12175</v>
      </c>
      <c r="H37">
        <v>221917</v>
      </c>
      <c r="I37">
        <v>9998</v>
      </c>
      <c r="J37" s="8">
        <f>Table1[[#This Row],[Revenue (Crore ₹)]]/Table1[[#This Row],[Employees]]</f>
        <v>22.19613922784557</v>
      </c>
      <c r="K37">
        <v>6.44</v>
      </c>
      <c r="L37">
        <v>4.99</v>
      </c>
      <c r="M37">
        <v>39431</v>
      </c>
      <c r="N37">
        <v>182486</v>
      </c>
      <c r="O37">
        <v>180729</v>
      </c>
      <c r="P37">
        <v>64.33</v>
      </c>
    </row>
    <row r="38" spans="1:16" x14ac:dyDescent="0.3">
      <c r="A38">
        <v>2025</v>
      </c>
      <c r="B38" t="s">
        <v>31</v>
      </c>
      <c r="C38" t="s">
        <v>21</v>
      </c>
      <c r="D38" t="s">
        <v>32</v>
      </c>
      <c r="E38" t="str">
        <f>IF(OR(Table1[[#This Row],[Energy Type]]="Solar",Table1[[#This Row],[Energy Type]]="Wind"),"Renewable","Non-Renewable")</f>
        <v>Renewable</v>
      </c>
      <c r="F38">
        <v>170992</v>
      </c>
      <c r="G38">
        <v>77445</v>
      </c>
      <c r="H38">
        <v>122589</v>
      </c>
      <c r="I38">
        <v>9711</v>
      </c>
      <c r="J38" s="8">
        <f>Table1[[#This Row],[Revenue (Crore ₹)]]/Table1[[#This Row],[Employees]]</f>
        <v>12.623725671918443</v>
      </c>
      <c r="K38">
        <v>22.67</v>
      </c>
      <c r="L38">
        <v>5.27</v>
      </c>
      <c r="M38">
        <v>17034</v>
      </c>
      <c r="N38">
        <v>105555</v>
      </c>
      <c r="O38">
        <v>30782</v>
      </c>
      <c r="P38">
        <v>75.83</v>
      </c>
    </row>
    <row r="39" spans="1:16" x14ac:dyDescent="0.3">
      <c r="A39">
        <v>2021</v>
      </c>
      <c r="B39" t="s">
        <v>30</v>
      </c>
      <c r="C39" t="s">
        <v>34</v>
      </c>
      <c r="D39" t="s">
        <v>22</v>
      </c>
      <c r="E39" t="str">
        <f>IF(OR(Table1[[#This Row],[Energy Type]]="Solar",Table1[[#This Row],[Energy Type]]="Wind"),"Renewable","Non-Renewable")</f>
        <v>Non-Renewable</v>
      </c>
      <c r="F39">
        <v>37489</v>
      </c>
      <c r="G39">
        <v>28427</v>
      </c>
      <c r="H39">
        <v>125436</v>
      </c>
      <c r="I39">
        <v>6491</v>
      </c>
      <c r="J39" s="8">
        <f>Table1[[#This Row],[Revenue (Crore ₹)]]/Table1[[#This Row],[Employees]]</f>
        <v>19.324603296872592</v>
      </c>
      <c r="K39">
        <v>4.01</v>
      </c>
      <c r="L39">
        <v>9.4700000000000006</v>
      </c>
      <c r="M39">
        <v>42679</v>
      </c>
      <c r="N39">
        <v>82757</v>
      </c>
      <c r="O39">
        <v>202597</v>
      </c>
      <c r="P39">
        <v>70.48</v>
      </c>
    </row>
    <row r="40" spans="1:16" x14ac:dyDescent="0.3">
      <c r="A40">
        <v>2021</v>
      </c>
      <c r="B40" t="s">
        <v>23</v>
      </c>
      <c r="C40" t="s">
        <v>26</v>
      </c>
      <c r="D40" t="s">
        <v>25</v>
      </c>
      <c r="E40" t="str">
        <f>IF(OR(Table1[[#This Row],[Energy Type]]="Solar",Table1[[#This Row],[Energy Type]]="Wind"),"Renewable","Non-Renewable")</f>
        <v>Renewable</v>
      </c>
      <c r="F40">
        <v>87594</v>
      </c>
      <c r="G40">
        <v>35716</v>
      </c>
      <c r="H40">
        <v>88118</v>
      </c>
      <c r="I40">
        <v>3541</v>
      </c>
      <c r="J40" s="8">
        <f>Table1[[#This Row],[Revenue (Crore ₹)]]/Table1[[#This Row],[Employees]]</f>
        <v>24.885060717311493</v>
      </c>
      <c r="K40">
        <v>4.6100000000000003</v>
      </c>
      <c r="L40">
        <v>8.5</v>
      </c>
      <c r="M40">
        <v>11223</v>
      </c>
      <c r="N40">
        <v>76895</v>
      </c>
      <c r="O40">
        <v>228817</v>
      </c>
      <c r="P40">
        <v>50.24</v>
      </c>
    </row>
    <row r="41" spans="1:16" x14ac:dyDescent="0.3">
      <c r="A41">
        <v>2023</v>
      </c>
      <c r="B41" t="s">
        <v>14</v>
      </c>
      <c r="C41" t="s">
        <v>28</v>
      </c>
      <c r="D41" t="s">
        <v>32</v>
      </c>
      <c r="E41" t="str">
        <f>IF(OR(Table1[[#This Row],[Energy Type]]="Solar",Table1[[#This Row],[Energy Type]]="Wind"),"Renewable","Non-Renewable")</f>
        <v>Renewable</v>
      </c>
      <c r="F41">
        <v>199490</v>
      </c>
      <c r="G41">
        <v>110501</v>
      </c>
      <c r="H41">
        <v>6720</v>
      </c>
      <c r="I41">
        <v>1772</v>
      </c>
      <c r="J41" s="8">
        <f>Table1[[#This Row],[Revenue (Crore ₹)]]/Table1[[#This Row],[Employees]]</f>
        <v>3.7923250564334086</v>
      </c>
      <c r="K41">
        <v>17.98</v>
      </c>
      <c r="L41">
        <v>13.66</v>
      </c>
      <c r="M41">
        <v>14752</v>
      </c>
      <c r="N41">
        <v>-8032</v>
      </c>
      <c r="O41">
        <v>169695</v>
      </c>
      <c r="P41">
        <v>16.3</v>
      </c>
    </row>
    <row r="42" spans="1:16" x14ac:dyDescent="0.3">
      <c r="A42">
        <v>2024</v>
      </c>
      <c r="B42" t="s">
        <v>31</v>
      </c>
      <c r="C42" t="s">
        <v>28</v>
      </c>
      <c r="D42" t="s">
        <v>25</v>
      </c>
      <c r="E42" t="str">
        <f>IF(OR(Table1[[#This Row],[Energy Type]]="Solar",Table1[[#This Row],[Energy Type]]="Wind"),"Renewable","Non-Renewable")</f>
        <v>Renewable</v>
      </c>
      <c r="F42">
        <v>33117</v>
      </c>
      <c r="G42">
        <v>8618</v>
      </c>
      <c r="H42">
        <v>23725</v>
      </c>
      <c r="I42">
        <v>6025</v>
      </c>
      <c r="J42" s="8">
        <f>Table1[[#This Row],[Revenue (Crore ₹)]]/Table1[[#This Row],[Employees]]</f>
        <v>3.9377593360995853</v>
      </c>
      <c r="K42">
        <v>23.12</v>
      </c>
      <c r="L42">
        <v>10.210000000000001</v>
      </c>
      <c r="M42">
        <v>20347</v>
      </c>
      <c r="N42">
        <v>3378</v>
      </c>
      <c r="O42">
        <v>187236</v>
      </c>
      <c r="P42">
        <v>13.31</v>
      </c>
    </row>
    <row r="43" spans="1:16" x14ac:dyDescent="0.3">
      <c r="A43">
        <v>2020</v>
      </c>
      <c r="B43" t="s">
        <v>23</v>
      </c>
      <c r="C43" t="s">
        <v>28</v>
      </c>
      <c r="D43" t="s">
        <v>25</v>
      </c>
      <c r="E43" t="str">
        <f>IF(OR(Table1[[#This Row],[Energy Type]]="Solar",Table1[[#This Row],[Energy Type]]="Wind"),"Renewable","Non-Renewable")</f>
        <v>Renewable</v>
      </c>
      <c r="F43">
        <v>131816</v>
      </c>
      <c r="G43">
        <v>44137</v>
      </c>
      <c r="H43">
        <v>135346</v>
      </c>
      <c r="I43">
        <v>2813</v>
      </c>
      <c r="J43" s="8">
        <f>Table1[[#This Row],[Revenue (Crore ₹)]]/Table1[[#This Row],[Employees]]</f>
        <v>48.11446853892641</v>
      </c>
      <c r="K43">
        <v>16.829999999999998</v>
      </c>
      <c r="L43">
        <v>5.29</v>
      </c>
      <c r="M43">
        <v>21496</v>
      </c>
      <c r="N43">
        <v>113850</v>
      </c>
      <c r="O43">
        <v>36950</v>
      </c>
      <c r="P43">
        <v>10.79</v>
      </c>
    </row>
    <row r="44" spans="1:16" x14ac:dyDescent="0.3">
      <c r="A44">
        <v>2022</v>
      </c>
      <c r="B44" t="s">
        <v>17</v>
      </c>
      <c r="C44" t="s">
        <v>24</v>
      </c>
      <c r="D44" t="s">
        <v>20</v>
      </c>
      <c r="E44" t="str">
        <f>IF(OR(Table1[[#This Row],[Energy Type]]="Solar",Table1[[#This Row],[Energy Type]]="Wind"),"Renewable","Non-Renewable")</f>
        <v>Non-Renewable</v>
      </c>
      <c r="F44">
        <v>56527</v>
      </c>
      <c r="G44">
        <v>37087</v>
      </c>
      <c r="H44">
        <v>11441</v>
      </c>
      <c r="I44">
        <v>5509</v>
      </c>
      <c r="J44" s="8">
        <f>Table1[[#This Row],[Revenue (Crore ₹)]]/Table1[[#This Row],[Employees]]</f>
        <v>2.0767834452713743</v>
      </c>
      <c r="K44">
        <v>10.93</v>
      </c>
      <c r="L44">
        <v>11.11</v>
      </c>
      <c r="M44">
        <v>38420</v>
      </c>
      <c r="N44">
        <v>-26979</v>
      </c>
      <c r="O44">
        <v>11778</v>
      </c>
      <c r="P44">
        <v>63.25</v>
      </c>
    </row>
    <row r="45" spans="1:16" x14ac:dyDescent="0.3">
      <c r="A45">
        <v>2024</v>
      </c>
      <c r="B45" t="s">
        <v>19</v>
      </c>
      <c r="C45" t="s">
        <v>26</v>
      </c>
      <c r="D45" t="s">
        <v>25</v>
      </c>
      <c r="E45" t="str">
        <f>IF(OR(Table1[[#This Row],[Energy Type]]="Solar",Table1[[#This Row],[Energy Type]]="Wind"),"Renewable","Non-Renewable")</f>
        <v>Renewable</v>
      </c>
      <c r="F45">
        <v>47677</v>
      </c>
      <c r="G45">
        <v>29780</v>
      </c>
      <c r="H45">
        <v>60586</v>
      </c>
      <c r="I45">
        <v>904</v>
      </c>
      <c r="J45" s="8">
        <f>Table1[[#This Row],[Revenue (Crore ₹)]]/Table1[[#This Row],[Employees]]</f>
        <v>67.019911504424783</v>
      </c>
      <c r="K45">
        <v>20.92</v>
      </c>
      <c r="L45">
        <v>7.55</v>
      </c>
      <c r="M45">
        <v>45626</v>
      </c>
      <c r="N45">
        <v>14960</v>
      </c>
      <c r="O45">
        <v>39016</v>
      </c>
      <c r="P45">
        <v>54.56</v>
      </c>
    </row>
    <row r="46" spans="1:16" x14ac:dyDescent="0.3">
      <c r="A46">
        <v>2022</v>
      </c>
      <c r="B46" t="s">
        <v>31</v>
      </c>
      <c r="C46" t="s">
        <v>15</v>
      </c>
      <c r="D46" t="s">
        <v>32</v>
      </c>
      <c r="E46" t="str">
        <f>IF(OR(Table1[[#This Row],[Energy Type]]="Solar",Table1[[#This Row],[Energy Type]]="Wind"),"Renewable","Non-Renewable")</f>
        <v>Renewable</v>
      </c>
      <c r="F46">
        <v>95824</v>
      </c>
      <c r="G46">
        <v>80767</v>
      </c>
      <c r="H46">
        <v>248600</v>
      </c>
      <c r="I46">
        <v>7618</v>
      </c>
      <c r="J46" s="8">
        <f>Table1[[#This Row],[Revenue (Crore ₹)]]/Table1[[#This Row],[Employees]]</f>
        <v>32.633237070097138</v>
      </c>
      <c r="K46">
        <v>3.57</v>
      </c>
      <c r="L46">
        <v>3.66</v>
      </c>
      <c r="M46">
        <v>32263</v>
      </c>
      <c r="N46">
        <v>216337</v>
      </c>
      <c r="O46">
        <v>78661</v>
      </c>
      <c r="P46">
        <v>46.36</v>
      </c>
    </row>
    <row r="47" spans="1:16" x14ac:dyDescent="0.3">
      <c r="A47">
        <v>2023</v>
      </c>
      <c r="B47" t="s">
        <v>27</v>
      </c>
      <c r="C47" t="s">
        <v>26</v>
      </c>
      <c r="D47" t="s">
        <v>25</v>
      </c>
      <c r="E47" t="str">
        <f>IF(OR(Table1[[#This Row],[Energy Type]]="Solar",Table1[[#This Row],[Energy Type]]="Wind"),"Renewable","Non-Renewable")</f>
        <v>Renewable</v>
      </c>
      <c r="F47">
        <v>128947</v>
      </c>
      <c r="G47">
        <v>16071</v>
      </c>
      <c r="H47">
        <v>7529</v>
      </c>
      <c r="I47">
        <v>5365</v>
      </c>
      <c r="J47" s="8">
        <f>Table1[[#This Row],[Revenue (Crore ₹)]]/Table1[[#This Row],[Employees]]</f>
        <v>1.4033550792171481</v>
      </c>
      <c r="K47">
        <v>15.81</v>
      </c>
      <c r="L47">
        <v>14.67</v>
      </c>
      <c r="M47">
        <v>1781</v>
      </c>
      <c r="N47">
        <v>5748</v>
      </c>
      <c r="O47">
        <v>71082</v>
      </c>
      <c r="P47">
        <v>63.06</v>
      </c>
    </row>
    <row r="48" spans="1:16" x14ac:dyDescent="0.3">
      <c r="A48">
        <v>2025</v>
      </c>
      <c r="B48" t="s">
        <v>29</v>
      </c>
      <c r="C48" t="s">
        <v>34</v>
      </c>
      <c r="D48" t="s">
        <v>25</v>
      </c>
      <c r="E48" t="str">
        <f>IF(OR(Table1[[#This Row],[Energy Type]]="Solar",Table1[[#This Row],[Energy Type]]="Wind"),"Renewable","Non-Renewable")</f>
        <v>Renewable</v>
      </c>
      <c r="F48">
        <v>34921</v>
      </c>
      <c r="G48">
        <v>29089</v>
      </c>
      <c r="H48">
        <v>88647</v>
      </c>
      <c r="I48">
        <v>6655</v>
      </c>
      <c r="J48" s="8">
        <f>Table1[[#This Row],[Revenue (Crore ₹)]]/Table1[[#This Row],[Employees]]</f>
        <v>13.320360631104434</v>
      </c>
      <c r="K48">
        <v>11.48</v>
      </c>
      <c r="L48">
        <v>2.2599999999999998</v>
      </c>
      <c r="M48">
        <v>49244</v>
      </c>
      <c r="N48">
        <v>39403</v>
      </c>
      <c r="O48">
        <v>46688</v>
      </c>
      <c r="P48">
        <v>73.569999999999993</v>
      </c>
    </row>
    <row r="49" spans="1:16" x14ac:dyDescent="0.3">
      <c r="A49">
        <v>2023</v>
      </c>
      <c r="B49" t="s">
        <v>31</v>
      </c>
      <c r="C49" t="s">
        <v>24</v>
      </c>
      <c r="D49" t="s">
        <v>20</v>
      </c>
      <c r="E49" t="str">
        <f>IF(OR(Table1[[#This Row],[Energy Type]]="Solar",Table1[[#This Row],[Energy Type]]="Wind"),"Renewable","Non-Renewable")</f>
        <v>Non-Renewable</v>
      </c>
      <c r="F49">
        <v>140975</v>
      </c>
      <c r="G49">
        <v>1684</v>
      </c>
      <c r="H49">
        <v>246683</v>
      </c>
      <c r="I49">
        <v>4584</v>
      </c>
      <c r="J49" s="8">
        <f>Table1[[#This Row],[Revenue (Crore ₹)]]/Table1[[#This Row],[Employees]]</f>
        <v>53.813917975567193</v>
      </c>
      <c r="K49">
        <v>23.96</v>
      </c>
      <c r="L49">
        <v>1.64</v>
      </c>
      <c r="M49">
        <v>39647</v>
      </c>
      <c r="N49">
        <v>207036</v>
      </c>
      <c r="O49">
        <v>101966</v>
      </c>
      <c r="P49">
        <v>13.62</v>
      </c>
    </row>
    <row r="50" spans="1:16" x14ac:dyDescent="0.3">
      <c r="A50">
        <v>2023</v>
      </c>
      <c r="B50" t="s">
        <v>31</v>
      </c>
      <c r="C50" t="s">
        <v>15</v>
      </c>
      <c r="D50" t="s">
        <v>20</v>
      </c>
      <c r="E50" t="str">
        <f>IF(OR(Table1[[#This Row],[Energy Type]]="Solar",Table1[[#This Row],[Energy Type]]="Wind"),"Renewable","Non-Renewable")</f>
        <v>Non-Renewable</v>
      </c>
      <c r="F50">
        <v>53427</v>
      </c>
      <c r="G50">
        <v>36320</v>
      </c>
      <c r="H50">
        <v>177230</v>
      </c>
      <c r="I50">
        <v>9596</v>
      </c>
      <c r="J50" s="8">
        <f>Table1[[#This Row],[Revenue (Crore ₹)]]/Table1[[#This Row],[Employees]]</f>
        <v>18.469153814089204</v>
      </c>
      <c r="K50">
        <v>17.93</v>
      </c>
      <c r="L50">
        <v>1.1499999999999999</v>
      </c>
      <c r="M50">
        <v>2276</v>
      </c>
      <c r="N50">
        <v>174954</v>
      </c>
      <c r="O50">
        <v>115651</v>
      </c>
      <c r="P50">
        <v>41.49</v>
      </c>
    </row>
    <row r="51" spans="1:16" x14ac:dyDescent="0.3">
      <c r="A51">
        <v>2020</v>
      </c>
      <c r="B51" t="s">
        <v>27</v>
      </c>
      <c r="C51" t="s">
        <v>21</v>
      </c>
      <c r="D51" t="s">
        <v>20</v>
      </c>
      <c r="E51" t="str">
        <f>IF(OR(Table1[[#This Row],[Energy Type]]="Solar",Table1[[#This Row],[Energy Type]]="Wind"),"Renewable","Non-Renewable")</f>
        <v>Non-Renewable</v>
      </c>
      <c r="F51">
        <v>50978</v>
      </c>
      <c r="G51">
        <v>20003</v>
      </c>
      <c r="H51">
        <v>16013</v>
      </c>
      <c r="I51">
        <v>4081</v>
      </c>
      <c r="J51" s="8">
        <f>Table1[[#This Row],[Revenue (Crore ₹)]]/Table1[[#This Row],[Employees]]</f>
        <v>3.9237931879441312</v>
      </c>
      <c r="K51">
        <v>23.11</v>
      </c>
      <c r="L51">
        <v>1.99</v>
      </c>
      <c r="M51">
        <v>1362</v>
      </c>
      <c r="N51">
        <v>14651</v>
      </c>
      <c r="O51">
        <v>87165</v>
      </c>
      <c r="P51">
        <v>69.27</v>
      </c>
    </row>
    <row r="52" spans="1:16" x14ac:dyDescent="0.3">
      <c r="A52">
        <v>2025</v>
      </c>
      <c r="B52" t="s">
        <v>19</v>
      </c>
      <c r="C52" t="s">
        <v>18</v>
      </c>
      <c r="D52" t="s">
        <v>20</v>
      </c>
      <c r="E52" t="str">
        <f>IF(OR(Table1[[#This Row],[Energy Type]]="Solar",Table1[[#This Row],[Energy Type]]="Wind"),"Renewable","Non-Renewable")</f>
        <v>Non-Renewable</v>
      </c>
      <c r="F52">
        <v>155231</v>
      </c>
      <c r="G52">
        <v>63872</v>
      </c>
      <c r="H52">
        <v>24363</v>
      </c>
      <c r="I52">
        <v>9795</v>
      </c>
      <c r="J52" s="8">
        <f>Table1[[#This Row],[Revenue (Crore ₹)]]/Table1[[#This Row],[Employees]]</f>
        <v>2.4872894333843796</v>
      </c>
      <c r="K52">
        <v>9.18</v>
      </c>
      <c r="L52">
        <v>2.4300000000000002</v>
      </c>
      <c r="M52">
        <v>45760</v>
      </c>
      <c r="N52">
        <v>-21397</v>
      </c>
      <c r="O52">
        <v>190907</v>
      </c>
      <c r="P52">
        <v>78.47</v>
      </c>
    </row>
    <row r="53" spans="1:16" x14ac:dyDescent="0.3">
      <c r="A53">
        <v>2021</v>
      </c>
      <c r="B53" t="s">
        <v>17</v>
      </c>
      <c r="C53" t="s">
        <v>28</v>
      </c>
      <c r="D53" t="s">
        <v>25</v>
      </c>
      <c r="E53" t="str">
        <f>IF(OR(Table1[[#This Row],[Energy Type]]="Solar",Table1[[#This Row],[Energy Type]]="Wind"),"Renewable","Non-Renewable")</f>
        <v>Renewable</v>
      </c>
      <c r="F53">
        <v>154414</v>
      </c>
      <c r="G53">
        <v>149775</v>
      </c>
      <c r="H53">
        <v>84298</v>
      </c>
      <c r="I53">
        <v>5533</v>
      </c>
      <c r="J53" s="8">
        <f>Table1[[#This Row],[Revenue (Crore ₹)]]/Table1[[#This Row],[Employees]]</f>
        <v>15.235496114223748</v>
      </c>
      <c r="K53">
        <v>10.44</v>
      </c>
      <c r="L53">
        <v>11.2</v>
      </c>
      <c r="M53">
        <v>5820</v>
      </c>
      <c r="N53">
        <v>78478</v>
      </c>
      <c r="O53">
        <v>257354</v>
      </c>
      <c r="P53">
        <v>7.45</v>
      </c>
    </row>
    <row r="54" spans="1:16" x14ac:dyDescent="0.3">
      <c r="A54">
        <v>2023</v>
      </c>
      <c r="B54" t="s">
        <v>14</v>
      </c>
      <c r="C54" t="s">
        <v>24</v>
      </c>
      <c r="D54" t="s">
        <v>32</v>
      </c>
      <c r="E54" t="str">
        <f>IF(OR(Table1[[#This Row],[Energy Type]]="Solar",Table1[[#This Row],[Energy Type]]="Wind"),"Renewable","Non-Renewable")</f>
        <v>Renewable</v>
      </c>
      <c r="F54">
        <v>72018</v>
      </c>
      <c r="G54">
        <v>20604</v>
      </c>
      <c r="H54">
        <v>268561</v>
      </c>
      <c r="I54">
        <v>6566</v>
      </c>
      <c r="J54" s="8">
        <f>Table1[[#This Row],[Revenue (Crore ₹)]]/Table1[[#This Row],[Employees]]</f>
        <v>40.901766676819982</v>
      </c>
      <c r="K54">
        <v>17.02</v>
      </c>
      <c r="L54">
        <v>7.48</v>
      </c>
      <c r="M54">
        <v>33753</v>
      </c>
      <c r="N54">
        <v>234808</v>
      </c>
      <c r="O54">
        <v>251459</v>
      </c>
      <c r="P54">
        <v>26.85</v>
      </c>
    </row>
    <row r="55" spans="1:16" x14ac:dyDescent="0.3">
      <c r="A55">
        <v>2021</v>
      </c>
      <c r="B55" t="s">
        <v>23</v>
      </c>
      <c r="C55" t="s">
        <v>18</v>
      </c>
      <c r="D55" t="s">
        <v>20</v>
      </c>
      <c r="E55" t="str">
        <f>IF(OR(Table1[[#This Row],[Energy Type]]="Solar",Table1[[#This Row],[Energy Type]]="Wind"),"Renewable","Non-Renewable")</f>
        <v>Non-Renewable</v>
      </c>
      <c r="F55">
        <v>156740</v>
      </c>
      <c r="G55">
        <v>112308</v>
      </c>
      <c r="H55">
        <v>121492</v>
      </c>
      <c r="I55">
        <v>9869</v>
      </c>
      <c r="J55" s="8">
        <f>Table1[[#This Row],[Revenue (Crore ₹)]]/Table1[[#This Row],[Employees]]</f>
        <v>12.310467119262336</v>
      </c>
      <c r="K55">
        <v>5.63</v>
      </c>
      <c r="L55">
        <v>11.89</v>
      </c>
      <c r="M55">
        <v>4959</v>
      </c>
      <c r="N55">
        <v>116533</v>
      </c>
      <c r="O55">
        <v>292969</v>
      </c>
      <c r="P55">
        <v>25.25</v>
      </c>
    </row>
    <row r="56" spans="1:16" x14ac:dyDescent="0.3">
      <c r="A56">
        <v>2023</v>
      </c>
      <c r="B56" t="s">
        <v>14</v>
      </c>
      <c r="C56" t="s">
        <v>34</v>
      </c>
      <c r="D56" t="s">
        <v>32</v>
      </c>
      <c r="E56" t="str">
        <f>IF(OR(Table1[[#This Row],[Energy Type]]="Solar",Table1[[#This Row],[Energy Type]]="Wind"),"Renewable","Non-Renewable")</f>
        <v>Renewable</v>
      </c>
      <c r="F56">
        <v>122432</v>
      </c>
      <c r="G56">
        <v>3526</v>
      </c>
      <c r="H56">
        <v>282777</v>
      </c>
      <c r="I56">
        <v>5170</v>
      </c>
      <c r="J56" s="8">
        <f>Table1[[#This Row],[Revenue (Crore ₹)]]/Table1[[#This Row],[Employees]]</f>
        <v>54.695744680851064</v>
      </c>
      <c r="K56">
        <v>14.02</v>
      </c>
      <c r="L56">
        <v>12.08</v>
      </c>
      <c r="M56">
        <v>8278</v>
      </c>
      <c r="N56">
        <v>274499</v>
      </c>
      <c r="O56">
        <v>157754</v>
      </c>
      <c r="P56">
        <v>36.950000000000003</v>
      </c>
    </row>
    <row r="57" spans="1:16" x14ac:dyDescent="0.3">
      <c r="A57">
        <v>2021</v>
      </c>
      <c r="B57" t="s">
        <v>17</v>
      </c>
      <c r="C57" t="s">
        <v>33</v>
      </c>
      <c r="D57" t="s">
        <v>25</v>
      </c>
      <c r="E57" t="str">
        <f>IF(OR(Table1[[#This Row],[Energy Type]]="Solar",Table1[[#This Row],[Energy Type]]="Wind"),"Renewable","Non-Renewable")</f>
        <v>Renewable</v>
      </c>
      <c r="F57">
        <v>52732</v>
      </c>
      <c r="G57">
        <v>25724</v>
      </c>
      <c r="H57">
        <v>4013</v>
      </c>
      <c r="I57">
        <v>8146</v>
      </c>
      <c r="J57" s="8">
        <f>Table1[[#This Row],[Revenue (Crore ₹)]]/Table1[[#This Row],[Employees]]</f>
        <v>0.49263442180211148</v>
      </c>
      <c r="K57">
        <v>20.21</v>
      </c>
      <c r="L57">
        <v>4.4800000000000004</v>
      </c>
      <c r="M57">
        <v>32085</v>
      </c>
      <c r="N57">
        <v>-28072</v>
      </c>
      <c r="O57">
        <v>119770</v>
      </c>
      <c r="P57">
        <v>14.17</v>
      </c>
    </row>
    <row r="58" spans="1:16" x14ac:dyDescent="0.3">
      <c r="A58">
        <v>2022</v>
      </c>
      <c r="B58" t="s">
        <v>17</v>
      </c>
      <c r="C58" t="s">
        <v>28</v>
      </c>
      <c r="D58" t="s">
        <v>16</v>
      </c>
      <c r="E58" t="str">
        <f>IF(OR(Table1[[#This Row],[Energy Type]]="Solar",Table1[[#This Row],[Energy Type]]="Wind"),"Renewable","Non-Renewable")</f>
        <v>Non-Renewable</v>
      </c>
      <c r="F58">
        <v>64871</v>
      </c>
      <c r="G58">
        <v>29423</v>
      </c>
      <c r="H58">
        <v>201289</v>
      </c>
      <c r="I58">
        <v>1756</v>
      </c>
      <c r="J58" s="8">
        <f>Table1[[#This Row],[Revenue (Crore ₹)]]/Table1[[#This Row],[Employees]]</f>
        <v>114.62927107061503</v>
      </c>
      <c r="K58">
        <v>21.29</v>
      </c>
      <c r="L58">
        <v>4.8099999999999996</v>
      </c>
      <c r="M58">
        <v>30781</v>
      </c>
      <c r="N58">
        <v>170508</v>
      </c>
      <c r="O58">
        <v>251521</v>
      </c>
      <c r="P58">
        <v>74.849999999999994</v>
      </c>
    </row>
    <row r="59" spans="1:16" x14ac:dyDescent="0.3">
      <c r="A59">
        <v>2020</v>
      </c>
      <c r="B59" t="s">
        <v>17</v>
      </c>
      <c r="C59" t="s">
        <v>18</v>
      </c>
      <c r="D59" t="s">
        <v>32</v>
      </c>
      <c r="E59" t="str">
        <f>IF(OR(Table1[[#This Row],[Energy Type]]="Solar",Table1[[#This Row],[Energy Type]]="Wind"),"Renewable","Non-Renewable")</f>
        <v>Renewable</v>
      </c>
      <c r="F59">
        <v>60482</v>
      </c>
      <c r="G59">
        <v>13119</v>
      </c>
      <c r="H59">
        <v>219701</v>
      </c>
      <c r="I59">
        <v>767</v>
      </c>
      <c r="J59" s="8">
        <f>Table1[[#This Row],[Revenue (Crore ₹)]]/Table1[[#This Row],[Employees]]</f>
        <v>286.44198174706651</v>
      </c>
      <c r="K59">
        <v>2.09</v>
      </c>
      <c r="L59">
        <v>14.23</v>
      </c>
      <c r="M59">
        <v>28046</v>
      </c>
      <c r="N59">
        <v>191655</v>
      </c>
      <c r="O59">
        <v>62796</v>
      </c>
      <c r="P59">
        <v>70.290000000000006</v>
      </c>
    </row>
    <row r="60" spans="1:16" x14ac:dyDescent="0.3">
      <c r="A60">
        <v>2021</v>
      </c>
      <c r="B60" t="s">
        <v>19</v>
      </c>
      <c r="C60" t="s">
        <v>21</v>
      </c>
      <c r="D60" t="s">
        <v>22</v>
      </c>
      <c r="E60" t="str">
        <f>IF(OR(Table1[[#This Row],[Energy Type]]="Solar",Table1[[#This Row],[Energy Type]]="Wind"),"Renewable","Non-Renewable")</f>
        <v>Non-Renewable</v>
      </c>
      <c r="F60">
        <v>126313</v>
      </c>
      <c r="G60">
        <v>11748</v>
      </c>
      <c r="H60">
        <v>137362</v>
      </c>
      <c r="I60">
        <v>6622</v>
      </c>
      <c r="J60" s="8">
        <f>Table1[[#This Row],[Revenue (Crore ₹)]]/Table1[[#This Row],[Employees]]</f>
        <v>20.743279975838114</v>
      </c>
      <c r="K60">
        <v>21.68</v>
      </c>
      <c r="L60">
        <v>14.01</v>
      </c>
      <c r="M60">
        <v>35380</v>
      </c>
      <c r="N60">
        <v>101982</v>
      </c>
      <c r="O60">
        <v>21125</v>
      </c>
      <c r="P60">
        <v>48.54</v>
      </c>
    </row>
    <row r="61" spans="1:16" x14ac:dyDescent="0.3">
      <c r="A61">
        <v>2023</v>
      </c>
      <c r="B61" t="s">
        <v>29</v>
      </c>
      <c r="C61" t="s">
        <v>21</v>
      </c>
      <c r="D61" t="s">
        <v>25</v>
      </c>
      <c r="E61" t="str">
        <f>IF(OR(Table1[[#This Row],[Energy Type]]="Solar",Table1[[#This Row],[Energy Type]]="Wind"),"Renewable","Non-Renewable")</f>
        <v>Renewable</v>
      </c>
      <c r="F61">
        <v>121859</v>
      </c>
      <c r="G61">
        <v>49142</v>
      </c>
      <c r="H61">
        <v>173107</v>
      </c>
      <c r="I61">
        <v>2897</v>
      </c>
      <c r="J61" s="8">
        <f>Table1[[#This Row],[Revenue (Crore ₹)]]/Table1[[#This Row],[Employees]]</f>
        <v>59.753883327580255</v>
      </c>
      <c r="K61">
        <v>4.41</v>
      </c>
      <c r="L61">
        <v>4.25</v>
      </c>
      <c r="M61">
        <v>8170</v>
      </c>
      <c r="N61">
        <v>164937</v>
      </c>
      <c r="O61">
        <v>213439</v>
      </c>
      <c r="P61">
        <v>63.54</v>
      </c>
    </row>
    <row r="62" spans="1:16" x14ac:dyDescent="0.3">
      <c r="A62">
        <v>2021</v>
      </c>
      <c r="B62" t="s">
        <v>23</v>
      </c>
      <c r="C62" t="s">
        <v>21</v>
      </c>
      <c r="D62" t="s">
        <v>20</v>
      </c>
      <c r="E62" t="str">
        <f>IF(OR(Table1[[#This Row],[Energy Type]]="Solar",Table1[[#This Row],[Energy Type]]="Wind"),"Renewable","Non-Renewable")</f>
        <v>Non-Renewable</v>
      </c>
      <c r="F62">
        <v>158335</v>
      </c>
      <c r="G62">
        <v>13835</v>
      </c>
      <c r="H62">
        <v>6552</v>
      </c>
      <c r="I62">
        <v>4985</v>
      </c>
      <c r="J62" s="8">
        <f>Table1[[#This Row],[Revenue (Crore ₹)]]/Table1[[#This Row],[Employees]]</f>
        <v>1.3143430290872617</v>
      </c>
      <c r="K62">
        <v>23.99</v>
      </c>
      <c r="L62">
        <v>2.61</v>
      </c>
      <c r="M62">
        <v>32743</v>
      </c>
      <c r="N62">
        <v>-26191</v>
      </c>
      <c r="O62">
        <v>240333</v>
      </c>
      <c r="P62">
        <v>8.33</v>
      </c>
    </row>
    <row r="63" spans="1:16" x14ac:dyDescent="0.3">
      <c r="A63">
        <v>2020</v>
      </c>
      <c r="B63" t="s">
        <v>31</v>
      </c>
      <c r="C63" t="s">
        <v>15</v>
      </c>
      <c r="D63" t="s">
        <v>16</v>
      </c>
      <c r="E63" t="str">
        <f>IF(OR(Table1[[#This Row],[Energy Type]]="Solar",Table1[[#This Row],[Energy Type]]="Wind"),"Renewable","Non-Renewable")</f>
        <v>Non-Renewable</v>
      </c>
      <c r="F63">
        <v>25643</v>
      </c>
      <c r="G63">
        <v>21106</v>
      </c>
      <c r="H63">
        <v>55645</v>
      </c>
      <c r="I63">
        <v>6291</v>
      </c>
      <c r="J63" s="8">
        <f>Table1[[#This Row],[Revenue (Crore ₹)]]/Table1[[#This Row],[Employees]]</f>
        <v>8.8451756477507555</v>
      </c>
      <c r="K63">
        <v>9.2799999999999994</v>
      </c>
      <c r="L63">
        <v>4.33</v>
      </c>
      <c r="M63">
        <v>8616</v>
      </c>
      <c r="N63">
        <v>47029</v>
      </c>
      <c r="O63">
        <v>170421</v>
      </c>
      <c r="P63">
        <v>29.44</v>
      </c>
    </row>
    <row r="64" spans="1:16" x14ac:dyDescent="0.3">
      <c r="A64">
        <v>2022</v>
      </c>
      <c r="B64" t="s">
        <v>29</v>
      </c>
      <c r="C64" t="s">
        <v>18</v>
      </c>
      <c r="D64" t="s">
        <v>25</v>
      </c>
      <c r="E64" t="str">
        <f>IF(OR(Table1[[#This Row],[Energy Type]]="Solar",Table1[[#This Row],[Energy Type]]="Wind"),"Renewable","Non-Renewable")</f>
        <v>Renewable</v>
      </c>
      <c r="F64">
        <v>28867</v>
      </c>
      <c r="G64">
        <v>21466</v>
      </c>
      <c r="H64">
        <v>4122</v>
      </c>
      <c r="I64">
        <v>2804</v>
      </c>
      <c r="J64" s="8">
        <f>Table1[[#This Row],[Revenue (Crore ₹)]]/Table1[[#This Row],[Employees]]</f>
        <v>1.4700427960057061</v>
      </c>
      <c r="K64">
        <v>14.45</v>
      </c>
      <c r="L64">
        <v>5.89</v>
      </c>
      <c r="M64">
        <v>7479</v>
      </c>
      <c r="N64">
        <v>-3357</v>
      </c>
      <c r="O64">
        <v>187096</v>
      </c>
      <c r="P64">
        <v>67.02</v>
      </c>
    </row>
    <row r="65" spans="1:16" x14ac:dyDescent="0.3">
      <c r="A65">
        <v>2023</v>
      </c>
      <c r="B65" t="s">
        <v>31</v>
      </c>
      <c r="C65" t="s">
        <v>21</v>
      </c>
      <c r="D65" t="s">
        <v>16</v>
      </c>
      <c r="E65" t="str">
        <f>IF(OR(Table1[[#This Row],[Energy Type]]="Solar",Table1[[#This Row],[Energy Type]]="Wind"),"Renewable","Non-Renewable")</f>
        <v>Non-Renewable</v>
      </c>
      <c r="F65">
        <v>187255</v>
      </c>
      <c r="G65">
        <v>33601</v>
      </c>
      <c r="H65">
        <v>206815</v>
      </c>
      <c r="I65">
        <v>8722</v>
      </c>
      <c r="J65" s="8">
        <f>Table1[[#This Row],[Revenue (Crore ₹)]]/Table1[[#This Row],[Employees]]</f>
        <v>23.711878009630819</v>
      </c>
      <c r="K65">
        <v>14.91</v>
      </c>
      <c r="L65">
        <v>12.01</v>
      </c>
      <c r="M65">
        <v>695</v>
      </c>
      <c r="N65">
        <v>206120</v>
      </c>
      <c r="O65">
        <v>221482</v>
      </c>
      <c r="P65">
        <v>48.16</v>
      </c>
    </row>
    <row r="66" spans="1:16" x14ac:dyDescent="0.3">
      <c r="A66">
        <v>2025</v>
      </c>
      <c r="B66" t="s">
        <v>30</v>
      </c>
      <c r="C66" t="s">
        <v>18</v>
      </c>
      <c r="D66" t="s">
        <v>22</v>
      </c>
      <c r="E66" t="str">
        <f>IF(OR(Table1[[#This Row],[Energy Type]]="Solar",Table1[[#This Row],[Energy Type]]="Wind"),"Renewable","Non-Renewable")</f>
        <v>Non-Renewable</v>
      </c>
      <c r="F66">
        <v>65203</v>
      </c>
      <c r="G66">
        <v>36938</v>
      </c>
      <c r="H66">
        <v>295723</v>
      </c>
      <c r="I66">
        <v>9980</v>
      </c>
      <c r="J66" s="8">
        <f>Table1[[#This Row],[Revenue (Crore ₹)]]/Table1[[#This Row],[Employees]]</f>
        <v>29.631563126252505</v>
      </c>
      <c r="K66">
        <v>10.41</v>
      </c>
      <c r="L66">
        <v>9.85</v>
      </c>
      <c r="M66">
        <v>43480</v>
      </c>
      <c r="N66">
        <v>252243</v>
      </c>
      <c r="O66">
        <v>103989</v>
      </c>
      <c r="P66">
        <v>59.55</v>
      </c>
    </row>
    <row r="67" spans="1:16" x14ac:dyDescent="0.3">
      <c r="A67">
        <v>2020</v>
      </c>
      <c r="B67" t="s">
        <v>27</v>
      </c>
      <c r="C67" t="s">
        <v>34</v>
      </c>
      <c r="D67" t="s">
        <v>20</v>
      </c>
      <c r="E67" t="str">
        <f>IF(OR(Table1[[#This Row],[Energy Type]]="Solar",Table1[[#This Row],[Energy Type]]="Wind"),"Renewable","Non-Renewable")</f>
        <v>Non-Renewable</v>
      </c>
      <c r="F67">
        <v>73458</v>
      </c>
      <c r="G67">
        <v>1482</v>
      </c>
      <c r="H67">
        <v>272633</v>
      </c>
      <c r="I67">
        <v>3105</v>
      </c>
      <c r="J67" s="8">
        <f>Table1[[#This Row],[Revenue (Crore ₹)]]/Table1[[#This Row],[Employees]]</f>
        <v>87.804508856682773</v>
      </c>
      <c r="K67">
        <v>13.2</v>
      </c>
      <c r="L67">
        <v>11.62</v>
      </c>
      <c r="M67">
        <v>32396</v>
      </c>
      <c r="N67">
        <v>240237</v>
      </c>
      <c r="O67">
        <v>39124</v>
      </c>
      <c r="P67">
        <v>11.2</v>
      </c>
    </row>
    <row r="68" spans="1:16" x14ac:dyDescent="0.3">
      <c r="A68">
        <v>2020</v>
      </c>
      <c r="B68" t="s">
        <v>17</v>
      </c>
      <c r="C68" t="s">
        <v>26</v>
      </c>
      <c r="D68" t="s">
        <v>16</v>
      </c>
      <c r="E68" t="str">
        <f>IF(OR(Table1[[#This Row],[Energy Type]]="Solar",Table1[[#This Row],[Energy Type]]="Wind"),"Renewable","Non-Renewable")</f>
        <v>Non-Renewable</v>
      </c>
      <c r="F68">
        <v>174626</v>
      </c>
      <c r="G68">
        <v>162257</v>
      </c>
      <c r="H68">
        <v>160777</v>
      </c>
      <c r="I68">
        <v>3740</v>
      </c>
      <c r="J68" s="8">
        <f>Table1[[#This Row],[Revenue (Crore ₹)]]/Table1[[#This Row],[Employees]]</f>
        <v>42.988502673796795</v>
      </c>
      <c r="K68">
        <v>10.07</v>
      </c>
      <c r="L68">
        <v>5.98</v>
      </c>
      <c r="M68">
        <v>2417</v>
      </c>
      <c r="N68">
        <v>158360</v>
      </c>
      <c r="O68">
        <v>34794</v>
      </c>
      <c r="P68">
        <v>49.22</v>
      </c>
    </row>
    <row r="69" spans="1:16" x14ac:dyDescent="0.3">
      <c r="A69">
        <v>2024</v>
      </c>
      <c r="B69" t="s">
        <v>19</v>
      </c>
      <c r="C69" t="s">
        <v>26</v>
      </c>
      <c r="D69" t="s">
        <v>22</v>
      </c>
      <c r="E69" t="str">
        <f>IF(OR(Table1[[#This Row],[Energy Type]]="Solar",Table1[[#This Row],[Energy Type]]="Wind"),"Renewable","Non-Renewable")</f>
        <v>Non-Renewable</v>
      </c>
      <c r="F69">
        <v>89199</v>
      </c>
      <c r="G69">
        <v>31330</v>
      </c>
      <c r="H69">
        <v>123907</v>
      </c>
      <c r="I69">
        <v>7793</v>
      </c>
      <c r="J69" s="8">
        <f>Table1[[#This Row],[Revenue (Crore ₹)]]/Table1[[#This Row],[Employees]]</f>
        <v>15.899781855511357</v>
      </c>
      <c r="K69">
        <v>11.17</v>
      </c>
      <c r="L69">
        <v>12.57</v>
      </c>
      <c r="M69">
        <v>43517</v>
      </c>
      <c r="N69">
        <v>80390</v>
      </c>
      <c r="O69">
        <v>279444</v>
      </c>
      <c r="P69">
        <v>5.86</v>
      </c>
    </row>
    <row r="70" spans="1:16" x14ac:dyDescent="0.3">
      <c r="A70">
        <v>2020</v>
      </c>
      <c r="B70" t="s">
        <v>29</v>
      </c>
      <c r="C70" t="s">
        <v>34</v>
      </c>
      <c r="D70" t="s">
        <v>20</v>
      </c>
      <c r="E70" t="str">
        <f>IF(OR(Table1[[#This Row],[Energy Type]]="Solar",Table1[[#This Row],[Energy Type]]="Wind"),"Renewable","Non-Renewable")</f>
        <v>Non-Renewable</v>
      </c>
      <c r="F70">
        <v>134771</v>
      </c>
      <c r="G70">
        <v>33964</v>
      </c>
      <c r="H70">
        <v>210617</v>
      </c>
      <c r="I70">
        <v>7760</v>
      </c>
      <c r="J70" s="8">
        <f>Table1[[#This Row],[Revenue (Crore ₹)]]/Table1[[#This Row],[Employees]]</f>
        <v>27.141365979381444</v>
      </c>
      <c r="K70">
        <v>8.56</v>
      </c>
      <c r="L70">
        <v>2.95</v>
      </c>
      <c r="M70">
        <v>33870</v>
      </c>
      <c r="N70">
        <v>176747</v>
      </c>
      <c r="O70">
        <v>135927</v>
      </c>
      <c r="P70">
        <v>60.19</v>
      </c>
    </row>
    <row r="71" spans="1:16" x14ac:dyDescent="0.3">
      <c r="A71">
        <v>2025</v>
      </c>
      <c r="B71" t="s">
        <v>27</v>
      </c>
      <c r="C71" t="s">
        <v>21</v>
      </c>
      <c r="D71" t="s">
        <v>22</v>
      </c>
      <c r="E71" t="str">
        <f>IF(OR(Table1[[#This Row],[Energy Type]]="Solar",Table1[[#This Row],[Energy Type]]="Wind"),"Renewable","Non-Renewable")</f>
        <v>Non-Renewable</v>
      </c>
      <c r="F71">
        <v>87436</v>
      </c>
      <c r="G71">
        <v>55351</v>
      </c>
      <c r="H71">
        <v>128345</v>
      </c>
      <c r="I71">
        <v>8508</v>
      </c>
      <c r="J71" s="8">
        <f>Table1[[#This Row],[Revenue (Crore ₹)]]/Table1[[#This Row],[Employees]]</f>
        <v>15.085213916314057</v>
      </c>
      <c r="K71">
        <v>18.489999999999998</v>
      </c>
      <c r="L71">
        <v>2.42</v>
      </c>
      <c r="M71">
        <v>7535</v>
      </c>
      <c r="N71">
        <v>120810</v>
      </c>
      <c r="O71">
        <v>162628</v>
      </c>
      <c r="P71">
        <v>20.52</v>
      </c>
    </row>
    <row r="72" spans="1:16" x14ac:dyDescent="0.3">
      <c r="A72">
        <v>2020</v>
      </c>
      <c r="B72" t="s">
        <v>14</v>
      </c>
      <c r="C72" t="s">
        <v>24</v>
      </c>
      <c r="D72" t="s">
        <v>16</v>
      </c>
      <c r="E72" t="str">
        <f>IF(OR(Table1[[#This Row],[Energy Type]]="Solar",Table1[[#This Row],[Energy Type]]="Wind"),"Renewable","Non-Renewable")</f>
        <v>Non-Renewable</v>
      </c>
      <c r="F72">
        <v>23209</v>
      </c>
      <c r="G72">
        <v>10853</v>
      </c>
      <c r="H72">
        <v>176271</v>
      </c>
      <c r="I72">
        <v>3013</v>
      </c>
      <c r="J72" s="8">
        <f>Table1[[#This Row],[Revenue (Crore ₹)]]/Table1[[#This Row],[Employees]]</f>
        <v>58.503484898771987</v>
      </c>
      <c r="K72">
        <v>19.14</v>
      </c>
      <c r="L72">
        <v>8.86</v>
      </c>
      <c r="M72">
        <v>29795</v>
      </c>
      <c r="N72">
        <v>146476</v>
      </c>
      <c r="O72">
        <v>219274</v>
      </c>
      <c r="P72">
        <v>29.26</v>
      </c>
    </row>
    <row r="73" spans="1:16" x14ac:dyDescent="0.3">
      <c r="A73">
        <v>2023</v>
      </c>
      <c r="B73" t="s">
        <v>27</v>
      </c>
      <c r="C73" t="s">
        <v>24</v>
      </c>
      <c r="D73" t="s">
        <v>25</v>
      </c>
      <c r="E73" t="str">
        <f>IF(OR(Table1[[#This Row],[Energy Type]]="Solar",Table1[[#This Row],[Energy Type]]="Wind"),"Renewable","Non-Renewable")</f>
        <v>Renewable</v>
      </c>
      <c r="F73">
        <v>117784</v>
      </c>
      <c r="G73">
        <v>108982</v>
      </c>
      <c r="H73">
        <v>299719</v>
      </c>
      <c r="I73">
        <v>4212</v>
      </c>
      <c r="J73" s="8">
        <f>Table1[[#This Row],[Revenue (Crore ₹)]]/Table1[[#This Row],[Employees]]</f>
        <v>71.158357075023744</v>
      </c>
      <c r="K73">
        <v>21.63</v>
      </c>
      <c r="L73">
        <v>7.1</v>
      </c>
      <c r="M73">
        <v>44146</v>
      </c>
      <c r="N73">
        <v>255573</v>
      </c>
      <c r="O73">
        <v>204573</v>
      </c>
      <c r="P73">
        <v>63.86</v>
      </c>
    </row>
    <row r="74" spans="1:16" x14ac:dyDescent="0.3">
      <c r="A74">
        <v>2023</v>
      </c>
      <c r="B74" t="s">
        <v>27</v>
      </c>
      <c r="C74" t="s">
        <v>15</v>
      </c>
      <c r="D74" t="s">
        <v>32</v>
      </c>
      <c r="E74" t="str">
        <f>IF(OR(Table1[[#This Row],[Energy Type]]="Solar",Table1[[#This Row],[Energy Type]]="Wind"),"Renewable","Non-Renewable")</f>
        <v>Renewable</v>
      </c>
      <c r="F74">
        <v>15268</v>
      </c>
      <c r="G74">
        <v>13906</v>
      </c>
      <c r="H74">
        <v>59181</v>
      </c>
      <c r="I74">
        <v>7532</v>
      </c>
      <c r="J74" s="8">
        <f>Table1[[#This Row],[Revenue (Crore ₹)]]/Table1[[#This Row],[Employees]]</f>
        <v>7.8572756240042487</v>
      </c>
      <c r="K74">
        <v>8</v>
      </c>
      <c r="L74">
        <v>11.94</v>
      </c>
      <c r="M74">
        <v>1860</v>
      </c>
      <c r="N74">
        <v>57321</v>
      </c>
      <c r="O74">
        <v>290044</v>
      </c>
      <c r="P74">
        <v>71.89</v>
      </c>
    </row>
    <row r="75" spans="1:16" x14ac:dyDescent="0.3">
      <c r="A75">
        <v>2022</v>
      </c>
      <c r="B75" t="s">
        <v>14</v>
      </c>
      <c r="C75" t="s">
        <v>34</v>
      </c>
      <c r="D75" t="s">
        <v>25</v>
      </c>
      <c r="E75" t="str">
        <f>IF(OR(Table1[[#This Row],[Energy Type]]="Solar",Table1[[#This Row],[Energy Type]]="Wind"),"Renewable","Non-Renewable")</f>
        <v>Renewable</v>
      </c>
      <c r="F75">
        <v>5512</v>
      </c>
      <c r="G75">
        <v>3013</v>
      </c>
      <c r="H75">
        <v>143047</v>
      </c>
      <c r="I75">
        <v>8870</v>
      </c>
      <c r="J75" s="8">
        <f>Table1[[#This Row],[Revenue (Crore ₹)]]/Table1[[#This Row],[Employees]]</f>
        <v>16.127057497181511</v>
      </c>
      <c r="K75">
        <v>9.4</v>
      </c>
      <c r="L75">
        <v>3.01</v>
      </c>
      <c r="M75">
        <v>4272</v>
      </c>
      <c r="N75">
        <v>138775</v>
      </c>
      <c r="O75">
        <v>260368</v>
      </c>
      <c r="P75">
        <v>15.91</v>
      </c>
    </row>
    <row r="76" spans="1:16" x14ac:dyDescent="0.3">
      <c r="A76">
        <v>2023</v>
      </c>
      <c r="B76" t="s">
        <v>19</v>
      </c>
      <c r="C76" t="s">
        <v>15</v>
      </c>
      <c r="D76" t="s">
        <v>32</v>
      </c>
      <c r="E76" t="str">
        <f>IF(OR(Table1[[#This Row],[Energy Type]]="Solar",Table1[[#This Row],[Energy Type]]="Wind"),"Renewable","Non-Renewable")</f>
        <v>Renewable</v>
      </c>
      <c r="F76">
        <v>4759</v>
      </c>
      <c r="G76">
        <v>4560</v>
      </c>
      <c r="H76">
        <v>161662</v>
      </c>
      <c r="I76">
        <v>6392</v>
      </c>
      <c r="J76" s="8">
        <f>Table1[[#This Row],[Revenue (Crore ₹)]]/Table1[[#This Row],[Employees]]</f>
        <v>25.291301627033793</v>
      </c>
      <c r="K76">
        <v>2.76</v>
      </c>
      <c r="L76">
        <v>14.75</v>
      </c>
      <c r="M76">
        <v>38028</v>
      </c>
      <c r="N76">
        <v>123634</v>
      </c>
      <c r="O76">
        <v>99247</v>
      </c>
      <c r="P76">
        <v>24.33</v>
      </c>
    </row>
    <row r="77" spans="1:16" x14ac:dyDescent="0.3">
      <c r="A77">
        <v>2024</v>
      </c>
      <c r="B77" t="s">
        <v>31</v>
      </c>
      <c r="C77" t="s">
        <v>21</v>
      </c>
      <c r="D77" t="s">
        <v>25</v>
      </c>
      <c r="E77" t="str">
        <f>IF(OR(Table1[[#This Row],[Energy Type]]="Solar",Table1[[#This Row],[Energy Type]]="Wind"),"Renewable","Non-Renewable")</f>
        <v>Renewable</v>
      </c>
      <c r="F77">
        <v>47989</v>
      </c>
      <c r="G77">
        <v>21096</v>
      </c>
      <c r="H77">
        <v>102187</v>
      </c>
      <c r="I77">
        <v>9922</v>
      </c>
      <c r="J77" s="8">
        <f>Table1[[#This Row],[Revenue (Crore ₹)]]/Table1[[#This Row],[Employees]]</f>
        <v>10.299032453134449</v>
      </c>
      <c r="K77">
        <v>3.78</v>
      </c>
      <c r="L77">
        <v>13.01</v>
      </c>
      <c r="M77">
        <v>43452</v>
      </c>
      <c r="N77">
        <v>58735</v>
      </c>
      <c r="O77">
        <v>268770</v>
      </c>
      <c r="P77">
        <v>52.83</v>
      </c>
    </row>
    <row r="78" spans="1:16" x14ac:dyDescent="0.3">
      <c r="A78">
        <v>2020</v>
      </c>
      <c r="B78" t="s">
        <v>27</v>
      </c>
      <c r="C78" t="s">
        <v>15</v>
      </c>
      <c r="D78" t="s">
        <v>22</v>
      </c>
      <c r="E78" t="str">
        <f>IF(OR(Table1[[#This Row],[Energy Type]]="Solar",Table1[[#This Row],[Energy Type]]="Wind"),"Renewable","Non-Renewable")</f>
        <v>Non-Renewable</v>
      </c>
      <c r="F78">
        <v>20457</v>
      </c>
      <c r="G78">
        <v>11721</v>
      </c>
      <c r="H78">
        <v>168452</v>
      </c>
      <c r="I78">
        <v>851</v>
      </c>
      <c r="J78" s="8">
        <f>Table1[[#This Row],[Revenue (Crore ₹)]]/Table1[[#This Row],[Employees]]</f>
        <v>197.94594594594594</v>
      </c>
      <c r="K78">
        <v>7.63</v>
      </c>
      <c r="L78">
        <v>8.51</v>
      </c>
      <c r="M78">
        <v>15272</v>
      </c>
      <c r="N78">
        <v>153180</v>
      </c>
      <c r="O78">
        <v>123486</v>
      </c>
      <c r="P78">
        <v>64.040000000000006</v>
      </c>
    </row>
    <row r="79" spans="1:16" x14ac:dyDescent="0.3">
      <c r="A79">
        <v>2025</v>
      </c>
      <c r="B79" t="s">
        <v>30</v>
      </c>
      <c r="C79" t="s">
        <v>34</v>
      </c>
      <c r="D79" t="s">
        <v>25</v>
      </c>
      <c r="E79" t="str">
        <f>IF(OR(Table1[[#This Row],[Energy Type]]="Solar",Table1[[#This Row],[Energy Type]]="Wind"),"Renewable","Non-Renewable")</f>
        <v>Renewable</v>
      </c>
      <c r="F79">
        <v>157400</v>
      </c>
      <c r="G79">
        <v>7576</v>
      </c>
      <c r="H79">
        <v>257065</v>
      </c>
      <c r="I79">
        <v>9991</v>
      </c>
      <c r="J79" s="8">
        <f>Table1[[#This Row],[Revenue (Crore ₹)]]/Table1[[#This Row],[Employees]]</f>
        <v>25.729656691021919</v>
      </c>
      <c r="K79">
        <v>19.559999999999999</v>
      </c>
      <c r="L79">
        <v>10.029999999999999</v>
      </c>
      <c r="M79">
        <v>36281</v>
      </c>
      <c r="N79">
        <v>220784</v>
      </c>
      <c r="O79">
        <v>106266</v>
      </c>
      <c r="P79">
        <v>32.270000000000003</v>
      </c>
    </row>
    <row r="80" spans="1:16" x14ac:dyDescent="0.3">
      <c r="A80">
        <v>2024</v>
      </c>
      <c r="B80" t="s">
        <v>23</v>
      </c>
      <c r="C80" t="s">
        <v>15</v>
      </c>
      <c r="D80" t="s">
        <v>16</v>
      </c>
      <c r="E80" t="str">
        <f>IF(OR(Table1[[#This Row],[Energy Type]]="Solar",Table1[[#This Row],[Energy Type]]="Wind"),"Renewable","Non-Renewable")</f>
        <v>Non-Renewable</v>
      </c>
      <c r="F80">
        <v>50606</v>
      </c>
      <c r="G80">
        <v>4827</v>
      </c>
      <c r="H80">
        <v>193331</v>
      </c>
      <c r="I80">
        <v>5168</v>
      </c>
      <c r="J80" s="8">
        <f>Table1[[#This Row],[Revenue (Crore ₹)]]/Table1[[#This Row],[Employees]]</f>
        <v>37.409249226006189</v>
      </c>
      <c r="K80">
        <v>5.64</v>
      </c>
      <c r="L80">
        <v>2.16</v>
      </c>
      <c r="M80">
        <v>45448</v>
      </c>
      <c r="N80">
        <v>147883</v>
      </c>
      <c r="O80">
        <v>299687</v>
      </c>
      <c r="P80">
        <v>16.399999999999999</v>
      </c>
    </row>
    <row r="81" spans="1:16" x14ac:dyDescent="0.3">
      <c r="A81">
        <v>2024</v>
      </c>
      <c r="B81" t="s">
        <v>27</v>
      </c>
      <c r="C81" t="s">
        <v>18</v>
      </c>
      <c r="D81" t="s">
        <v>22</v>
      </c>
      <c r="E81" t="str">
        <f>IF(OR(Table1[[#This Row],[Energy Type]]="Solar",Table1[[#This Row],[Energy Type]]="Wind"),"Renewable","Non-Renewable")</f>
        <v>Non-Renewable</v>
      </c>
      <c r="F81">
        <v>34287</v>
      </c>
      <c r="G81">
        <v>21780</v>
      </c>
      <c r="H81">
        <v>52120</v>
      </c>
      <c r="I81">
        <v>606</v>
      </c>
      <c r="J81" s="8">
        <f>Table1[[#This Row],[Revenue (Crore ₹)]]/Table1[[#This Row],[Employees]]</f>
        <v>86.006600660066013</v>
      </c>
      <c r="K81">
        <v>16.91</v>
      </c>
      <c r="L81">
        <v>8.15</v>
      </c>
      <c r="M81">
        <v>9758</v>
      </c>
      <c r="N81">
        <v>42362</v>
      </c>
      <c r="O81">
        <v>92010</v>
      </c>
      <c r="P81">
        <v>65.67</v>
      </c>
    </row>
    <row r="82" spans="1:16" x14ac:dyDescent="0.3">
      <c r="A82">
        <v>2020</v>
      </c>
      <c r="B82" t="s">
        <v>23</v>
      </c>
      <c r="C82" t="s">
        <v>15</v>
      </c>
      <c r="D82" t="s">
        <v>25</v>
      </c>
      <c r="E82" t="str">
        <f>IF(OR(Table1[[#This Row],[Energy Type]]="Solar",Table1[[#This Row],[Energy Type]]="Wind"),"Renewable","Non-Renewable")</f>
        <v>Renewable</v>
      </c>
      <c r="F82">
        <v>107265</v>
      </c>
      <c r="G82">
        <v>46096</v>
      </c>
      <c r="H82">
        <v>290909</v>
      </c>
      <c r="I82">
        <v>4895</v>
      </c>
      <c r="J82" s="8">
        <f>Table1[[#This Row],[Revenue (Crore ₹)]]/Table1[[#This Row],[Employees]]</f>
        <v>59.429826353421859</v>
      </c>
      <c r="K82">
        <v>9.9499999999999993</v>
      </c>
      <c r="L82">
        <v>7.38</v>
      </c>
      <c r="M82">
        <v>39525</v>
      </c>
      <c r="N82">
        <v>251384</v>
      </c>
      <c r="O82">
        <v>46462</v>
      </c>
      <c r="P82">
        <v>29.36</v>
      </c>
    </row>
    <row r="83" spans="1:16" x14ac:dyDescent="0.3">
      <c r="A83">
        <v>2023</v>
      </c>
      <c r="B83" t="s">
        <v>19</v>
      </c>
      <c r="C83" t="s">
        <v>28</v>
      </c>
      <c r="D83" t="s">
        <v>22</v>
      </c>
      <c r="E83" t="str">
        <f>IF(OR(Table1[[#This Row],[Energy Type]]="Solar",Table1[[#This Row],[Energy Type]]="Wind"),"Renewable","Non-Renewable")</f>
        <v>Non-Renewable</v>
      </c>
      <c r="F83">
        <v>6856</v>
      </c>
      <c r="G83">
        <v>6041</v>
      </c>
      <c r="H83">
        <v>193647</v>
      </c>
      <c r="I83">
        <v>6339</v>
      </c>
      <c r="J83" s="8">
        <f>Table1[[#This Row],[Revenue (Crore ₹)]]/Table1[[#This Row],[Employees]]</f>
        <v>30.548509228584951</v>
      </c>
      <c r="K83">
        <v>7.26</v>
      </c>
      <c r="L83">
        <v>12.31</v>
      </c>
      <c r="M83">
        <v>36586</v>
      </c>
      <c r="N83">
        <v>157061</v>
      </c>
      <c r="O83">
        <v>148687</v>
      </c>
      <c r="P83">
        <v>43.29</v>
      </c>
    </row>
    <row r="84" spans="1:16" x14ac:dyDescent="0.3">
      <c r="A84">
        <v>2021</v>
      </c>
      <c r="B84" t="s">
        <v>19</v>
      </c>
      <c r="C84" t="s">
        <v>26</v>
      </c>
      <c r="D84" t="s">
        <v>22</v>
      </c>
      <c r="E84" t="str">
        <f>IF(OR(Table1[[#This Row],[Energy Type]]="Solar",Table1[[#This Row],[Energy Type]]="Wind"),"Renewable","Non-Renewable")</f>
        <v>Non-Renewable</v>
      </c>
      <c r="F84">
        <v>7167</v>
      </c>
      <c r="G84">
        <v>7102</v>
      </c>
      <c r="H84">
        <v>234215</v>
      </c>
      <c r="I84">
        <v>7540</v>
      </c>
      <c r="J84" s="8">
        <f>Table1[[#This Row],[Revenue (Crore ₹)]]/Table1[[#This Row],[Employees]]</f>
        <v>31.062997347480106</v>
      </c>
      <c r="K84">
        <v>18.97</v>
      </c>
      <c r="L84">
        <v>14.31</v>
      </c>
      <c r="M84">
        <v>34874</v>
      </c>
      <c r="N84">
        <v>199341</v>
      </c>
      <c r="O84">
        <v>79882</v>
      </c>
      <c r="P84">
        <v>70.180000000000007</v>
      </c>
    </row>
    <row r="85" spans="1:16" x14ac:dyDescent="0.3">
      <c r="A85">
        <v>2020</v>
      </c>
      <c r="B85" t="s">
        <v>27</v>
      </c>
      <c r="C85" t="s">
        <v>15</v>
      </c>
      <c r="D85" t="s">
        <v>32</v>
      </c>
      <c r="E85" t="str">
        <f>IF(OR(Table1[[#This Row],[Energy Type]]="Solar",Table1[[#This Row],[Energy Type]]="Wind"),"Renewable","Non-Renewable")</f>
        <v>Renewable</v>
      </c>
      <c r="F85">
        <v>134433</v>
      </c>
      <c r="G85">
        <v>19404</v>
      </c>
      <c r="H85">
        <v>130391</v>
      </c>
      <c r="I85">
        <v>3176</v>
      </c>
      <c r="J85" s="8">
        <f>Table1[[#This Row],[Revenue (Crore ₹)]]/Table1[[#This Row],[Employees]]</f>
        <v>41.055100755667503</v>
      </c>
      <c r="K85">
        <v>6.42</v>
      </c>
      <c r="L85">
        <v>12.79</v>
      </c>
      <c r="M85">
        <v>285</v>
      </c>
      <c r="N85">
        <v>130106</v>
      </c>
      <c r="O85">
        <v>229135</v>
      </c>
      <c r="P85">
        <v>15.64</v>
      </c>
    </row>
    <row r="86" spans="1:16" x14ac:dyDescent="0.3">
      <c r="A86">
        <v>2021</v>
      </c>
      <c r="B86" t="s">
        <v>19</v>
      </c>
      <c r="C86" t="s">
        <v>28</v>
      </c>
      <c r="D86" t="s">
        <v>32</v>
      </c>
      <c r="E86" t="str">
        <f>IF(OR(Table1[[#This Row],[Energy Type]]="Solar",Table1[[#This Row],[Energy Type]]="Wind"),"Renewable","Non-Renewable")</f>
        <v>Renewable</v>
      </c>
      <c r="F86">
        <v>138357</v>
      </c>
      <c r="G86">
        <v>50404</v>
      </c>
      <c r="H86">
        <v>171344</v>
      </c>
      <c r="I86">
        <v>6766</v>
      </c>
      <c r="J86" s="8">
        <f>Table1[[#This Row],[Revenue (Crore ₹)]]/Table1[[#This Row],[Employees]]</f>
        <v>25.324268400827666</v>
      </c>
      <c r="K86">
        <v>14.2</v>
      </c>
      <c r="L86">
        <v>11.09</v>
      </c>
      <c r="M86">
        <v>40366</v>
      </c>
      <c r="N86">
        <v>130978</v>
      </c>
      <c r="O86">
        <v>281524</v>
      </c>
      <c r="P86">
        <v>5.7</v>
      </c>
    </row>
    <row r="87" spans="1:16" x14ac:dyDescent="0.3">
      <c r="A87">
        <v>2024</v>
      </c>
      <c r="B87" t="s">
        <v>17</v>
      </c>
      <c r="C87" t="s">
        <v>33</v>
      </c>
      <c r="D87" t="s">
        <v>20</v>
      </c>
      <c r="E87" t="str">
        <f>IF(OR(Table1[[#This Row],[Energy Type]]="Solar",Table1[[#This Row],[Energy Type]]="Wind"),"Renewable","Non-Renewable")</f>
        <v>Non-Renewable</v>
      </c>
      <c r="F87">
        <v>45656</v>
      </c>
      <c r="G87">
        <v>40217</v>
      </c>
      <c r="H87">
        <v>222214</v>
      </c>
      <c r="I87">
        <v>8366</v>
      </c>
      <c r="J87" s="8">
        <f>Table1[[#This Row],[Revenue (Crore ₹)]]/Table1[[#This Row],[Employees]]</f>
        <v>26.561558689935453</v>
      </c>
      <c r="K87">
        <v>14.72</v>
      </c>
      <c r="L87">
        <v>12.14</v>
      </c>
      <c r="M87">
        <v>43321</v>
      </c>
      <c r="N87">
        <v>178893</v>
      </c>
      <c r="O87">
        <v>198673</v>
      </c>
      <c r="P87">
        <v>37.06</v>
      </c>
    </row>
    <row r="88" spans="1:16" x14ac:dyDescent="0.3">
      <c r="A88">
        <v>2020</v>
      </c>
      <c r="B88" t="s">
        <v>19</v>
      </c>
      <c r="C88" t="s">
        <v>21</v>
      </c>
      <c r="D88" t="s">
        <v>32</v>
      </c>
      <c r="E88" t="str">
        <f>IF(OR(Table1[[#This Row],[Energy Type]]="Solar",Table1[[#This Row],[Energy Type]]="Wind"),"Renewable","Non-Renewable")</f>
        <v>Renewable</v>
      </c>
      <c r="F88">
        <v>97530</v>
      </c>
      <c r="G88">
        <v>90895</v>
      </c>
      <c r="H88">
        <v>30398</v>
      </c>
      <c r="I88">
        <v>9769</v>
      </c>
      <c r="J88" s="8">
        <f>Table1[[#This Row],[Revenue (Crore ₹)]]/Table1[[#This Row],[Employees]]</f>
        <v>3.1116798034599245</v>
      </c>
      <c r="K88">
        <v>22.51</v>
      </c>
      <c r="L88">
        <v>13.48</v>
      </c>
      <c r="M88">
        <v>8729</v>
      </c>
      <c r="N88">
        <v>21669</v>
      </c>
      <c r="O88">
        <v>279416</v>
      </c>
      <c r="P88">
        <v>21.42</v>
      </c>
    </row>
    <row r="89" spans="1:16" x14ac:dyDescent="0.3">
      <c r="A89">
        <v>2025</v>
      </c>
      <c r="B89" t="s">
        <v>14</v>
      </c>
      <c r="C89" t="s">
        <v>33</v>
      </c>
      <c r="D89" t="s">
        <v>16</v>
      </c>
      <c r="E89" t="str">
        <f>IF(OR(Table1[[#This Row],[Energy Type]]="Solar",Table1[[#This Row],[Energy Type]]="Wind"),"Renewable","Non-Renewable")</f>
        <v>Non-Renewable</v>
      </c>
      <c r="F89">
        <v>3042</v>
      </c>
      <c r="G89">
        <v>2881</v>
      </c>
      <c r="H89">
        <v>123243</v>
      </c>
      <c r="I89">
        <v>3680</v>
      </c>
      <c r="J89" s="8">
        <f>Table1[[#This Row],[Revenue (Crore ₹)]]/Table1[[#This Row],[Employees]]</f>
        <v>33.489945652173915</v>
      </c>
      <c r="K89">
        <v>20.059999999999999</v>
      </c>
      <c r="L89">
        <v>3.86</v>
      </c>
      <c r="M89">
        <v>10691</v>
      </c>
      <c r="N89">
        <v>112552</v>
      </c>
      <c r="O89">
        <v>195945</v>
      </c>
      <c r="P89">
        <v>41.43</v>
      </c>
    </row>
    <row r="90" spans="1:16" x14ac:dyDescent="0.3">
      <c r="A90">
        <v>2022</v>
      </c>
      <c r="B90" t="s">
        <v>27</v>
      </c>
      <c r="C90" t="s">
        <v>24</v>
      </c>
      <c r="D90" t="s">
        <v>16</v>
      </c>
      <c r="E90" t="str">
        <f>IF(OR(Table1[[#This Row],[Energy Type]]="Solar",Table1[[#This Row],[Energy Type]]="Wind"),"Renewable","Non-Renewable")</f>
        <v>Non-Renewable</v>
      </c>
      <c r="F90">
        <v>126593</v>
      </c>
      <c r="G90">
        <v>86916</v>
      </c>
      <c r="H90">
        <v>177173</v>
      </c>
      <c r="I90">
        <v>3331</v>
      </c>
      <c r="J90" s="8">
        <f>Table1[[#This Row],[Revenue (Crore ₹)]]/Table1[[#This Row],[Employees]]</f>
        <v>53.189132392674871</v>
      </c>
      <c r="K90">
        <v>6.32</v>
      </c>
      <c r="L90">
        <v>2.57</v>
      </c>
      <c r="M90">
        <v>10709</v>
      </c>
      <c r="N90">
        <v>166464</v>
      </c>
      <c r="O90">
        <v>71513</v>
      </c>
      <c r="P90">
        <v>66.069999999999993</v>
      </c>
    </row>
    <row r="91" spans="1:16" x14ac:dyDescent="0.3">
      <c r="A91">
        <v>2025</v>
      </c>
      <c r="B91" t="s">
        <v>19</v>
      </c>
      <c r="C91" t="s">
        <v>21</v>
      </c>
      <c r="D91" t="s">
        <v>16</v>
      </c>
      <c r="E91" t="str">
        <f>IF(OR(Table1[[#This Row],[Energy Type]]="Solar",Table1[[#This Row],[Energy Type]]="Wind"),"Renewable","Non-Renewable")</f>
        <v>Non-Renewable</v>
      </c>
      <c r="F91">
        <v>32994</v>
      </c>
      <c r="G91">
        <v>8045</v>
      </c>
      <c r="H91">
        <v>65225</v>
      </c>
      <c r="I91">
        <v>8355</v>
      </c>
      <c r="J91" s="8">
        <f>Table1[[#This Row],[Revenue (Crore ₹)]]/Table1[[#This Row],[Employees]]</f>
        <v>7.806702573309396</v>
      </c>
      <c r="K91">
        <v>6.71</v>
      </c>
      <c r="L91">
        <v>5.0999999999999996</v>
      </c>
      <c r="M91">
        <v>19047</v>
      </c>
      <c r="N91">
        <v>46178</v>
      </c>
      <c r="O91">
        <v>222689</v>
      </c>
      <c r="P91">
        <v>27.13</v>
      </c>
    </row>
    <row r="92" spans="1:16" x14ac:dyDescent="0.3">
      <c r="A92">
        <v>2023</v>
      </c>
      <c r="B92" t="s">
        <v>30</v>
      </c>
      <c r="C92" t="s">
        <v>28</v>
      </c>
      <c r="D92" t="s">
        <v>16</v>
      </c>
      <c r="E92" t="str">
        <f>IF(OR(Table1[[#This Row],[Energy Type]]="Solar",Table1[[#This Row],[Energy Type]]="Wind"),"Renewable","Non-Renewable")</f>
        <v>Non-Renewable</v>
      </c>
      <c r="F92">
        <v>109747</v>
      </c>
      <c r="G92">
        <v>36556</v>
      </c>
      <c r="H92">
        <v>177161</v>
      </c>
      <c r="I92">
        <v>9399</v>
      </c>
      <c r="J92" s="8">
        <f>Table1[[#This Row],[Revenue (Crore ₹)]]/Table1[[#This Row],[Employees]]</f>
        <v>18.848920097882754</v>
      </c>
      <c r="K92">
        <v>4.8</v>
      </c>
      <c r="L92">
        <v>13.78</v>
      </c>
      <c r="M92">
        <v>40039</v>
      </c>
      <c r="N92">
        <v>137122</v>
      </c>
      <c r="O92">
        <v>147868</v>
      </c>
      <c r="P92">
        <v>36.92</v>
      </c>
    </row>
    <row r="93" spans="1:16" x14ac:dyDescent="0.3">
      <c r="A93">
        <v>2025</v>
      </c>
      <c r="B93" t="s">
        <v>19</v>
      </c>
      <c r="C93" t="s">
        <v>34</v>
      </c>
      <c r="D93" t="s">
        <v>22</v>
      </c>
      <c r="E93" t="str">
        <f>IF(OR(Table1[[#This Row],[Energy Type]]="Solar",Table1[[#This Row],[Energy Type]]="Wind"),"Renewable","Non-Renewable")</f>
        <v>Non-Renewable</v>
      </c>
      <c r="F93">
        <v>112402</v>
      </c>
      <c r="G93">
        <v>34580</v>
      </c>
      <c r="H93">
        <v>37536</v>
      </c>
      <c r="I93">
        <v>7591</v>
      </c>
      <c r="J93" s="8">
        <f>Table1[[#This Row],[Revenue (Crore ₹)]]/Table1[[#This Row],[Employees]]</f>
        <v>4.9448030562508229</v>
      </c>
      <c r="K93">
        <v>17.03</v>
      </c>
      <c r="L93">
        <v>2.63</v>
      </c>
      <c r="M93">
        <v>23064</v>
      </c>
      <c r="N93">
        <v>14472</v>
      </c>
      <c r="O93">
        <v>287140</v>
      </c>
      <c r="P93">
        <v>62.73</v>
      </c>
    </row>
    <row r="94" spans="1:16" x14ac:dyDescent="0.3">
      <c r="A94">
        <v>2020</v>
      </c>
      <c r="B94" t="s">
        <v>14</v>
      </c>
      <c r="C94" t="s">
        <v>24</v>
      </c>
      <c r="D94" t="s">
        <v>16</v>
      </c>
      <c r="E94" t="str">
        <f>IF(OR(Table1[[#This Row],[Energy Type]]="Solar",Table1[[#This Row],[Energy Type]]="Wind"),"Renewable","Non-Renewable")</f>
        <v>Non-Renewable</v>
      </c>
      <c r="F94">
        <v>7312</v>
      </c>
      <c r="G94">
        <v>3020</v>
      </c>
      <c r="H94">
        <v>105863</v>
      </c>
      <c r="I94">
        <v>3901</v>
      </c>
      <c r="J94" s="8">
        <f>Table1[[#This Row],[Revenue (Crore ₹)]]/Table1[[#This Row],[Employees]]</f>
        <v>27.137400666495772</v>
      </c>
      <c r="K94">
        <v>11.33</v>
      </c>
      <c r="L94">
        <v>10.34</v>
      </c>
      <c r="M94">
        <v>30449</v>
      </c>
      <c r="N94">
        <v>75414</v>
      </c>
      <c r="O94">
        <v>163904</v>
      </c>
      <c r="P94">
        <v>22.99</v>
      </c>
    </row>
    <row r="95" spans="1:16" x14ac:dyDescent="0.3">
      <c r="A95">
        <v>2022</v>
      </c>
      <c r="B95" t="s">
        <v>14</v>
      </c>
      <c r="C95" t="s">
        <v>34</v>
      </c>
      <c r="D95" t="s">
        <v>32</v>
      </c>
      <c r="E95" t="str">
        <f>IF(OR(Table1[[#This Row],[Energy Type]]="Solar",Table1[[#This Row],[Energy Type]]="Wind"),"Renewable","Non-Renewable")</f>
        <v>Renewable</v>
      </c>
      <c r="F95">
        <v>52402</v>
      </c>
      <c r="G95">
        <v>27411</v>
      </c>
      <c r="H95">
        <v>54503</v>
      </c>
      <c r="I95">
        <v>5233</v>
      </c>
      <c r="J95" s="8">
        <f>Table1[[#This Row],[Revenue (Crore ₹)]]/Table1[[#This Row],[Employees]]</f>
        <v>10.415249378941335</v>
      </c>
      <c r="K95">
        <v>20.25</v>
      </c>
      <c r="L95">
        <v>10.15</v>
      </c>
      <c r="M95">
        <v>11259</v>
      </c>
      <c r="N95">
        <v>43244</v>
      </c>
      <c r="O95">
        <v>121068</v>
      </c>
      <c r="P95">
        <v>29.83</v>
      </c>
    </row>
    <row r="96" spans="1:16" x14ac:dyDescent="0.3">
      <c r="A96">
        <v>2022</v>
      </c>
      <c r="B96" t="s">
        <v>31</v>
      </c>
      <c r="C96" t="s">
        <v>28</v>
      </c>
      <c r="D96" t="s">
        <v>22</v>
      </c>
      <c r="E96" t="str">
        <f>IF(OR(Table1[[#This Row],[Energy Type]]="Solar",Table1[[#This Row],[Energy Type]]="Wind"),"Renewable","Non-Renewable")</f>
        <v>Non-Renewable</v>
      </c>
      <c r="F96">
        <v>154616</v>
      </c>
      <c r="G96">
        <v>138660</v>
      </c>
      <c r="H96">
        <v>18201</v>
      </c>
      <c r="I96">
        <v>5274</v>
      </c>
      <c r="J96" s="8">
        <f>Table1[[#This Row],[Revenue (Crore ₹)]]/Table1[[#This Row],[Employees]]</f>
        <v>3.4510807736063707</v>
      </c>
      <c r="K96">
        <v>9.85</v>
      </c>
      <c r="L96">
        <v>13.33</v>
      </c>
      <c r="M96">
        <v>3852</v>
      </c>
      <c r="N96">
        <v>14349</v>
      </c>
      <c r="O96">
        <v>81730</v>
      </c>
      <c r="P96">
        <v>41.7</v>
      </c>
    </row>
    <row r="97" spans="1:16" x14ac:dyDescent="0.3">
      <c r="A97">
        <v>2025</v>
      </c>
      <c r="B97" t="s">
        <v>14</v>
      </c>
      <c r="C97" t="s">
        <v>26</v>
      </c>
      <c r="D97" t="s">
        <v>22</v>
      </c>
      <c r="E97" t="str">
        <f>IF(OR(Table1[[#This Row],[Energy Type]]="Solar",Table1[[#This Row],[Energy Type]]="Wind"),"Renewable","Non-Renewable")</f>
        <v>Non-Renewable</v>
      </c>
      <c r="F97">
        <v>187133</v>
      </c>
      <c r="G97">
        <v>122678</v>
      </c>
      <c r="H97">
        <v>222151</v>
      </c>
      <c r="I97">
        <v>1705</v>
      </c>
      <c r="J97" s="8">
        <f>Table1[[#This Row],[Revenue (Crore ₹)]]/Table1[[#This Row],[Employees]]</f>
        <v>130.29384164222873</v>
      </c>
      <c r="K97">
        <v>3.03</v>
      </c>
      <c r="L97">
        <v>7.2</v>
      </c>
      <c r="M97">
        <v>38762</v>
      </c>
      <c r="N97">
        <v>183389</v>
      </c>
      <c r="O97">
        <v>251583</v>
      </c>
      <c r="P97">
        <v>17.600000000000001</v>
      </c>
    </row>
    <row r="98" spans="1:16" x14ac:dyDescent="0.3">
      <c r="A98">
        <v>2021</v>
      </c>
      <c r="B98" t="s">
        <v>19</v>
      </c>
      <c r="C98" t="s">
        <v>26</v>
      </c>
      <c r="D98" t="s">
        <v>20</v>
      </c>
      <c r="E98" t="str">
        <f>IF(OR(Table1[[#This Row],[Energy Type]]="Solar",Table1[[#This Row],[Energy Type]]="Wind"),"Renewable","Non-Renewable")</f>
        <v>Non-Renewable</v>
      </c>
      <c r="F98">
        <v>32167</v>
      </c>
      <c r="G98">
        <v>15007</v>
      </c>
      <c r="H98">
        <v>6757</v>
      </c>
      <c r="I98">
        <v>5426</v>
      </c>
      <c r="J98" s="8">
        <f>Table1[[#This Row],[Revenue (Crore ₹)]]/Table1[[#This Row],[Employees]]</f>
        <v>1.2453004054552157</v>
      </c>
      <c r="K98">
        <v>24.13</v>
      </c>
      <c r="L98">
        <v>14.19</v>
      </c>
      <c r="M98">
        <v>29466</v>
      </c>
      <c r="N98">
        <v>-22709</v>
      </c>
      <c r="O98">
        <v>259086</v>
      </c>
      <c r="P98">
        <v>42.28</v>
      </c>
    </row>
    <row r="99" spans="1:16" x14ac:dyDescent="0.3">
      <c r="A99">
        <v>2025</v>
      </c>
      <c r="B99" t="s">
        <v>27</v>
      </c>
      <c r="C99" t="s">
        <v>15</v>
      </c>
      <c r="D99" t="s">
        <v>22</v>
      </c>
      <c r="E99" t="str">
        <f>IF(OR(Table1[[#This Row],[Energy Type]]="Solar",Table1[[#This Row],[Energy Type]]="Wind"),"Renewable","Non-Renewable")</f>
        <v>Non-Renewable</v>
      </c>
      <c r="F99">
        <v>182830</v>
      </c>
      <c r="G99">
        <v>128389</v>
      </c>
      <c r="H99">
        <v>13867</v>
      </c>
      <c r="I99">
        <v>9362</v>
      </c>
      <c r="J99" s="8">
        <f>Table1[[#This Row],[Revenue (Crore ₹)]]/Table1[[#This Row],[Employees]]</f>
        <v>1.4812005981627858</v>
      </c>
      <c r="K99">
        <v>16.190000000000001</v>
      </c>
      <c r="L99">
        <v>11.53</v>
      </c>
      <c r="M99">
        <v>18566</v>
      </c>
      <c r="N99">
        <v>-4699</v>
      </c>
      <c r="O99">
        <v>292066</v>
      </c>
      <c r="P99">
        <v>27.26</v>
      </c>
    </row>
    <row r="100" spans="1:16" x14ac:dyDescent="0.3">
      <c r="A100">
        <v>2022</v>
      </c>
      <c r="B100" t="s">
        <v>14</v>
      </c>
      <c r="C100" t="s">
        <v>26</v>
      </c>
      <c r="D100" t="s">
        <v>16</v>
      </c>
      <c r="E100" t="str">
        <f>IF(OR(Table1[[#This Row],[Energy Type]]="Solar",Table1[[#This Row],[Energy Type]]="Wind"),"Renewable","Non-Renewable")</f>
        <v>Non-Renewable</v>
      </c>
      <c r="F100">
        <v>41294</v>
      </c>
      <c r="G100">
        <v>30752</v>
      </c>
      <c r="H100">
        <v>153309</v>
      </c>
      <c r="I100">
        <v>9026</v>
      </c>
      <c r="J100" s="8">
        <f>Table1[[#This Row],[Revenue (Crore ₹)]]/Table1[[#This Row],[Employees]]</f>
        <v>16.985264790604919</v>
      </c>
      <c r="K100">
        <v>10.96</v>
      </c>
      <c r="L100">
        <v>11.53</v>
      </c>
      <c r="M100">
        <v>38362</v>
      </c>
      <c r="N100">
        <v>114947</v>
      </c>
      <c r="O100">
        <v>71662</v>
      </c>
      <c r="P100">
        <v>48.85</v>
      </c>
    </row>
    <row r="101" spans="1:16" x14ac:dyDescent="0.3">
      <c r="A101">
        <v>2020</v>
      </c>
      <c r="B101" t="s">
        <v>17</v>
      </c>
      <c r="C101" t="s">
        <v>26</v>
      </c>
      <c r="D101" t="s">
        <v>25</v>
      </c>
      <c r="E101" t="str">
        <f>IF(OR(Table1[[#This Row],[Energy Type]]="Solar",Table1[[#This Row],[Energy Type]]="Wind"),"Renewable","Non-Renewable")</f>
        <v>Renewable</v>
      </c>
      <c r="F101">
        <v>21215</v>
      </c>
      <c r="G101">
        <v>9864</v>
      </c>
      <c r="H101">
        <v>38767</v>
      </c>
      <c r="I101">
        <v>7410</v>
      </c>
      <c r="J101" s="8">
        <f>Table1[[#This Row],[Revenue (Crore ₹)]]/Table1[[#This Row],[Employees]]</f>
        <v>5.2317139001349524</v>
      </c>
      <c r="K101">
        <v>24.93</v>
      </c>
      <c r="L101">
        <v>9.59</v>
      </c>
      <c r="M101">
        <v>17354</v>
      </c>
      <c r="N101">
        <v>21413</v>
      </c>
      <c r="O101">
        <v>114869</v>
      </c>
      <c r="P101">
        <v>9.07</v>
      </c>
    </row>
    <row r="102" spans="1:16" x14ac:dyDescent="0.3">
      <c r="A102">
        <v>2025</v>
      </c>
      <c r="B102" t="s">
        <v>19</v>
      </c>
      <c r="C102" t="s">
        <v>18</v>
      </c>
      <c r="D102" t="s">
        <v>22</v>
      </c>
      <c r="E102" t="str">
        <f>IF(OR(Table1[[#This Row],[Energy Type]]="Solar",Table1[[#This Row],[Energy Type]]="Wind"),"Renewable","Non-Renewable")</f>
        <v>Non-Renewable</v>
      </c>
      <c r="F102">
        <v>190323</v>
      </c>
      <c r="G102">
        <v>1115</v>
      </c>
      <c r="H102">
        <v>292572</v>
      </c>
      <c r="I102">
        <v>1947</v>
      </c>
      <c r="J102" s="8">
        <f>Table1[[#This Row],[Revenue (Crore ₹)]]/Table1[[#This Row],[Employees]]</f>
        <v>150.26810477657935</v>
      </c>
      <c r="K102">
        <v>20.81</v>
      </c>
      <c r="L102">
        <v>9.98</v>
      </c>
      <c r="M102">
        <v>4729</v>
      </c>
      <c r="N102">
        <v>287843</v>
      </c>
      <c r="O102">
        <v>68486</v>
      </c>
      <c r="P102">
        <v>25.57</v>
      </c>
    </row>
    <row r="103" spans="1:16" x14ac:dyDescent="0.3">
      <c r="A103">
        <v>2024</v>
      </c>
      <c r="B103" t="s">
        <v>17</v>
      </c>
      <c r="C103" t="s">
        <v>21</v>
      </c>
      <c r="D103" t="s">
        <v>22</v>
      </c>
      <c r="E103" t="str">
        <f>IF(OR(Table1[[#This Row],[Energy Type]]="Solar",Table1[[#This Row],[Energy Type]]="Wind"),"Renewable","Non-Renewable")</f>
        <v>Non-Renewable</v>
      </c>
      <c r="F103">
        <v>91450</v>
      </c>
      <c r="G103">
        <v>84737</v>
      </c>
      <c r="H103">
        <v>121815</v>
      </c>
      <c r="I103">
        <v>807</v>
      </c>
      <c r="J103" s="8">
        <f>Table1[[#This Row],[Revenue (Crore ₹)]]/Table1[[#This Row],[Employees]]</f>
        <v>150.94795539033458</v>
      </c>
      <c r="K103">
        <v>7.4</v>
      </c>
      <c r="L103">
        <v>13.14</v>
      </c>
      <c r="M103">
        <v>15406</v>
      </c>
      <c r="N103">
        <v>106409</v>
      </c>
      <c r="O103">
        <v>268646</v>
      </c>
      <c r="P103">
        <v>39.75</v>
      </c>
    </row>
    <row r="104" spans="1:16" x14ac:dyDescent="0.3">
      <c r="A104">
        <v>2025</v>
      </c>
      <c r="B104" t="s">
        <v>19</v>
      </c>
      <c r="C104" t="s">
        <v>28</v>
      </c>
      <c r="D104" t="s">
        <v>22</v>
      </c>
      <c r="E104" t="str">
        <f>IF(OR(Table1[[#This Row],[Energy Type]]="Solar",Table1[[#This Row],[Energy Type]]="Wind"),"Renewable","Non-Renewable")</f>
        <v>Non-Renewable</v>
      </c>
      <c r="F104">
        <v>65717</v>
      </c>
      <c r="G104">
        <v>37141</v>
      </c>
      <c r="H104">
        <v>13142</v>
      </c>
      <c r="I104">
        <v>9784</v>
      </c>
      <c r="J104" s="8">
        <f>Table1[[#This Row],[Revenue (Crore ₹)]]/Table1[[#This Row],[Employees]]</f>
        <v>1.3432134096484056</v>
      </c>
      <c r="K104">
        <v>22.13</v>
      </c>
      <c r="L104">
        <v>5.3</v>
      </c>
      <c r="M104">
        <v>26456</v>
      </c>
      <c r="N104">
        <v>-13314</v>
      </c>
      <c r="O104">
        <v>284611</v>
      </c>
      <c r="P104">
        <v>58.57</v>
      </c>
    </row>
    <row r="105" spans="1:16" x14ac:dyDescent="0.3">
      <c r="A105">
        <v>2024</v>
      </c>
      <c r="B105" t="s">
        <v>31</v>
      </c>
      <c r="C105" t="s">
        <v>26</v>
      </c>
      <c r="D105" t="s">
        <v>20</v>
      </c>
      <c r="E105" t="str">
        <f>IF(OR(Table1[[#This Row],[Energy Type]]="Solar",Table1[[#This Row],[Energy Type]]="Wind"),"Renewable","Non-Renewable")</f>
        <v>Non-Renewable</v>
      </c>
      <c r="F105">
        <v>150498</v>
      </c>
      <c r="G105">
        <v>38021</v>
      </c>
      <c r="H105">
        <v>255577</v>
      </c>
      <c r="I105">
        <v>7912</v>
      </c>
      <c r="J105" s="8">
        <f>Table1[[#This Row],[Revenue (Crore ₹)]]/Table1[[#This Row],[Employees]]</f>
        <v>32.302451971688576</v>
      </c>
      <c r="K105">
        <v>11.63</v>
      </c>
      <c r="L105">
        <v>5.72</v>
      </c>
      <c r="M105">
        <v>11450</v>
      </c>
      <c r="N105">
        <v>244127</v>
      </c>
      <c r="O105">
        <v>14304</v>
      </c>
      <c r="P105">
        <v>45.04</v>
      </c>
    </row>
    <row r="106" spans="1:16" x14ac:dyDescent="0.3">
      <c r="A106">
        <v>2023</v>
      </c>
      <c r="B106" t="s">
        <v>17</v>
      </c>
      <c r="C106" t="s">
        <v>21</v>
      </c>
      <c r="D106" t="s">
        <v>22</v>
      </c>
      <c r="E106" t="str">
        <f>IF(OR(Table1[[#This Row],[Energy Type]]="Solar",Table1[[#This Row],[Energy Type]]="Wind"),"Renewable","Non-Renewable")</f>
        <v>Non-Renewable</v>
      </c>
      <c r="F106">
        <v>154844</v>
      </c>
      <c r="G106">
        <v>86273</v>
      </c>
      <c r="H106">
        <v>14006</v>
      </c>
      <c r="I106">
        <v>5256</v>
      </c>
      <c r="J106" s="8">
        <f>Table1[[#This Row],[Revenue (Crore ₹)]]/Table1[[#This Row],[Employees]]</f>
        <v>2.6647640791476408</v>
      </c>
      <c r="K106">
        <v>4.79</v>
      </c>
      <c r="L106">
        <v>1.27</v>
      </c>
      <c r="M106">
        <v>14847</v>
      </c>
      <c r="N106">
        <v>-841</v>
      </c>
      <c r="O106">
        <v>18333</v>
      </c>
      <c r="P106">
        <v>58.17</v>
      </c>
    </row>
    <row r="107" spans="1:16" x14ac:dyDescent="0.3">
      <c r="A107">
        <v>2023</v>
      </c>
      <c r="B107" t="s">
        <v>30</v>
      </c>
      <c r="C107" t="s">
        <v>26</v>
      </c>
      <c r="D107" t="s">
        <v>25</v>
      </c>
      <c r="E107" t="str">
        <f>IF(OR(Table1[[#This Row],[Energy Type]]="Solar",Table1[[#This Row],[Energy Type]]="Wind"),"Renewable","Non-Renewable")</f>
        <v>Renewable</v>
      </c>
      <c r="F107">
        <v>95464</v>
      </c>
      <c r="G107">
        <v>12310</v>
      </c>
      <c r="H107">
        <v>120769</v>
      </c>
      <c r="I107">
        <v>3224</v>
      </c>
      <c r="J107" s="8">
        <f>Table1[[#This Row],[Revenue (Crore ₹)]]/Table1[[#This Row],[Employees]]</f>
        <v>37.459367245657567</v>
      </c>
      <c r="K107">
        <v>13.29</v>
      </c>
      <c r="L107">
        <v>8.51</v>
      </c>
      <c r="M107">
        <v>27130</v>
      </c>
      <c r="N107">
        <v>93639</v>
      </c>
      <c r="O107">
        <v>158221</v>
      </c>
      <c r="P107">
        <v>27.64</v>
      </c>
    </row>
    <row r="108" spans="1:16" x14ac:dyDescent="0.3">
      <c r="A108">
        <v>2024</v>
      </c>
      <c r="B108" t="s">
        <v>30</v>
      </c>
      <c r="C108" t="s">
        <v>26</v>
      </c>
      <c r="D108" t="s">
        <v>16</v>
      </c>
      <c r="E108" t="str">
        <f>IF(OR(Table1[[#This Row],[Energy Type]]="Solar",Table1[[#This Row],[Energy Type]]="Wind"),"Renewable","Non-Renewable")</f>
        <v>Non-Renewable</v>
      </c>
      <c r="F108">
        <v>103029</v>
      </c>
      <c r="G108">
        <v>17405</v>
      </c>
      <c r="H108">
        <v>3507</v>
      </c>
      <c r="I108">
        <v>8321</v>
      </c>
      <c r="J108" s="8">
        <f>Table1[[#This Row],[Revenue (Crore ₹)]]/Table1[[#This Row],[Employees]]</f>
        <v>0.42146376637423388</v>
      </c>
      <c r="K108">
        <v>17.28</v>
      </c>
      <c r="L108">
        <v>8.66</v>
      </c>
      <c r="M108">
        <v>25604</v>
      </c>
      <c r="N108">
        <v>-22097</v>
      </c>
      <c r="O108">
        <v>84989</v>
      </c>
      <c r="P108">
        <v>33.57</v>
      </c>
    </row>
    <row r="109" spans="1:16" x14ac:dyDescent="0.3">
      <c r="A109">
        <v>2024</v>
      </c>
      <c r="B109" t="s">
        <v>29</v>
      </c>
      <c r="C109" t="s">
        <v>26</v>
      </c>
      <c r="D109" t="s">
        <v>22</v>
      </c>
      <c r="E109" t="str">
        <f>IF(OR(Table1[[#This Row],[Energy Type]]="Solar",Table1[[#This Row],[Energy Type]]="Wind"),"Renewable","Non-Renewable")</f>
        <v>Non-Renewable</v>
      </c>
      <c r="F109">
        <v>188009</v>
      </c>
      <c r="G109">
        <v>14340</v>
      </c>
      <c r="H109">
        <v>244917</v>
      </c>
      <c r="I109">
        <v>5965</v>
      </c>
      <c r="J109" s="8">
        <f>Table1[[#This Row],[Revenue (Crore ₹)]]/Table1[[#This Row],[Employees]]</f>
        <v>41.059010896898577</v>
      </c>
      <c r="K109">
        <v>18.82</v>
      </c>
      <c r="L109">
        <v>13.45</v>
      </c>
      <c r="M109">
        <v>4975</v>
      </c>
      <c r="N109">
        <v>239942</v>
      </c>
      <c r="O109">
        <v>81964</v>
      </c>
      <c r="P109">
        <v>66.56</v>
      </c>
    </row>
    <row r="110" spans="1:16" x14ac:dyDescent="0.3">
      <c r="A110">
        <v>2020</v>
      </c>
      <c r="B110" t="s">
        <v>14</v>
      </c>
      <c r="C110" t="s">
        <v>18</v>
      </c>
      <c r="D110" t="s">
        <v>25</v>
      </c>
      <c r="E110" t="str">
        <f>IF(OR(Table1[[#This Row],[Energy Type]]="Solar",Table1[[#This Row],[Energy Type]]="Wind"),"Renewable","Non-Renewable")</f>
        <v>Renewable</v>
      </c>
      <c r="F110">
        <v>21814</v>
      </c>
      <c r="G110">
        <v>7477</v>
      </c>
      <c r="H110">
        <v>174992</v>
      </c>
      <c r="I110">
        <v>3795</v>
      </c>
      <c r="J110" s="8">
        <f>Table1[[#This Row],[Revenue (Crore ₹)]]/Table1[[#This Row],[Employees]]</f>
        <v>46.111198945981556</v>
      </c>
      <c r="K110">
        <v>22.25</v>
      </c>
      <c r="L110">
        <v>4.7699999999999996</v>
      </c>
      <c r="M110">
        <v>34607</v>
      </c>
      <c r="N110">
        <v>140385</v>
      </c>
      <c r="O110">
        <v>244776</v>
      </c>
      <c r="P110">
        <v>48.34</v>
      </c>
    </row>
    <row r="111" spans="1:16" x14ac:dyDescent="0.3">
      <c r="A111">
        <v>2022</v>
      </c>
      <c r="B111" t="s">
        <v>27</v>
      </c>
      <c r="C111" t="s">
        <v>26</v>
      </c>
      <c r="D111" t="s">
        <v>20</v>
      </c>
      <c r="E111" t="str">
        <f>IF(OR(Table1[[#This Row],[Energy Type]]="Solar",Table1[[#This Row],[Energy Type]]="Wind"),"Renewable","Non-Renewable")</f>
        <v>Non-Renewable</v>
      </c>
      <c r="F111">
        <v>46082</v>
      </c>
      <c r="G111">
        <v>29939</v>
      </c>
      <c r="H111">
        <v>241034</v>
      </c>
      <c r="I111">
        <v>1820</v>
      </c>
      <c r="J111" s="8">
        <f>Table1[[#This Row],[Revenue (Crore ₹)]]/Table1[[#This Row],[Employees]]</f>
        <v>132.43626373626373</v>
      </c>
      <c r="K111">
        <v>10.62</v>
      </c>
      <c r="L111">
        <v>12.44</v>
      </c>
      <c r="M111">
        <v>1266</v>
      </c>
      <c r="N111">
        <v>239768</v>
      </c>
      <c r="O111">
        <v>251226</v>
      </c>
      <c r="P111">
        <v>69.180000000000007</v>
      </c>
    </row>
    <row r="112" spans="1:16" x14ac:dyDescent="0.3">
      <c r="A112">
        <v>2023</v>
      </c>
      <c r="B112" t="s">
        <v>23</v>
      </c>
      <c r="C112" t="s">
        <v>15</v>
      </c>
      <c r="D112" t="s">
        <v>20</v>
      </c>
      <c r="E112" t="str">
        <f>IF(OR(Table1[[#This Row],[Energy Type]]="Solar",Table1[[#This Row],[Energy Type]]="Wind"),"Renewable","Non-Renewable")</f>
        <v>Non-Renewable</v>
      </c>
      <c r="F112">
        <v>101139</v>
      </c>
      <c r="G112">
        <v>63129</v>
      </c>
      <c r="H112">
        <v>280336</v>
      </c>
      <c r="I112">
        <v>1960</v>
      </c>
      <c r="J112" s="8">
        <f>Table1[[#This Row],[Revenue (Crore ₹)]]/Table1[[#This Row],[Employees]]</f>
        <v>143.02857142857144</v>
      </c>
      <c r="K112">
        <v>6.71</v>
      </c>
      <c r="L112">
        <v>4.51</v>
      </c>
      <c r="M112">
        <v>22557</v>
      </c>
      <c r="N112">
        <v>257779</v>
      </c>
      <c r="O112">
        <v>188031</v>
      </c>
      <c r="P112">
        <v>35.520000000000003</v>
      </c>
    </row>
    <row r="113" spans="1:16" x14ac:dyDescent="0.3">
      <c r="A113">
        <v>2025</v>
      </c>
      <c r="B113" t="s">
        <v>23</v>
      </c>
      <c r="C113" t="s">
        <v>34</v>
      </c>
      <c r="D113" t="s">
        <v>25</v>
      </c>
      <c r="E113" t="str">
        <f>IF(OR(Table1[[#This Row],[Energy Type]]="Solar",Table1[[#This Row],[Energy Type]]="Wind"),"Renewable","Non-Renewable")</f>
        <v>Renewable</v>
      </c>
      <c r="F113">
        <v>154012</v>
      </c>
      <c r="G113">
        <v>58367</v>
      </c>
      <c r="H113">
        <v>279529</v>
      </c>
      <c r="I113">
        <v>3395</v>
      </c>
      <c r="J113" s="8">
        <f>Table1[[#This Row],[Revenue (Crore ₹)]]/Table1[[#This Row],[Employees]]</f>
        <v>82.335493372606777</v>
      </c>
      <c r="K113">
        <v>13.4</v>
      </c>
      <c r="L113">
        <v>2.4</v>
      </c>
      <c r="M113">
        <v>16045</v>
      </c>
      <c r="N113">
        <v>263484</v>
      </c>
      <c r="O113">
        <v>183705</v>
      </c>
      <c r="P113">
        <v>13.85</v>
      </c>
    </row>
    <row r="114" spans="1:16" x14ac:dyDescent="0.3">
      <c r="A114">
        <v>2025</v>
      </c>
      <c r="B114" t="s">
        <v>29</v>
      </c>
      <c r="C114" t="s">
        <v>24</v>
      </c>
      <c r="D114" t="s">
        <v>25</v>
      </c>
      <c r="E114" t="str">
        <f>IF(OR(Table1[[#This Row],[Energy Type]]="Solar",Table1[[#This Row],[Energy Type]]="Wind"),"Renewable","Non-Renewable")</f>
        <v>Renewable</v>
      </c>
      <c r="F114">
        <v>37900</v>
      </c>
      <c r="G114">
        <v>10909</v>
      </c>
      <c r="H114">
        <v>30079</v>
      </c>
      <c r="I114">
        <v>6323</v>
      </c>
      <c r="J114" s="8">
        <f>Table1[[#This Row],[Revenue (Crore ₹)]]/Table1[[#This Row],[Employees]]</f>
        <v>4.7570773367072592</v>
      </c>
      <c r="K114">
        <v>15.36</v>
      </c>
      <c r="L114">
        <v>10.02</v>
      </c>
      <c r="M114">
        <v>7282</v>
      </c>
      <c r="N114">
        <v>22797</v>
      </c>
      <c r="O114">
        <v>201270</v>
      </c>
      <c r="P114">
        <v>40.08</v>
      </c>
    </row>
    <row r="115" spans="1:16" x14ac:dyDescent="0.3">
      <c r="A115">
        <v>2023</v>
      </c>
      <c r="B115" t="s">
        <v>30</v>
      </c>
      <c r="C115" t="s">
        <v>18</v>
      </c>
      <c r="D115" t="s">
        <v>20</v>
      </c>
      <c r="E115" t="str">
        <f>IF(OR(Table1[[#This Row],[Energy Type]]="Solar",Table1[[#This Row],[Energy Type]]="Wind"),"Renewable","Non-Renewable")</f>
        <v>Non-Renewable</v>
      </c>
      <c r="F115">
        <v>85638</v>
      </c>
      <c r="G115">
        <v>53587</v>
      </c>
      <c r="H115">
        <v>209794</v>
      </c>
      <c r="I115">
        <v>9806</v>
      </c>
      <c r="J115" s="8">
        <f>Table1[[#This Row],[Revenue (Crore ₹)]]/Table1[[#This Row],[Employees]]</f>
        <v>21.394452376096268</v>
      </c>
      <c r="K115">
        <v>19.72</v>
      </c>
      <c r="L115">
        <v>14.3</v>
      </c>
      <c r="M115">
        <v>18651</v>
      </c>
      <c r="N115">
        <v>191143</v>
      </c>
      <c r="O115">
        <v>266148</v>
      </c>
      <c r="P115">
        <v>61.75</v>
      </c>
    </row>
    <row r="116" spans="1:16" x14ac:dyDescent="0.3">
      <c r="A116">
        <v>2023</v>
      </c>
      <c r="B116" t="s">
        <v>23</v>
      </c>
      <c r="C116" t="s">
        <v>24</v>
      </c>
      <c r="D116" t="s">
        <v>16</v>
      </c>
      <c r="E116" t="str">
        <f>IF(OR(Table1[[#This Row],[Energy Type]]="Solar",Table1[[#This Row],[Energy Type]]="Wind"),"Renewable","Non-Renewable")</f>
        <v>Non-Renewable</v>
      </c>
      <c r="F116">
        <v>195882</v>
      </c>
      <c r="G116">
        <v>81360</v>
      </c>
      <c r="H116">
        <v>22464</v>
      </c>
      <c r="I116">
        <v>9558</v>
      </c>
      <c r="J116" s="8">
        <f>Table1[[#This Row],[Revenue (Crore ₹)]]/Table1[[#This Row],[Employees]]</f>
        <v>2.3502824858757063</v>
      </c>
      <c r="K116">
        <v>4.3499999999999996</v>
      </c>
      <c r="L116">
        <v>8</v>
      </c>
      <c r="M116">
        <v>31682</v>
      </c>
      <c r="N116">
        <v>-9218</v>
      </c>
      <c r="O116">
        <v>145223</v>
      </c>
      <c r="P116">
        <v>64.44</v>
      </c>
    </row>
    <row r="117" spans="1:16" x14ac:dyDescent="0.3">
      <c r="A117">
        <v>2020</v>
      </c>
      <c r="B117" t="s">
        <v>23</v>
      </c>
      <c r="C117" t="s">
        <v>34</v>
      </c>
      <c r="D117" t="s">
        <v>25</v>
      </c>
      <c r="E117" t="str">
        <f>IF(OR(Table1[[#This Row],[Energy Type]]="Solar",Table1[[#This Row],[Energy Type]]="Wind"),"Renewable","Non-Renewable")</f>
        <v>Renewable</v>
      </c>
      <c r="F117">
        <v>125004</v>
      </c>
      <c r="G117">
        <v>54189</v>
      </c>
      <c r="H117">
        <v>136852</v>
      </c>
      <c r="I117">
        <v>4574</v>
      </c>
      <c r="J117" s="8">
        <f>Table1[[#This Row],[Revenue (Crore ₹)]]/Table1[[#This Row],[Employees]]</f>
        <v>29.919545255793615</v>
      </c>
      <c r="K117">
        <v>10.47</v>
      </c>
      <c r="L117">
        <v>14.7</v>
      </c>
      <c r="M117">
        <v>46728</v>
      </c>
      <c r="N117">
        <v>90124</v>
      </c>
      <c r="O117">
        <v>94394</v>
      </c>
      <c r="P117">
        <v>22.22</v>
      </c>
    </row>
    <row r="118" spans="1:16" x14ac:dyDescent="0.3">
      <c r="A118">
        <v>2021</v>
      </c>
      <c r="B118" t="s">
        <v>27</v>
      </c>
      <c r="C118" t="s">
        <v>34</v>
      </c>
      <c r="D118" t="s">
        <v>20</v>
      </c>
      <c r="E118" t="str">
        <f>IF(OR(Table1[[#This Row],[Energy Type]]="Solar",Table1[[#This Row],[Energy Type]]="Wind"),"Renewable","Non-Renewable")</f>
        <v>Non-Renewable</v>
      </c>
      <c r="F118">
        <v>183030</v>
      </c>
      <c r="G118">
        <v>66543</v>
      </c>
      <c r="H118">
        <v>42912</v>
      </c>
      <c r="I118">
        <v>4384</v>
      </c>
      <c r="J118" s="8">
        <f>Table1[[#This Row],[Revenue (Crore ₹)]]/Table1[[#This Row],[Employees]]</f>
        <v>9.7883211678832112</v>
      </c>
      <c r="K118">
        <v>19.23</v>
      </c>
      <c r="L118">
        <v>7.1</v>
      </c>
      <c r="M118">
        <v>3611</v>
      </c>
      <c r="N118">
        <v>39301</v>
      </c>
      <c r="O118">
        <v>69833</v>
      </c>
      <c r="P118">
        <v>17.41</v>
      </c>
    </row>
    <row r="119" spans="1:16" x14ac:dyDescent="0.3">
      <c r="A119">
        <v>2025</v>
      </c>
      <c r="B119" t="s">
        <v>27</v>
      </c>
      <c r="C119" t="s">
        <v>33</v>
      </c>
      <c r="D119" t="s">
        <v>32</v>
      </c>
      <c r="E119" t="str">
        <f>IF(OR(Table1[[#This Row],[Energy Type]]="Solar",Table1[[#This Row],[Energy Type]]="Wind"),"Renewable","Non-Renewable")</f>
        <v>Renewable</v>
      </c>
      <c r="F119">
        <v>142637</v>
      </c>
      <c r="G119">
        <v>29430</v>
      </c>
      <c r="H119">
        <v>54721</v>
      </c>
      <c r="I119">
        <v>3251</v>
      </c>
      <c r="J119" s="8">
        <f>Table1[[#This Row],[Revenue (Crore ₹)]]/Table1[[#This Row],[Employees]]</f>
        <v>16.832051676407261</v>
      </c>
      <c r="K119">
        <v>20.100000000000001</v>
      </c>
      <c r="L119">
        <v>9.3800000000000008</v>
      </c>
      <c r="M119">
        <v>21245</v>
      </c>
      <c r="N119">
        <v>33476</v>
      </c>
      <c r="O119">
        <v>62513</v>
      </c>
      <c r="P119">
        <v>25.21</v>
      </c>
    </row>
    <row r="120" spans="1:16" x14ac:dyDescent="0.3">
      <c r="A120">
        <v>2020</v>
      </c>
      <c r="B120" t="s">
        <v>30</v>
      </c>
      <c r="C120" t="s">
        <v>26</v>
      </c>
      <c r="D120" t="s">
        <v>22</v>
      </c>
      <c r="E120" t="str">
        <f>IF(OR(Table1[[#This Row],[Energy Type]]="Solar",Table1[[#This Row],[Energy Type]]="Wind"),"Renewable","Non-Renewable")</f>
        <v>Non-Renewable</v>
      </c>
      <c r="F120">
        <v>18041</v>
      </c>
      <c r="G120">
        <v>7987</v>
      </c>
      <c r="H120">
        <v>62227</v>
      </c>
      <c r="I120">
        <v>6692</v>
      </c>
      <c r="J120" s="8">
        <f>Table1[[#This Row],[Revenue (Crore ₹)]]/Table1[[#This Row],[Employees]]</f>
        <v>9.2987148834429174</v>
      </c>
      <c r="K120">
        <v>13.06</v>
      </c>
      <c r="L120">
        <v>7.75</v>
      </c>
      <c r="M120">
        <v>43449</v>
      </c>
      <c r="N120">
        <v>18778</v>
      </c>
      <c r="O120">
        <v>208303</v>
      </c>
      <c r="P120">
        <v>69.790000000000006</v>
      </c>
    </row>
    <row r="121" spans="1:16" x14ac:dyDescent="0.3">
      <c r="A121">
        <v>2025</v>
      </c>
      <c r="B121" t="s">
        <v>30</v>
      </c>
      <c r="C121" t="s">
        <v>26</v>
      </c>
      <c r="D121" t="s">
        <v>25</v>
      </c>
      <c r="E121" t="str">
        <f>IF(OR(Table1[[#This Row],[Energy Type]]="Solar",Table1[[#This Row],[Energy Type]]="Wind"),"Renewable","Non-Renewable")</f>
        <v>Renewable</v>
      </c>
      <c r="F121">
        <v>119189</v>
      </c>
      <c r="G121">
        <v>57263</v>
      </c>
      <c r="H121">
        <v>277451</v>
      </c>
      <c r="I121">
        <v>5169</v>
      </c>
      <c r="J121" s="8">
        <f>Table1[[#This Row],[Revenue (Crore ₹)]]/Table1[[#This Row],[Employees]]</f>
        <v>53.675952795511705</v>
      </c>
      <c r="K121">
        <v>22.83</v>
      </c>
      <c r="L121">
        <v>3.04</v>
      </c>
      <c r="M121">
        <v>30322</v>
      </c>
      <c r="N121">
        <v>247129</v>
      </c>
      <c r="O121">
        <v>134964</v>
      </c>
      <c r="P121">
        <v>14.84</v>
      </c>
    </row>
    <row r="122" spans="1:16" x14ac:dyDescent="0.3">
      <c r="A122">
        <v>2024</v>
      </c>
      <c r="B122" t="s">
        <v>14</v>
      </c>
      <c r="C122" t="s">
        <v>34</v>
      </c>
      <c r="D122" t="s">
        <v>22</v>
      </c>
      <c r="E122" t="str">
        <f>IF(OR(Table1[[#This Row],[Energy Type]]="Solar",Table1[[#This Row],[Energy Type]]="Wind"),"Renewable","Non-Renewable")</f>
        <v>Non-Renewable</v>
      </c>
      <c r="F122">
        <v>123348</v>
      </c>
      <c r="G122">
        <v>65802</v>
      </c>
      <c r="H122">
        <v>77270</v>
      </c>
      <c r="I122">
        <v>3635</v>
      </c>
      <c r="J122" s="8">
        <f>Table1[[#This Row],[Revenue (Crore ₹)]]/Table1[[#This Row],[Employees]]</f>
        <v>21.257221458046768</v>
      </c>
      <c r="K122">
        <v>17.91</v>
      </c>
      <c r="L122">
        <v>7.3</v>
      </c>
      <c r="M122">
        <v>28644</v>
      </c>
      <c r="N122">
        <v>48626</v>
      </c>
      <c r="O122">
        <v>259279</v>
      </c>
      <c r="P122">
        <v>14.6</v>
      </c>
    </row>
    <row r="123" spans="1:16" x14ac:dyDescent="0.3">
      <c r="A123">
        <v>2023</v>
      </c>
      <c r="B123" t="s">
        <v>19</v>
      </c>
      <c r="C123" t="s">
        <v>24</v>
      </c>
      <c r="D123" t="s">
        <v>32</v>
      </c>
      <c r="E123" t="str">
        <f>IF(OR(Table1[[#This Row],[Energy Type]]="Solar",Table1[[#This Row],[Energy Type]]="Wind"),"Renewable","Non-Renewable")</f>
        <v>Renewable</v>
      </c>
      <c r="F123">
        <v>72157</v>
      </c>
      <c r="G123">
        <v>24427</v>
      </c>
      <c r="H123">
        <v>251093</v>
      </c>
      <c r="I123">
        <v>6419</v>
      </c>
      <c r="J123" s="8">
        <f>Table1[[#This Row],[Revenue (Crore ₹)]]/Table1[[#This Row],[Employees]]</f>
        <v>39.117152204393207</v>
      </c>
      <c r="K123">
        <v>21.75</v>
      </c>
      <c r="L123">
        <v>14.19</v>
      </c>
      <c r="M123">
        <v>49613</v>
      </c>
      <c r="N123">
        <v>201480</v>
      </c>
      <c r="O123">
        <v>110894</v>
      </c>
      <c r="P123">
        <v>57.77</v>
      </c>
    </row>
    <row r="124" spans="1:16" x14ac:dyDescent="0.3">
      <c r="A124">
        <v>2025</v>
      </c>
      <c r="B124" t="s">
        <v>29</v>
      </c>
      <c r="C124" t="s">
        <v>18</v>
      </c>
      <c r="D124" t="s">
        <v>32</v>
      </c>
      <c r="E124" t="str">
        <f>IF(OR(Table1[[#This Row],[Energy Type]]="Solar",Table1[[#This Row],[Energy Type]]="Wind"),"Renewable","Non-Renewable")</f>
        <v>Renewable</v>
      </c>
      <c r="F124">
        <v>97969</v>
      </c>
      <c r="G124">
        <v>5870</v>
      </c>
      <c r="H124">
        <v>92451</v>
      </c>
      <c r="I124">
        <v>4259</v>
      </c>
      <c r="J124" s="8">
        <f>Table1[[#This Row],[Revenue (Crore ₹)]]/Table1[[#This Row],[Employees]]</f>
        <v>21.707208264850905</v>
      </c>
      <c r="K124">
        <v>2.86</v>
      </c>
      <c r="L124">
        <v>13.09</v>
      </c>
      <c r="M124">
        <v>43449</v>
      </c>
      <c r="N124">
        <v>49002</v>
      </c>
      <c r="O124">
        <v>231663</v>
      </c>
      <c r="P124">
        <v>54.35</v>
      </c>
    </row>
    <row r="125" spans="1:16" x14ac:dyDescent="0.3">
      <c r="A125">
        <v>2023</v>
      </c>
      <c r="B125" t="s">
        <v>29</v>
      </c>
      <c r="C125" t="s">
        <v>33</v>
      </c>
      <c r="D125" t="s">
        <v>32</v>
      </c>
      <c r="E125" t="str">
        <f>IF(OR(Table1[[#This Row],[Energy Type]]="Solar",Table1[[#This Row],[Energy Type]]="Wind"),"Renewable","Non-Renewable")</f>
        <v>Renewable</v>
      </c>
      <c r="F125">
        <v>194744</v>
      </c>
      <c r="G125">
        <v>58729</v>
      </c>
      <c r="H125">
        <v>196376</v>
      </c>
      <c r="I125">
        <v>6633</v>
      </c>
      <c r="J125" s="8">
        <f>Table1[[#This Row],[Revenue (Crore ₹)]]/Table1[[#This Row],[Employees]]</f>
        <v>29.605909844715814</v>
      </c>
      <c r="K125">
        <v>15.36</v>
      </c>
      <c r="L125">
        <v>13.34</v>
      </c>
      <c r="M125">
        <v>22969</v>
      </c>
      <c r="N125">
        <v>173407</v>
      </c>
      <c r="O125">
        <v>223151</v>
      </c>
      <c r="P125">
        <v>27.99</v>
      </c>
    </row>
    <row r="126" spans="1:16" x14ac:dyDescent="0.3">
      <c r="A126">
        <v>2023</v>
      </c>
      <c r="B126" t="s">
        <v>30</v>
      </c>
      <c r="C126" t="s">
        <v>18</v>
      </c>
      <c r="D126" t="s">
        <v>16</v>
      </c>
      <c r="E126" t="str">
        <f>IF(OR(Table1[[#This Row],[Energy Type]]="Solar",Table1[[#This Row],[Energy Type]]="Wind"),"Renewable","Non-Renewable")</f>
        <v>Non-Renewable</v>
      </c>
      <c r="F126">
        <v>156402</v>
      </c>
      <c r="G126">
        <v>118559</v>
      </c>
      <c r="H126">
        <v>48482</v>
      </c>
      <c r="I126">
        <v>9352</v>
      </c>
      <c r="J126" s="8">
        <f>Table1[[#This Row],[Revenue (Crore ₹)]]/Table1[[#This Row],[Employees]]</f>
        <v>5.1841317365269459</v>
      </c>
      <c r="K126">
        <v>22.22</v>
      </c>
      <c r="L126">
        <v>9.09</v>
      </c>
      <c r="M126">
        <v>47279</v>
      </c>
      <c r="N126">
        <v>1203</v>
      </c>
      <c r="O126">
        <v>244950</v>
      </c>
      <c r="P126">
        <v>39.270000000000003</v>
      </c>
    </row>
    <row r="127" spans="1:16" x14ac:dyDescent="0.3">
      <c r="A127">
        <v>2020</v>
      </c>
      <c r="B127" t="s">
        <v>17</v>
      </c>
      <c r="C127" t="s">
        <v>21</v>
      </c>
      <c r="D127" t="s">
        <v>25</v>
      </c>
      <c r="E127" t="str">
        <f>IF(OR(Table1[[#This Row],[Energy Type]]="Solar",Table1[[#This Row],[Energy Type]]="Wind"),"Renewable","Non-Renewable")</f>
        <v>Renewable</v>
      </c>
      <c r="F127">
        <v>177624</v>
      </c>
      <c r="G127">
        <v>58124</v>
      </c>
      <c r="H127">
        <v>30589</v>
      </c>
      <c r="I127">
        <v>2331</v>
      </c>
      <c r="J127" s="8">
        <f>Table1[[#This Row],[Revenue (Crore ₹)]]/Table1[[#This Row],[Employees]]</f>
        <v>13.122694122694122</v>
      </c>
      <c r="K127">
        <v>17.32</v>
      </c>
      <c r="L127">
        <v>11.39</v>
      </c>
      <c r="M127">
        <v>10523</v>
      </c>
      <c r="N127">
        <v>20066</v>
      </c>
      <c r="O127">
        <v>268866</v>
      </c>
      <c r="P127">
        <v>57.76</v>
      </c>
    </row>
    <row r="128" spans="1:16" x14ac:dyDescent="0.3">
      <c r="A128">
        <v>2024</v>
      </c>
      <c r="B128" t="s">
        <v>30</v>
      </c>
      <c r="C128" t="s">
        <v>26</v>
      </c>
      <c r="D128" t="s">
        <v>20</v>
      </c>
      <c r="E128" t="str">
        <f>IF(OR(Table1[[#This Row],[Energy Type]]="Solar",Table1[[#This Row],[Energy Type]]="Wind"),"Renewable","Non-Renewable")</f>
        <v>Non-Renewable</v>
      </c>
      <c r="F128">
        <v>88862</v>
      </c>
      <c r="G128">
        <v>77415</v>
      </c>
      <c r="H128">
        <v>148411</v>
      </c>
      <c r="I128">
        <v>9016</v>
      </c>
      <c r="J128" s="8">
        <f>Table1[[#This Row],[Revenue (Crore ₹)]]/Table1[[#This Row],[Employees]]</f>
        <v>16.460847382431233</v>
      </c>
      <c r="K128">
        <v>13.79</v>
      </c>
      <c r="L128">
        <v>4.47</v>
      </c>
      <c r="M128">
        <v>9500</v>
      </c>
      <c r="N128">
        <v>138911</v>
      </c>
      <c r="O128">
        <v>235776</v>
      </c>
      <c r="P128">
        <v>15.5</v>
      </c>
    </row>
    <row r="129" spans="1:16" x14ac:dyDescent="0.3">
      <c r="A129">
        <v>2022</v>
      </c>
      <c r="B129" t="s">
        <v>19</v>
      </c>
      <c r="C129" t="s">
        <v>21</v>
      </c>
      <c r="D129" t="s">
        <v>16</v>
      </c>
      <c r="E129" t="str">
        <f>IF(OR(Table1[[#This Row],[Energy Type]]="Solar",Table1[[#This Row],[Energy Type]]="Wind"),"Renewable","Non-Renewable")</f>
        <v>Non-Renewable</v>
      </c>
      <c r="F129">
        <v>100226</v>
      </c>
      <c r="G129">
        <v>94616</v>
      </c>
      <c r="H129">
        <v>72268</v>
      </c>
      <c r="I129">
        <v>8437</v>
      </c>
      <c r="J129" s="8">
        <f>Table1[[#This Row],[Revenue (Crore ₹)]]/Table1[[#This Row],[Employees]]</f>
        <v>8.5656038876377867</v>
      </c>
      <c r="K129">
        <v>16.53</v>
      </c>
      <c r="L129">
        <v>4.04</v>
      </c>
      <c r="M129">
        <v>14746</v>
      </c>
      <c r="N129">
        <v>57522</v>
      </c>
      <c r="O129">
        <v>234653</v>
      </c>
      <c r="P129">
        <v>45.44</v>
      </c>
    </row>
    <row r="130" spans="1:16" x14ac:dyDescent="0.3">
      <c r="A130">
        <v>2022</v>
      </c>
      <c r="B130" t="s">
        <v>17</v>
      </c>
      <c r="C130" t="s">
        <v>33</v>
      </c>
      <c r="D130" t="s">
        <v>22</v>
      </c>
      <c r="E130" t="str">
        <f>IF(OR(Table1[[#This Row],[Energy Type]]="Solar",Table1[[#This Row],[Energy Type]]="Wind"),"Renewable","Non-Renewable")</f>
        <v>Non-Renewable</v>
      </c>
      <c r="F130">
        <v>85175</v>
      </c>
      <c r="G130">
        <v>52950</v>
      </c>
      <c r="H130">
        <v>80436</v>
      </c>
      <c r="I130">
        <v>6414</v>
      </c>
      <c r="J130" s="8">
        <f>Table1[[#This Row],[Revenue (Crore ₹)]]/Table1[[#This Row],[Employees]]</f>
        <v>12.540692235734332</v>
      </c>
      <c r="K130">
        <v>3.61</v>
      </c>
      <c r="L130">
        <v>7.58</v>
      </c>
      <c r="M130">
        <v>38052</v>
      </c>
      <c r="N130">
        <v>42384</v>
      </c>
      <c r="O130">
        <v>146393</v>
      </c>
      <c r="P130">
        <v>55.42</v>
      </c>
    </row>
    <row r="131" spans="1:16" x14ac:dyDescent="0.3">
      <c r="A131">
        <v>2024</v>
      </c>
      <c r="B131" t="s">
        <v>14</v>
      </c>
      <c r="C131" t="s">
        <v>28</v>
      </c>
      <c r="D131" t="s">
        <v>20</v>
      </c>
      <c r="E131" t="str">
        <f>IF(OR(Table1[[#This Row],[Energy Type]]="Solar",Table1[[#This Row],[Energy Type]]="Wind"),"Renewable","Non-Renewable")</f>
        <v>Non-Renewable</v>
      </c>
      <c r="F131">
        <v>152919</v>
      </c>
      <c r="G131">
        <v>29753</v>
      </c>
      <c r="H131">
        <v>263834</v>
      </c>
      <c r="I131">
        <v>4934</v>
      </c>
      <c r="J131" s="8">
        <f>Table1[[#This Row],[Revenue (Crore ₹)]]/Table1[[#This Row],[Employees]]</f>
        <v>53.472638832590192</v>
      </c>
      <c r="K131">
        <v>12.05</v>
      </c>
      <c r="L131">
        <v>5.21</v>
      </c>
      <c r="M131">
        <v>9255</v>
      </c>
      <c r="N131">
        <v>254579</v>
      </c>
      <c r="O131">
        <v>171302</v>
      </c>
      <c r="P131">
        <v>10.87</v>
      </c>
    </row>
    <row r="132" spans="1:16" x14ac:dyDescent="0.3">
      <c r="A132">
        <v>2022</v>
      </c>
      <c r="B132" t="s">
        <v>17</v>
      </c>
      <c r="C132" t="s">
        <v>34</v>
      </c>
      <c r="D132" t="s">
        <v>16</v>
      </c>
      <c r="E132" t="str">
        <f>IF(OR(Table1[[#This Row],[Energy Type]]="Solar",Table1[[#This Row],[Energy Type]]="Wind"),"Renewable","Non-Renewable")</f>
        <v>Non-Renewable</v>
      </c>
      <c r="F132">
        <v>38582</v>
      </c>
      <c r="G132">
        <v>26995</v>
      </c>
      <c r="H132">
        <v>242088</v>
      </c>
      <c r="I132">
        <v>9680</v>
      </c>
      <c r="J132" s="8">
        <f>Table1[[#This Row],[Revenue (Crore ₹)]]/Table1[[#This Row],[Employees]]</f>
        <v>25.009090909090908</v>
      </c>
      <c r="K132">
        <v>15.25</v>
      </c>
      <c r="L132">
        <v>12.28</v>
      </c>
      <c r="M132">
        <v>10402</v>
      </c>
      <c r="N132">
        <v>231686</v>
      </c>
      <c r="O132">
        <v>196948</v>
      </c>
      <c r="P132">
        <v>48.6</v>
      </c>
    </row>
    <row r="133" spans="1:16" x14ac:dyDescent="0.3">
      <c r="A133">
        <v>2025</v>
      </c>
      <c r="B133" t="s">
        <v>23</v>
      </c>
      <c r="C133" t="s">
        <v>33</v>
      </c>
      <c r="D133" t="s">
        <v>16</v>
      </c>
      <c r="E133" t="str">
        <f>IF(OR(Table1[[#This Row],[Energy Type]]="Solar",Table1[[#This Row],[Energy Type]]="Wind"),"Renewable","Non-Renewable")</f>
        <v>Non-Renewable</v>
      </c>
      <c r="F133">
        <v>145676</v>
      </c>
      <c r="G133">
        <v>39781</v>
      </c>
      <c r="H133">
        <v>173122</v>
      </c>
      <c r="I133">
        <v>2307</v>
      </c>
      <c r="J133" s="8">
        <f>Table1[[#This Row],[Revenue (Crore ₹)]]/Table1[[#This Row],[Employees]]</f>
        <v>75.042045947117472</v>
      </c>
      <c r="K133">
        <v>2.4</v>
      </c>
      <c r="L133">
        <v>13.73</v>
      </c>
      <c r="M133">
        <v>9937</v>
      </c>
      <c r="N133">
        <v>163185</v>
      </c>
      <c r="O133">
        <v>18037</v>
      </c>
      <c r="P133">
        <v>42.23</v>
      </c>
    </row>
    <row r="134" spans="1:16" x14ac:dyDescent="0.3">
      <c r="A134">
        <v>2024</v>
      </c>
      <c r="B134" t="s">
        <v>14</v>
      </c>
      <c r="C134" t="s">
        <v>18</v>
      </c>
      <c r="D134" t="s">
        <v>16</v>
      </c>
      <c r="E134" t="str">
        <f>IF(OR(Table1[[#This Row],[Energy Type]]="Solar",Table1[[#This Row],[Energy Type]]="Wind"),"Renewable","Non-Renewable")</f>
        <v>Non-Renewable</v>
      </c>
      <c r="F134">
        <v>71757</v>
      </c>
      <c r="G134">
        <v>55147</v>
      </c>
      <c r="H134">
        <v>191767</v>
      </c>
      <c r="I134">
        <v>8944</v>
      </c>
      <c r="J134" s="8">
        <f>Table1[[#This Row],[Revenue (Crore ₹)]]/Table1[[#This Row],[Employees]]</f>
        <v>21.440854203935601</v>
      </c>
      <c r="K134">
        <v>20.51</v>
      </c>
      <c r="L134">
        <v>7.64</v>
      </c>
      <c r="M134">
        <v>20500</v>
      </c>
      <c r="N134">
        <v>171267</v>
      </c>
      <c r="O134">
        <v>191989</v>
      </c>
      <c r="P134">
        <v>10.52</v>
      </c>
    </row>
    <row r="135" spans="1:16" x14ac:dyDescent="0.3">
      <c r="A135">
        <v>2023</v>
      </c>
      <c r="B135" t="s">
        <v>23</v>
      </c>
      <c r="C135" t="s">
        <v>33</v>
      </c>
      <c r="D135" t="s">
        <v>22</v>
      </c>
      <c r="E135" t="str">
        <f>IF(OR(Table1[[#This Row],[Energy Type]]="Solar",Table1[[#This Row],[Energy Type]]="Wind"),"Renewable","Non-Renewable")</f>
        <v>Non-Renewable</v>
      </c>
      <c r="F135">
        <v>113889</v>
      </c>
      <c r="G135">
        <v>63593</v>
      </c>
      <c r="H135">
        <v>132193</v>
      </c>
      <c r="I135">
        <v>577</v>
      </c>
      <c r="J135" s="8">
        <f>Table1[[#This Row],[Revenue (Crore ₹)]]/Table1[[#This Row],[Employees]]</f>
        <v>229.10398613518197</v>
      </c>
      <c r="K135">
        <v>7.77</v>
      </c>
      <c r="L135">
        <v>3.44</v>
      </c>
      <c r="M135">
        <v>42496</v>
      </c>
      <c r="N135">
        <v>89697</v>
      </c>
      <c r="O135">
        <v>212321</v>
      </c>
      <c r="P135">
        <v>53.11</v>
      </c>
    </row>
    <row r="136" spans="1:16" x14ac:dyDescent="0.3">
      <c r="A136">
        <v>2025</v>
      </c>
      <c r="B136" t="s">
        <v>27</v>
      </c>
      <c r="C136" t="s">
        <v>15</v>
      </c>
      <c r="D136" t="s">
        <v>20</v>
      </c>
      <c r="E136" t="str">
        <f>IF(OR(Table1[[#This Row],[Energy Type]]="Solar",Table1[[#This Row],[Energy Type]]="Wind"),"Renewable","Non-Renewable")</f>
        <v>Non-Renewable</v>
      </c>
      <c r="F136">
        <v>178378</v>
      </c>
      <c r="G136">
        <v>119094</v>
      </c>
      <c r="H136">
        <v>31589</v>
      </c>
      <c r="I136">
        <v>9755</v>
      </c>
      <c r="J136" s="8">
        <f>Table1[[#This Row],[Revenue (Crore ₹)]]/Table1[[#This Row],[Employees]]</f>
        <v>3.2382368016401846</v>
      </c>
      <c r="K136">
        <v>15.61</v>
      </c>
      <c r="L136">
        <v>1.22</v>
      </c>
      <c r="M136">
        <v>45889</v>
      </c>
      <c r="N136">
        <v>-14300</v>
      </c>
      <c r="O136">
        <v>130248</v>
      </c>
      <c r="P136">
        <v>35.47</v>
      </c>
    </row>
    <row r="137" spans="1:16" x14ac:dyDescent="0.3">
      <c r="A137">
        <v>2021</v>
      </c>
      <c r="B137" t="s">
        <v>17</v>
      </c>
      <c r="C137" t="s">
        <v>24</v>
      </c>
      <c r="D137" t="s">
        <v>22</v>
      </c>
      <c r="E137" t="str">
        <f>IF(OR(Table1[[#This Row],[Energy Type]]="Solar",Table1[[#This Row],[Energy Type]]="Wind"),"Renewable","Non-Renewable")</f>
        <v>Non-Renewable</v>
      </c>
      <c r="F137">
        <v>18353</v>
      </c>
      <c r="G137">
        <v>11529</v>
      </c>
      <c r="H137">
        <v>11256</v>
      </c>
      <c r="I137">
        <v>7585</v>
      </c>
      <c r="J137" s="8">
        <f>Table1[[#This Row],[Revenue (Crore ₹)]]/Table1[[#This Row],[Employees]]</f>
        <v>1.483981542518128</v>
      </c>
      <c r="K137">
        <v>19</v>
      </c>
      <c r="L137">
        <v>12.47</v>
      </c>
      <c r="M137">
        <v>14618</v>
      </c>
      <c r="N137">
        <v>-3362</v>
      </c>
      <c r="O137">
        <v>155751</v>
      </c>
      <c r="P137">
        <v>77</v>
      </c>
    </row>
    <row r="138" spans="1:16" x14ac:dyDescent="0.3">
      <c r="A138">
        <v>2024</v>
      </c>
      <c r="B138" t="s">
        <v>30</v>
      </c>
      <c r="C138" t="s">
        <v>28</v>
      </c>
      <c r="D138" t="s">
        <v>22</v>
      </c>
      <c r="E138" t="str">
        <f>IF(OR(Table1[[#This Row],[Energy Type]]="Solar",Table1[[#This Row],[Energy Type]]="Wind"),"Renewable","Non-Renewable")</f>
        <v>Non-Renewable</v>
      </c>
      <c r="F138">
        <v>44594</v>
      </c>
      <c r="G138">
        <v>42822</v>
      </c>
      <c r="H138">
        <v>109524</v>
      </c>
      <c r="I138">
        <v>6923</v>
      </c>
      <c r="J138" s="8">
        <f>Table1[[#This Row],[Revenue (Crore ₹)]]/Table1[[#This Row],[Employees]]</f>
        <v>15.820309114545717</v>
      </c>
      <c r="K138">
        <v>18.760000000000002</v>
      </c>
      <c r="L138">
        <v>5.72</v>
      </c>
      <c r="M138">
        <v>23208</v>
      </c>
      <c r="N138">
        <v>86316</v>
      </c>
      <c r="O138">
        <v>260496</v>
      </c>
      <c r="P138">
        <v>8.7200000000000006</v>
      </c>
    </row>
    <row r="139" spans="1:16" x14ac:dyDescent="0.3">
      <c r="A139">
        <v>2024</v>
      </c>
      <c r="B139" t="s">
        <v>30</v>
      </c>
      <c r="C139" t="s">
        <v>18</v>
      </c>
      <c r="D139" t="s">
        <v>25</v>
      </c>
      <c r="E139" t="str">
        <f>IF(OR(Table1[[#This Row],[Energy Type]]="Solar",Table1[[#This Row],[Energy Type]]="Wind"),"Renewable","Non-Renewable")</f>
        <v>Renewable</v>
      </c>
      <c r="F139">
        <v>4786</v>
      </c>
      <c r="G139">
        <v>3073</v>
      </c>
      <c r="H139">
        <v>173291</v>
      </c>
      <c r="I139">
        <v>2972</v>
      </c>
      <c r="J139" s="8">
        <f>Table1[[#This Row],[Revenue (Crore ₹)]]/Table1[[#This Row],[Employees]]</f>
        <v>58.3078734858681</v>
      </c>
      <c r="K139">
        <v>4.8</v>
      </c>
      <c r="L139">
        <v>9.67</v>
      </c>
      <c r="M139">
        <v>27692</v>
      </c>
      <c r="N139">
        <v>145599</v>
      </c>
      <c r="O139">
        <v>264415</v>
      </c>
      <c r="P139">
        <v>34.909999999999997</v>
      </c>
    </row>
    <row r="140" spans="1:16" x14ac:dyDescent="0.3">
      <c r="A140">
        <v>2023</v>
      </c>
      <c r="B140" t="s">
        <v>19</v>
      </c>
      <c r="C140" t="s">
        <v>24</v>
      </c>
      <c r="D140" t="s">
        <v>20</v>
      </c>
      <c r="E140" t="str">
        <f>IF(OR(Table1[[#This Row],[Energy Type]]="Solar",Table1[[#This Row],[Energy Type]]="Wind"),"Renewable","Non-Renewable")</f>
        <v>Non-Renewable</v>
      </c>
      <c r="F140">
        <v>45722</v>
      </c>
      <c r="G140">
        <v>19677</v>
      </c>
      <c r="H140">
        <v>266659</v>
      </c>
      <c r="I140">
        <v>2007</v>
      </c>
      <c r="J140" s="8">
        <f>Table1[[#This Row],[Revenue (Crore ₹)]]/Table1[[#This Row],[Employees]]</f>
        <v>132.86447433981067</v>
      </c>
      <c r="K140">
        <v>14.08</v>
      </c>
      <c r="L140">
        <v>6.65</v>
      </c>
      <c r="M140">
        <v>46246</v>
      </c>
      <c r="N140">
        <v>220413</v>
      </c>
      <c r="O140">
        <v>285530</v>
      </c>
      <c r="P140">
        <v>12.98</v>
      </c>
    </row>
    <row r="141" spans="1:16" x14ac:dyDescent="0.3">
      <c r="A141">
        <v>2020</v>
      </c>
      <c r="B141" t="s">
        <v>29</v>
      </c>
      <c r="C141" t="s">
        <v>26</v>
      </c>
      <c r="D141" t="s">
        <v>32</v>
      </c>
      <c r="E141" t="str">
        <f>IF(OR(Table1[[#This Row],[Energy Type]]="Solar",Table1[[#This Row],[Energy Type]]="Wind"),"Renewable","Non-Renewable")</f>
        <v>Renewable</v>
      </c>
      <c r="F141">
        <v>108806</v>
      </c>
      <c r="G141">
        <v>104132</v>
      </c>
      <c r="H141">
        <v>219800</v>
      </c>
      <c r="I141">
        <v>9855</v>
      </c>
      <c r="J141" s="8">
        <f>Table1[[#This Row],[Revenue (Crore ₹)]]/Table1[[#This Row],[Employees]]</f>
        <v>22.303399289700661</v>
      </c>
      <c r="K141">
        <v>10.88</v>
      </c>
      <c r="L141">
        <v>12.44</v>
      </c>
      <c r="M141">
        <v>40329</v>
      </c>
      <c r="N141">
        <v>179471</v>
      </c>
      <c r="O141">
        <v>197080</v>
      </c>
      <c r="P141">
        <v>31.72</v>
      </c>
    </row>
    <row r="142" spans="1:16" x14ac:dyDescent="0.3">
      <c r="A142">
        <v>2025</v>
      </c>
      <c r="B142" t="s">
        <v>30</v>
      </c>
      <c r="C142" t="s">
        <v>28</v>
      </c>
      <c r="D142" t="s">
        <v>25</v>
      </c>
      <c r="E142" t="str">
        <f>IF(OR(Table1[[#This Row],[Energy Type]]="Solar",Table1[[#This Row],[Energy Type]]="Wind"),"Renewable","Non-Renewable")</f>
        <v>Renewable</v>
      </c>
      <c r="F142">
        <v>180076</v>
      </c>
      <c r="G142">
        <v>35338</v>
      </c>
      <c r="H142">
        <v>31838</v>
      </c>
      <c r="I142">
        <v>1520</v>
      </c>
      <c r="J142" s="8">
        <f>Table1[[#This Row],[Revenue (Crore ₹)]]/Table1[[#This Row],[Employees]]</f>
        <v>20.946052631578947</v>
      </c>
      <c r="K142">
        <v>16.43</v>
      </c>
      <c r="L142">
        <v>12.98</v>
      </c>
      <c r="M142">
        <v>11831</v>
      </c>
      <c r="N142">
        <v>20007</v>
      </c>
      <c r="O142">
        <v>253594</v>
      </c>
      <c r="P142">
        <v>20.25</v>
      </c>
    </row>
    <row r="143" spans="1:16" x14ac:dyDescent="0.3">
      <c r="A143">
        <v>2022</v>
      </c>
      <c r="B143" t="s">
        <v>17</v>
      </c>
      <c r="C143" t="s">
        <v>21</v>
      </c>
      <c r="D143" t="s">
        <v>22</v>
      </c>
      <c r="E143" t="str">
        <f>IF(OR(Table1[[#This Row],[Energy Type]]="Solar",Table1[[#This Row],[Energy Type]]="Wind"),"Renewable","Non-Renewable")</f>
        <v>Non-Renewable</v>
      </c>
      <c r="F143">
        <v>94408</v>
      </c>
      <c r="G143">
        <v>49031</v>
      </c>
      <c r="H143">
        <v>148233</v>
      </c>
      <c r="I143">
        <v>1238</v>
      </c>
      <c r="J143" s="8">
        <f>Table1[[#This Row],[Revenue (Crore ₹)]]/Table1[[#This Row],[Employees]]</f>
        <v>119.73586429725364</v>
      </c>
      <c r="K143">
        <v>24.43</v>
      </c>
      <c r="L143">
        <v>12.41</v>
      </c>
      <c r="M143">
        <v>28983</v>
      </c>
      <c r="N143">
        <v>119250</v>
      </c>
      <c r="O143">
        <v>189270</v>
      </c>
      <c r="P143">
        <v>76.209999999999994</v>
      </c>
    </row>
    <row r="144" spans="1:16" x14ac:dyDescent="0.3">
      <c r="A144">
        <v>2021</v>
      </c>
      <c r="B144" t="s">
        <v>27</v>
      </c>
      <c r="C144" t="s">
        <v>28</v>
      </c>
      <c r="D144" t="s">
        <v>25</v>
      </c>
      <c r="E144" t="str">
        <f>IF(OR(Table1[[#This Row],[Energy Type]]="Solar",Table1[[#This Row],[Energy Type]]="Wind"),"Renewable","Non-Renewable")</f>
        <v>Renewable</v>
      </c>
      <c r="F144">
        <v>152559</v>
      </c>
      <c r="G144">
        <v>30512</v>
      </c>
      <c r="H144">
        <v>109474</v>
      </c>
      <c r="I144">
        <v>3574</v>
      </c>
      <c r="J144" s="8">
        <f>Table1[[#This Row],[Revenue (Crore ₹)]]/Table1[[#This Row],[Employees]]</f>
        <v>30.630665920537215</v>
      </c>
      <c r="K144">
        <v>22.9</v>
      </c>
      <c r="L144">
        <v>12.28</v>
      </c>
      <c r="M144">
        <v>14674</v>
      </c>
      <c r="N144">
        <v>94800</v>
      </c>
      <c r="O144">
        <v>288854</v>
      </c>
      <c r="P144">
        <v>67.12</v>
      </c>
    </row>
    <row r="145" spans="1:16" x14ac:dyDescent="0.3">
      <c r="A145">
        <v>2023</v>
      </c>
      <c r="B145" t="s">
        <v>23</v>
      </c>
      <c r="C145" t="s">
        <v>15</v>
      </c>
      <c r="D145" t="s">
        <v>20</v>
      </c>
      <c r="E145" t="str">
        <f>IF(OR(Table1[[#This Row],[Energy Type]]="Solar",Table1[[#This Row],[Energy Type]]="Wind"),"Renewable","Non-Renewable")</f>
        <v>Non-Renewable</v>
      </c>
      <c r="F145">
        <v>172966</v>
      </c>
      <c r="G145">
        <v>119972</v>
      </c>
      <c r="H145">
        <v>271643</v>
      </c>
      <c r="I145">
        <v>6727</v>
      </c>
      <c r="J145" s="8">
        <f>Table1[[#This Row],[Revenue (Crore ₹)]]/Table1[[#This Row],[Employees]]</f>
        <v>40.381001932510777</v>
      </c>
      <c r="K145">
        <v>10.26</v>
      </c>
      <c r="L145">
        <v>8.74</v>
      </c>
      <c r="M145">
        <v>38108</v>
      </c>
      <c r="N145">
        <v>233535</v>
      </c>
      <c r="O145">
        <v>130529</v>
      </c>
      <c r="P145">
        <v>35.020000000000003</v>
      </c>
    </row>
    <row r="146" spans="1:16" x14ac:dyDescent="0.3">
      <c r="A146">
        <v>2020</v>
      </c>
      <c r="B146" t="s">
        <v>23</v>
      </c>
      <c r="C146" t="s">
        <v>26</v>
      </c>
      <c r="D146" t="s">
        <v>22</v>
      </c>
      <c r="E146" t="str">
        <f>IF(OR(Table1[[#This Row],[Energy Type]]="Solar",Table1[[#This Row],[Energy Type]]="Wind"),"Renewable","Non-Renewable")</f>
        <v>Non-Renewable</v>
      </c>
      <c r="F146">
        <v>13363</v>
      </c>
      <c r="G146">
        <v>3173</v>
      </c>
      <c r="H146">
        <v>267059</v>
      </c>
      <c r="I146">
        <v>9912</v>
      </c>
      <c r="J146" s="8">
        <f>Table1[[#This Row],[Revenue (Crore ₹)]]/Table1[[#This Row],[Employees]]</f>
        <v>26.942998385794997</v>
      </c>
      <c r="K146">
        <v>21.4</v>
      </c>
      <c r="L146">
        <v>9.35</v>
      </c>
      <c r="M146">
        <v>13097</v>
      </c>
      <c r="N146">
        <v>253962</v>
      </c>
      <c r="O146">
        <v>144183</v>
      </c>
      <c r="P146">
        <v>69.569999999999993</v>
      </c>
    </row>
    <row r="147" spans="1:16" x14ac:dyDescent="0.3">
      <c r="A147">
        <v>2023</v>
      </c>
      <c r="B147" t="s">
        <v>19</v>
      </c>
      <c r="C147" t="s">
        <v>26</v>
      </c>
      <c r="D147" t="s">
        <v>22</v>
      </c>
      <c r="E147" t="str">
        <f>IF(OR(Table1[[#This Row],[Energy Type]]="Solar",Table1[[#This Row],[Energy Type]]="Wind"),"Renewable","Non-Renewable")</f>
        <v>Non-Renewable</v>
      </c>
      <c r="F147">
        <v>130772</v>
      </c>
      <c r="G147">
        <v>86049</v>
      </c>
      <c r="H147">
        <v>132537</v>
      </c>
      <c r="I147">
        <v>1219</v>
      </c>
      <c r="J147" s="8">
        <f>Table1[[#This Row],[Revenue (Crore ₹)]]/Table1[[#This Row],[Employees]]</f>
        <v>108.72600492206726</v>
      </c>
      <c r="K147">
        <v>15.79</v>
      </c>
      <c r="L147">
        <v>7.79</v>
      </c>
      <c r="M147">
        <v>29749</v>
      </c>
      <c r="N147">
        <v>102788</v>
      </c>
      <c r="O147">
        <v>13494</v>
      </c>
      <c r="P147">
        <v>10.97</v>
      </c>
    </row>
    <row r="148" spans="1:16" x14ac:dyDescent="0.3">
      <c r="A148">
        <v>2020</v>
      </c>
      <c r="B148" t="s">
        <v>14</v>
      </c>
      <c r="C148" t="s">
        <v>15</v>
      </c>
      <c r="D148" t="s">
        <v>25</v>
      </c>
      <c r="E148" t="str">
        <f>IF(OR(Table1[[#This Row],[Energy Type]]="Solar",Table1[[#This Row],[Energy Type]]="Wind"),"Renewable","Non-Renewable")</f>
        <v>Renewable</v>
      </c>
      <c r="F148">
        <v>78050</v>
      </c>
      <c r="G148">
        <v>20035</v>
      </c>
      <c r="H148">
        <v>91915</v>
      </c>
      <c r="I148">
        <v>1304</v>
      </c>
      <c r="J148" s="8">
        <f>Table1[[#This Row],[Revenue (Crore ₹)]]/Table1[[#This Row],[Employees]]</f>
        <v>70.486963190184042</v>
      </c>
      <c r="K148">
        <v>5.33</v>
      </c>
      <c r="L148">
        <v>8.09</v>
      </c>
      <c r="M148">
        <v>42275</v>
      </c>
      <c r="N148">
        <v>49640</v>
      </c>
      <c r="O148">
        <v>233067</v>
      </c>
      <c r="P148">
        <v>43.94</v>
      </c>
    </row>
    <row r="149" spans="1:16" x14ac:dyDescent="0.3">
      <c r="A149">
        <v>2021</v>
      </c>
      <c r="B149" t="s">
        <v>31</v>
      </c>
      <c r="C149" t="s">
        <v>33</v>
      </c>
      <c r="D149" t="s">
        <v>16</v>
      </c>
      <c r="E149" t="str">
        <f>IF(OR(Table1[[#This Row],[Energy Type]]="Solar",Table1[[#This Row],[Energy Type]]="Wind"),"Renewable","Non-Renewable")</f>
        <v>Non-Renewable</v>
      </c>
      <c r="F149">
        <v>16098</v>
      </c>
      <c r="G149">
        <v>6073</v>
      </c>
      <c r="H149">
        <v>71597</v>
      </c>
      <c r="I149">
        <v>2840</v>
      </c>
      <c r="J149" s="8">
        <f>Table1[[#This Row],[Revenue (Crore ₹)]]/Table1[[#This Row],[Employees]]</f>
        <v>25.210211267605633</v>
      </c>
      <c r="K149">
        <v>10.210000000000001</v>
      </c>
      <c r="L149">
        <v>2.29</v>
      </c>
      <c r="M149">
        <v>5198</v>
      </c>
      <c r="N149">
        <v>66399</v>
      </c>
      <c r="O149">
        <v>48071</v>
      </c>
      <c r="P149">
        <v>49.75</v>
      </c>
    </row>
    <row r="150" spans="1:16" x14ac:dyDescent="0.3">
      <c r="A150">
        <v>2022</v>
      </c>
      <c r="B150" t="s">
        <v>23</v>
      </c>
      <c r="C150" t="s">
        <v>18</v>
      </c>
      <c r="D150" t="s">
        <v>22</v>
      </c>
      <c r="E150" t="str">
        <f>IF(OR(Table1[[#This Row],[Energy Type]]="Solar",Table1[[#This Row],[Energy Type]]="Wind"),"Renewable","Non-Renewable")</f>
        <v>Non-Renewable</v>
      </c>
      <c r="F150">
        <v>59672</v>
      </c>
      <c r="G150">
        <v>29256</v>
      </c>
      <c r="H150">
        <v>77512</v>
      </c>
      <c r="I150">
        <v>6303</v>
      </c>
      <c r="J150" s="8">
        <f>Table1[[#This Row],[Revenue (Crore ₹)]]/Table1[[#This Row],[Employees]]</f>
        <v>12.297636046327145</v>
      </c>
      <c r="K150">
        <v>13.34</v>
      </c>
      <c r="L150">
        <v>5.09</v>
      </c>
      <c r="M150">
        <v>33130</v>
      </c>
      <c r="N150">
        <v>44382</v>
      </c>
      <c r="O150">
        <v>216693</v>
      </c>
      <c r="P150">
        <v>78.92</v>
      </c>
    </row>
    <row r="151" spans="1:16" x14ac:dyDescent="0.3">
      <c r="A151">
        <v>2024</v>
      </c>
      <c r="B151" t="s">
        <v>31</v>
      </c>
      <c r="C151" t="s">
        <v>33</v>
      </c>
      <c r="D151" t="s">
        <v>20</v>
      </c>
      <c r="E151" t="str">
        <f>IF(OR(Table1[[#This Row],[Energy Type]]="Solar",Table1[[#This Row],[Energy Type]]="Wind"),"Renewable","Non-Renewable")</f>
        <v>Non-Renewable</v>
      </c>
      <c r="F151">
        <v>122087</v>
      </c>
      <c r="G151">
        <v>16238</v>
      </c>
      <c r="H151">
        <v>91110</v>
      </c>
      <c r="I151">
        <v>5320</v>
      </c>
      <c r="J151" s="8">
        <f>Table1[[#This Row],[Revenue (Crore ₹)]]/Table1[[#This Row],[Employees]]</f>
        <v>17.125939849624061</v>
      </c>
      <c r="K151">
        <v>18.920000000000002</v>
      </c>
      <c r="L151">
        <v>12.84</v>
      </c>
      <c r="M151">
        <v>12076</v>
      </c>
      <c r="N151">
        <v>79034</v>
      </c>
      <c r="O151">
        <v>154502</v>
      </c>
      <c r="P151">
        <v>61.39</v>
      </c>
    </row>
    <row r="152" spans="1:16" x14ac:dyDescent="0.3">
      <c r="A152">
        <v>2023</v>
      </c>
      <c r="B152" t="s">
        <v>17</v>
      </c>
      <c r="C152" t="s">
        <v>28</v>
      </c>
      <c r="D152" t="s">
        <v>22</v>
      </c>
      <c r="E152" t="str">
        <f>IF(OR(Table1[[#This Row],[Energy Type]]="Solar",Table1[[#This Row],[Energy Type]]="Wind"),"Renewable","Non-Renewable")</f>
        <v>Non-Renewable</v>
      </c>
      <c r="F152">
        <v>134155</v>
      </c>
      <c r="G152">
        <v>61790</v>
      </c>
      <c r="H152">
        <v>132012</v>
      </c>
      <c r="I152">
        <v>2850</v>
      </c>
      <c r="J152" s="8">
        <f>Table1[[#This Row],[Revenue (Crore ₹)]]/Table1[[#This Row],[Employees]]</f>
        <v>46.32</v>
      </c>
      <c r="K152">
        <v>7.94</v>
      </c>
      <c r="L152">
        <v>10.61</v>
      </c>
      <c r="M152">
        <v>12852</v>
      </c>
      <c r="N152">
        <v>119160</v>
      </c>
      <c r="O152">
        <v>290815</v>
      </c>
      <c r="P152">
        <v>78.010000000000005</v>
      </c>
    </row>
    <row r="153" spans="1:16" x14ac:dyDescent="0.3">
      <c r="A153">
        <v>2020</v>
      </c>
      <c r="B153" t="s">
        <v>19</v>
      </c>
      <c r="C153" t="s">
        <v>15</v>
      </c>
      <c r="D153" t="s">
        <v>25</v>
      </c>
      <c r="E153" t="str">
        <f>IF(OR(Table1[[#This Row],[Energy Type]]="Solar",Table1[[#This Row],[Energy Type]]="Wind"),"Renewable","Non-Renewable")</f>
        <v>Renewable</v>
      </c>
      <c r="F153">
        <v>173591</v>
      </c>
      <c r="G153">
        <v>125193</v>
      </c>
      <c r="H153">
        <v>247836</v>
      </c>
      <c r="I153">
        <v>2686</v>
      </c>
      <c r="J153" s="8">
        <f>Table1[[#This Row],[Revenue (Crore ₹)]]/Table1[[#This Row],[Employees]]</f>
        <v>92.269545793000745</v>
      </c>
      <c r="K153">
        <v>14</v>
      </c>
      <c r="L153">
        <v>1.27</v>
      </c>
      <c r="M153">
        <v>12829</v>
      </c>
      <c r="N153">
        <v>235007</v>
      </c>
      <c r="O153">
        <v>197218</v>
      </c>
      <c r="P153">
        <v>10.199999999999999</v>
      </c>
    </row>
    <row r="154" spans="1:16" x14ac:dyDescent="0.3">
      <c r="A154">
        <v>2024</v>
      </c>
      <c r="B154" t="s">
        <v>23</v>
      </c>
      <c r="C154" t="s">
        <v>24</v>
      </c>
      <c r="D154" t="s">
        <v>16</v>
      </c>
      <c r="E154" t="str">
        <f>IF(OR(Table1[[#This Row],[Energy Type]]="Solar",Table1[[#This Row],[Energy Type]]="Wind"),"Renewable","Non-Renewable")</f>
        <v>Non-Renewable</v>
      </c>
      <c r="F154">
        <v>58436</v>
      </c>
      <c r="G154">
        <v>33235</v>
      </c>
      <c r="H154">
        <v>157436</v>
      </c>
      <c r="I154">
        <v>5431</v>
      </c>
      <c r="J154" s="8">
        <f>Table1[[#This Row],[Revenue (Crore ₹)]]/Table1[[#This Row],[Employees]]</f>
        <v>28.988399926348738</v>
      </c>
      <c r="K154">
        <v>7.67</v>
      </c>
      <c r="L154">
        <v>11.98</v>
      </c>
      <c r="M154">
        <v>35626</v>
      </c>
      <c r="N154">
        <v>121810</v>
      </c>
      <c r="O154">
        <v>250819</v>
      </c>
      <c r="P154">
        <v>66.97</v>
      </c>
    </row>
    <row r="155" spans="1:16" x14ac:dyDescent="0.3">
      <c r="A155">
        <v>2020</v>
      </c>
      <c r="B155" t="s">
        <v>19</v>
      </c>
      <c r="C155" t="s">
        <v>18</v>
      </c>
      <c r="D155" t="s">
        <v>32</v>
      </c>
      <c r="E155" t="str">
        <f>IF(OR(Table1[[#This Row],[Energy Type]]="Solar",Table1[[#This Row],[Energy Type]]="Wind"),"Renewable","Non-Renewable")</f>
        <v>Renewable</v>
      </c>
      <c r="F155">
        <v>125657</v>
      </c>
      <c r="G155">
        <v>3258</v>
      </c>
      <c r="H155">
        <v>131247</v>
      </c>
      <c r="I155">
        <v>8076</v>
      </c>
      <c r="J155" s="8">
        <f>Table1[[#This Row],[Revenue (Crore ₹)]]/Table1[[#This Row],[Employees]]</f>
        <v>16.25148588410104</v>
      </c>
      <c r="K155">
        <v>12.3</v>
      </c>
      <c r="L155">
        <v>12.68</v>
      </c>
      <c r="M155">
        <v>28886</v>
      </c>
      <c r="N155">
        <v>102361</v>
      </c>
      <c r="O155">
        <v>299677</v>
      </c>
      <c r="P155">
        <v>62.96</v>
      </c>
    </row>
    <row r="156" spans="1:16" x14ac:dyDescent="0.3">
      <c r="A156">
        <v>2024</v>
      </c>
      <c r="B156" t="s">
        <v>17</v>
      </c>
      <c r="C156" t="s">
        <v>18</v>
      </c>
      <c r="D156" t="s">
        <v>32</v>
      </c>
      <c r="E156" t="str">
        <f>IF(OR(Table1[[#This Row],[Energy Type]]="Solar",Table1[[#This Row],[Energy Type]]="Wind"),"Renewable","Non-Renewable")</f>
        <v>Renewable</v>
      </c>
      <c r="F156">
        <v>80276</v>
      </c>
      <c r="G156">
        <v>33319</v>
      </c>
      <c r="H156">
        <v>27590</v>
      </c>
      <c r="I156">
        <v>5598</v>
      </c>
      <c r="J156" s="8">
        <f>Table1[[#This Row],[Revenue (Crore ₹)]]/Table1[[#This Row],[Employees]]</f>
        <v>4.9285459092533044</v>
      </c>
      <c r="K156">
        <v>14.84</v>
      </c>
      <c r="L156">
        <v>9.07</v>
      </c>
      <c r="M156">
        <v>43194</v>
      </c>
      <c r="N156">
        <v>-15604</v>
      </c>
      <c r="O156">
        <v>195155</v>
      </c>
      <c r="P156">
        <v>63.61</v>
      </c>
    </row>
    <row r="157" spans="1:16" x14ac:dyDescent="0.3">
      <c r="A157">
        <v>2023</v>
      </c>
      <c r="B157" t="s">
        <v>23</v>
      </c>
      <c r="C157" t="s">
        <v>33</v>
      </c>
      <c r="D157" t="s">
        <v>20</v>
      </c>
      <c r="E157" t="str">
        <f>IF(OR(Table1[[#This Row],[Energy Type]]="Solar",Table1[[#This Row],[Energy Type]]="Wind"),"Renewable","Non-Renewable")</f>
        <v>Non-Renewable</v>
      </c>
      <c r="F157">
        <v>115775</v>
      </c>
      <c r="G157">
        <v>4084</v>
      </c>
      <c r="H157">
        <v>93090</v>
      </c>
      <c r="I157">
        <v>2113</v>
      </c>
      <c r="J157" s="8">
        <f>Table1[[#This Row],[Revenue (Crore ₹)]]/Table1[[#This Row],[Employees]]</f>
        <v>44.055844770468525</v>
      </c>
      <c r="K157">
        <v>24.64</v>
      </c>
      <c r="L157">
        <v>8.18</v>
      </c>
      <c r="M157">
        <v>47409</v>
      </c>
      <c r="N157">
        <v>45681</v>
      </c>
      <c r="O157">
        <v>178539</v>
      </c>
      <c r="P157">
        <v>19.850000000000001</v>
      </c>
    </row>
    <row r="158" spans="1:16" x14ac:dyDescent="0.3">
      <c r="A158">
        <v>2021</v>
      </c>
      <c r="B158" t="s">
        <v>31</v>
      </c>
      <c r="C158" t="s">
        <v>34</v>
      </c>
      <c r="D158" t="s">
        <v>20</v>
      </c>
      <c r="E158" t="str">
        <f>IF(OR(Table1[[#This Row],[Energy Type]]="Solar",Table1[[#This Row],[Energy Type]]="Wind"),"Renewable","Non-Renewable")</f>
        <v>Non-Renewable</v>
      </c>
      <c r="F158">
        <v>158967</v>
      </c>
      <c r="G158">
        <v>87092</v>
      </c>
      <c r="H158">
        <v>265304</v>
      </c>
      <c r="I158">
        <v>4389</v>
      </c>
      <c r="J158" s="8">
        <f>Table1[[#This Row],[Revenue (Crore ₹)]]/Table1[[#This Row],[Employees]]</f>
        <v>60.447482342219182</v>
      </c>
      <c r="K158">
        <v>23.86</v>
      </c>
      <c r="L158">
        <v>10.77</v>
      </c>
      <c r="M158">
        <v>13883</v>
      </c>
      <c r="N158">
        <v>251421</v>
      </c>
      <c r="O158">
        <v>105391</v>
      </c>
      <c r="P158">
        <v>48.57</v>
      </c>
    </row>
    <row r="159" spans="1:16" x14ac:dyDescent="0.3">
      <c r="A159">
        <v>2020</v>
      </c>
      <c r="B159" t="s">
        <v>30</v>
      </c>
      <c r="C159" t="s">
        <v>34</v>
      </c>
      <c r="D159" t="s">
        <v>25</v>
      </c>
      <c r="E159" t="str">
        <f>IF(OR(Table1[[#This Row],[Energy Type]]="Solar",Table1[[#This Row],[Energy Type]]="Wind"),"Renewable","Non-Renewable")</f>
        <v>Renewable</v>
      </c>
      <c r="F159">
        <v>126364</v>
      </c>
      <c r="G159">
        <v>85824</v>
      </c>
      <c r="H159">
        <v>218049</v>
      </c>
      <c r="I159">
        <v>4844</v>
      </c>
      <c r="J159" s="8">
        <f>Table1[[#This Row],[Revenue (Crore ₹)]]/Table1[[#This Row],[Employees]]</f>
        <v>45.014244426094137</v>
      </c>
      <c r="K159">
        <v>9.1999999999999993</v>
      </c>
      <c r="L159">
        <v>12.57</v>
      </c>
      <c r="M159">
        <v>16256</v>
      </c>
      <c r="N159">
        <v>201793</v>
      </c>
      <c r="O159">
        <v>85244</v>
      </c>
      <c r="P159">
        <v>12.89</v>
      </c>
    </row>
    <row r="160" spans="1:16" x14ac:dyDescent="0.3">
      <c r="A160">
        <v>2022</v>
      </c>
      <c r="B160" t="s">
        <v>17</v>
      </c>
      <c r="C160" t="s">
        <v>34</v>
      </c>
      <c r="D160" t="s">
        <v>25</v>
      </c>
      <c r="E160" t="str">
        <f>IF(OR(Table1[[#This Row],[Energy Type]]="Solar",Table1[[#This Row],[Energy Type]]="Wind"),"Renewable","Non-Renewable")</f>
        <v>Renewable</v>
      </c>
      <c r="F160">
        <v>34541</v>
      </c>
      <c r="G160">
        <v>10082</v>
      </c>
      <c r="H160">
        <v>294942</v>
      </c>
      <c r="I160">
        <v>1177</v>
      </c>
      <c r="J160" s="8">
        <f>Table1[[#This Row],[Revenue (Crore ₹)]]/Table1[[#This Row],[Employees]]</f>
        <v>250.58793542905693</v>
      </c>
      <c r="K160">
        <v>15.28</v>
      </c>
      <c r="L160">
        <v>4.63</v>
      </c>
      <c r="M160">
        <v>19910</v>
      </c>
      <c r="N160">
        <v>275032</v>
      </c>
      <c r="O160">
        <v>219624</v>
      </c>
      <c r="P160">
        <v>29.48</v>
      </c>
    </row>
    <row r="161" spans="1:16" x14ac:dyDescent="0.3">
      <c r="A161">
        <v>2020</v>
      </c>
      <c r="B161" t="s">
        <v>27</v>
      </c>
      <c r="C161" t="s">
        <v>24</v>
      </c>
      <c r="D161" t="s">
        <v>32</v>
      </c>
      <c r="E161" t="str">
        <f>IF(OR(Table1[[#This Row],[Energy Type]]="Solar",Table1[[#This Row],[Energy Type]]="Wind"),"Renewable","Non-Renewable")</f>
        <v>Renewable</v>
      </c>
      <c r="F161">
        <v>78440</v>
      </c>
      <c r="G161">
        <v>24374</v>
      </c>
      <c r="H161">
        <v>130423</v>
      </c>
      <c r="I161">
        <v>8469</v>
      </c>
      <c r="J161" s="8">
        <f>Table1[[#This Row],[Revenue (Crore ₹)]]/Table1[[#This Row],[Employees]]</f>
        <v>15.40004723107805</v>
      </c>
      <c r="K161">
        <v>16.489999999999998</v>
      </c>
      <c r="L161">
        <v>4.3099999999999996</v>
      </c>
      <c r="M161">
        <v>10584</v>
      </c>
      <c r="N161">
        <v>119839</v>
      </c>
      <c r="O161">
        <v>150893</v>
      </c>
      <c r="P161">
        <v>44.46</v>
      </c>
    </row>
    <row r="162" spans="1:16" x14ac:dyDescent="0.3">
      <c r="A162">
        <v>2021</v>
      </c>
      <c r="B162" t="s">
        <v>19</v>
      </c>
      <c r="C162" t="s">
        <v>15</v>
      </c>
      <c r="D162" t="s">
        <v>25</v>
      </c>
      <c r="E162" t="str">
        <f>IF(OR(Table1[[#This Row],[Energy Type]]="Solar",Table1[[#This Row],[Energy Type]]="Wind"),"Renewable","Non-Renewable")</f>
        <v>Renewable</v>
      </c>
      <c r="F162">
        <v>112307</v>
      </c>
      <c r="G162">
        <v>34413</v>
      </c>
      <c r="H162">
        <v>134328</v>
      </c>
      <c r="I162">
        <v>4532</v>
      </c>
      <c r="J162" s="8">
        <f>Table1[[#This Row],[Revenue (Crore ₹)]]/Table1[[#This Row],[Employees]]</f>
        <v>29.639894086496028</v>
      </c>
      <c r="K162">
        <v>6.43</v>
      </c>
      <c r="L162">
        <v>3.25</v>
      </c>
      <c r="M162">
        <v>35346</v>
      </c>
      <c r="N162">
        <v>98982</v>
      </c>
      <c r="O162">
        <v>124362</v>
      </c>
      <c r="P162">
        <v>67.510000000000005</v>
      </c>
    </row>
    <row r="163" spans="1:16" x14ac:dyDescent="0.3">
      <c r="A163">
        <v>2024</v>
      </c>
      <c r="B163" t="s">
        <v>23</v>
      </c>
      <c r="C163" t="s">
        <v>34</v>
      </c>
      <c r="D163" t="s">
        <v>16</v>
      </c>
      <c r="E163" t="str">
        <f>IF(OR(Table1[[#This Row],[Energy Type]]="Solar",Table1[[#This Row],[Energy Type]]="Wind"),"Renewable","Non-Renewable")</f>
        <v>Non-Renewable</v>
      </c>
      <c r="F163">
        <v>73509</v>
      </c>
      <c r="G163">
        <v>54497</v>
      </c>
      <c r="H163">
        <v>150599</v>
      </c>
      <c r="I163">
        <v>3698</v>
      </c>
      <c r="J163" s="8">
        <f>Table1[[#This Row],[Revenue (Crore ₹)]]/Table1[[#This Row],[Employees]]</f>
        <v>40.724445646295294</v>
      </c>
      <c r="K163">
        <v>2.56</v>
      </c>
      <c r="L163">
        <v>14.25</v>
      </c>
      <c r="M163">
        <v>1083</v>
      </c>
      <c r="N163">
        <v>149516</v>
      </c>
      <c r="O163">
        <v>123536</v>
      </c>
      <c r="P163">
        <v>11.07</v>
      </c>
    </row>
    <row r="164" spans="1:16" x14ac:dyDescent="0.3">
      <c r="A164">
        <v>2020</v>
      </c>
      <c r="B164" t="s">
        <v>14</v>
      </c>
      <c r="C164" t="s">
        <v>21</v>
      </c>
      <c r="D164" t="s">
        <v>16</v>
      </c>
      <c r="E164" t="str">
        <f>IF(OR(Table1[[#This Row],[Energy Type]]="Solar",Table1[[#This Row],[Energy Type]]="Wind"),"Renewable","Non-Renewable")</f>
        <v>Non-Renewable</v>
      </c>
      <c r="F164">
        <v>18241</v>
      </c>
      <c r="G164">
        <v>13880</v>
      </c>
      <c r="H164">
        <v>39866</v>
      </c>
      <c r="I164">
        <v>5675</v>
      </c>
      <c r="J164" s="8">
        <f>Table1[[#This Row],[Revenue (Crore ₹)]]/Table1[[#This Row],[Employees]]</f>
        <v>7.024845814977974</v>
      </c>
      <c r="K164">
        <v>6.06</v>
      </c>
      <c r="L164">
        <v>4.67</v>
      </c>
      <c r="M164">
        <v>33805</v>
      </c>
      <c r="N164">
        <v>6061</v>
      </c>
      <c r="O164">
        <v>28671</v>
      </c>
      <c r="P164">
        <v>39.36</v>
      </c>
    </row>
    <row r="165" spans="1:16" x14ac:dyDescent="0.3">
      <c r="A165">
        <v>2023</v>
      </c>
      <c r="B165" t="s">
        <v>23</v>
      </c>
      <c r="C165" t="s">
        <v>33</v>
      </c>
      <c r="D165" t="s">
        <v>25</v>
      </c>
      <c r="E165" t="str">
        <f>IF(OR(Table1[[#This Row],[Energy Type]]="Solar",Table1[[#This Row],[Energy Type]]="Wind"),"Renewable","Non-Renewable")</f>
        <v>Renewable</v>
      </c>
      <c r="F165">
        <v>101201</v>
      </c>
      <c r="G165">
        <v>32494</v>
      </c>
      <c r="H165">
        <v>225206</v>
      </c>
      <c r="I165">
        <v>8350</v>
      </c>
      <c r="J165" s="8">
        <f>Table1[[#This Row],[Revenue (Crore ₹)]]/Table1[[#This Row],[Employees]]</f>
        <v>26.970778443113772</v>
      </c>
      <c r="K165">
        <v>7.89</v>
      </c>
      <c r="L165">
        <v>5.16</v>
      </c>
      <c r="M165">
        <v>47647</v>
      </c>
      <c r="N165">
        <v>177559</v>
      </c>
      <c r="O165">
        <v>187840</v>
      </c>
      <c r="P165">
        <v>50.38</v>
      </c>
    </row>
    <row r="166" spans="1:16" x14ac:dyDescent="0.3">
      <c r="A166">
        <v>2022</v>
      </c>
      <c r="B166" t="s">
        <v>29</v>
      </c>
      <c r="C166" t="s">
        <v>18</v>
      </c>
      <c r="D166" t="s">
        <v>32</v>
      </c>
      <c r="E166" t="str">
        <f>IF(OR(Table1[[#This Row],[Energy Type]]="Solar",Table1[[#This Row],[Energy Type]]="Wind"),"Renewable","Non-Renewable")</f>
        <v>Renewable</v>
      </c>
      <c r="F166">
        <v>188213</v>
      </c>
      <c r="G166">
        <v>29823</v>
      </c>
      <c r="H166">
        <v>28138</v>
      </c>
      <c r="I166">
        <v>6740</v>
      </c>
      <c r="J166" s="8">
        <f>Table1[[#This Row],[Revenue (Crore ₹)]]/Table1[[#This Row],[Employees]]</f>
        <v>4.1747774480712163</v>
      </c>
      <c r="K166">
        <v>7.42</v>
      </c>
      <c r="L166">
        <v>14.71</v>
      </c>
      <c r="M166">
        <v>30392</v>
      </c>
      <c r="N166">
        <v>-2254</v>
      </c>
      <c r="O166">
        <v>10371</v>
      </c>
      <c r="P166">
        <v>23.7</v>
      </c>
    </row>
    <row r="167" spans="1:16" x14ac:dyDescent="0.3">
      <c r="A167">
        <v>2020</v>
      </c>
      <c r="B167" t="s">
        <v>17</v>
      </c>
      <c r="C167" t="s">
        <v>26</v>
      </c>
      <c r="D167" t="s">
        <v>20</v>
      </c>
      <c r="E167" t="str">
        <f>IF(OR(Table1[[#This Row],[Energy Type]]="Solar",Table1[[#This Row],[Energy Type]]="Wind"),"Renewable","Non-Renewable")</f>
        <v>Non-Renewable</v>
      </c>
      <c r="F167">
        <v>27585</v>
      </c>
      <c r="G167">
        <v>15751</v>
      </c>
      <c r="H167">
        <v>198968</v>
      </c>
      <c r="I167">
        <v>2365</v>
      </c>
      <c r="J167" s="8">
        <f>Table1[[#This Row],[Revenue (Crore ₹)]]/Table1[[#This Row],[Employees]]</f>
        <v>84.130232558139539</v>
      </c>
      <c r="K167">
        <v>10.9</v>
      </c>
      <c r="L167">
        <v>11.34</v>
      </c>
      <c r="M167">
        <v>33219</v>
      </c>
      <c r="N167">
        <v>165749</v>
      </c>
      <c r="O167">
        <v>155780</v>
      </c>
      <c r="P167">
        <v>25.44</v>
      </c>
    </row>
    <row r="168" spans="1:16" x14ac:dyDescent="0.3">
      <c r="A168">
        <v>2021</v>
      </c>
      <c r="B168" t="s">
        <v>19</v>
      </c>
      <c r="C168" t="s">
        <v>26</v>
      </c>
      <c r="D168" t="s">
        <v>25</v>
      </c>
      <c r="E168" t="str">
        <f>IF(OR(Table1[[#This Row],[Energy Type]]="Solar",Table1[[#This Row],[Energy Type]]="Wind"),"Renewable","Non-Renewable")</f>
        <v>Renewable</v>
      </c>
      <c r="F168">
        <v>132584</v>
      </c>
      <c r="G168">
        <v>90314</v>
      </c>
      <c r="H168">
        <v>266948</v>
      </c>
      <c r="I168">
        <v>6305</v>
      </c>
      <c r="J168" s="8">
        <f>Table1[[#This Row],[Revenue (Crore ₹)]]/Table1[[#This Row],[Employees]]</f>
        <v>42.3390959555908</v>
      </c>
      <c r="K168">
        <v>15.37</v>
      </c>
      <c r="L168">
        <v>1.54</v>
      </c>
      <c r="M168">
        <v>27997</v>
      </c>
      <c r="N168">
        <v>238951</v>
      </c>
      <c r="O168">
        <v>39571</v>
      </c>
      <c r="P168">
        <v>56.75</v>
      </c>
    </row>
    <row r="169" spans="1:16" x14ac:dyDescent="0.3">
      <c r="A169">
        <v>2022</v>
      </c>
      <c r="B169" t="s">
        <v>27</v>
      </c>
      <c r="C169" t="s">
        <v>15</v>
      </c>
      <c r="D169" t="s">
        <v>16</v>
      </c>
      <c r="E169" t="str">
        <f>IF(OR(Table1[[#This Row],[Energy Type]]="Solar",Table1[[#This Row],[Energy Type]]="Wind"),"Renewable","Non-Renewable")</f>
        <v>Non-Renewable</v>
      </c>
      <c r="F169">
        <v>6187</v>
      </c>
      <c r="G169">
        <v>3776</v>
      </c>
      <c r="H169">
        <v>88677</v>
      </c>
      <c r="I169">
        <v>2384</v>
      </c>
      <c r="J169" s="8">
        <f>Table1[[#This Row],[Revenue (Crore ₹)]]/Table1[[#This Row],[Employees]]</f>
        <v>37.196728187919462</v>
      </c>
      <c r="K169">
        <v>12.51</v>
      </c>
      <c r="L169">
        <v>4.32</v>
      </c>
      <c r="M169">
        <v>22232</v>
      </c>
      <c r="N169">
        <v>66445</v>
      </c>
      <c r="O169">
        <v>64001</v>
      </c>
      <c r="P169">
        <v>34.659999999999997</v>
      </c>
    </row>
    <row r="170" spans="1:16" x14ac:dyDescent="0.3">
      <c r="A170">
        <v>2022</v>
      </c>
      <c r="B170" t="s">
        <v>29</v>
      </c>
      <c r="C170" t="s">
        <v>21</v>
      </c>
      <c r="D170" t="s">
        <v>22</v>
      </c>
      <c r="E170" t="str">
        <f>IF(OR(Table1[[#This Row],[Energy Type]]="Solar",Table1[[#This Row],[Energy Type]]="Wind"),"Renewable","Non-Renewable")</f>
        <v>Non-Renewable</v>
      </c>
      <c r="F170">
        <v>2542</v>
      </c>
      <c r="G170">
        <v>1307</v>
      </c>
      <c r="H170">
        <v>195108</v>
      </c>
      <c r="I170">
        <v>4105</v>
      </c>
      <c r="J170" s="8">
        <f>Table1[[#This Row],[Revenue (Crore ₹)]]/Table1[[#This Row],[Employees]]</f>
        <v>47.529354445797807</v>
      </c>
      <c r="K170">
        <v>9.36</v>
      </c>
      <c r="L170">
        <v>4.76</v>
      </c>
      <c r="M170">
        <v>1923</v>
      </c>
      <c r="N170">
        <v>193185</v>
      </c>
      <c r="O170">
        <v>18662</v>
      </c>
      <c r="P170">
        <v>53.62</v>
      </c>
    </row>
    <row r="171" spans="1:16" x14ac:dyDescent="0.3">
      <c r="A171">
        <v>2021</v>
      </c>
      <c r="B171" t="s">
        <v>19</v>
      </c>
      <c r="C171" t="s">
        <v>15</v>
      </c>
      <c r="D171" t="s">
        <v>20</v>
      </c>
      <c r="E171" t="str">
        <f>IF(OR(Table1[[#This Row],[Energy Type]]="Solar",Table1[[#This Row],[Energy Type]]="Wind"),"Renewable","Non-Renewable")</f>
        <v>Non-Renewable</v>
      </c>
      <c r="F171">
        <v>53535</v>
      </c>
      <c r="G171">
        <v>34747</v>
      </c>
      <c r="H171">
        <v>139572</v>
      </c>
      <c r="I171">
        <v>1505</v>
      </c>
      <c r="J171" s="8">
        <f>Table1[[#This Row],[Revenue (Crore ₹)]]/Table1[[#This Row],[Employees]]</f>
        <v>92.738870431893687</v>
      </c>
      <c r="K171">
        <v>18.39</v>
      </c>
      <c r="L171">
        <v>4.37</v>
      </c>
      <c r="M171">
        <v>31131</v>
      </c>
      <c r="N171">
        <v>108441</v>
      </c>
      <c r="O171">
        <v>152034</v>
      </c>
      <c r="P171">
        <v>6.74</v>
      </c>
    </row>
    <row r="172" spans="1:16" x14ac:dyDescent="0.3">
      <c r="A172">
        <v>2020</v>
      </c>
      <c r="B172" t="s">
        <v>30</v>
      </c>
      <c r="C172" t="s">
        <v>26</v>
      </c>
      <c r="D172" t="s">
        <v>20</v>
      </c>
      <c r="E172" t="str">
        <f>IF(OR(Table1[[#This Row],[Energy Type]]="Solar",Table1[[#This Row],[Energy Type]]="Wind"),"Renewable","Non-Renewable")</f>
        <v>Non-Renewable</v>
      </c>
      <c r="F172">
        <v>30102</v>
      </c>
      <c r="G172">
        <v>9039</v>
      </c>
      <c r="H172">
        <v>36431</v>
      </c>
      <c r="I172">
        <v>3457</v>
      </c>
      <c r="J172" s="8">
        <f>Table1[[#This Row],[Revenue (Crore ₹)]]/Table1[[#This Row],[Employees]]</f>
        <v>10.538328030083887</v>
      </c>
      <c r="K172">
        <v>10.15</v>
      </c>
      <c r="L172">
        <v>7.82</v>
      </c>
      <c r="M172">
        <v>18484</v>
      </c>
      <c r="N172">
        <v>17947</v>
      </c>
      <c r="O172">
        <v>33362</v>
      </c>
      <c r="P172">
        <v>18.64</v>
      </c>
    </row>
    <row r="173" spans="1:16" x14ac:dyDescent="0.3">
      <c r="A173">
        <v>2020</v>
      </c>
      <c r="B173" t="s">
        <v>23</v>
      </c>
      <c r="C173" t="s">
        <v>18</v>
      </c>
      <c r="D173" t="s">
        <v>25</v>
      </c>
      <c r="E173" t="str">
        <f>IF(OR(Table1[[#This Row],[Energy Type]]="Solar",Table1[[#This Row],[Energy Type]]="Wind"),"Renewable","Non-Renewable")</f>
        <v>Renewable</v>
      </c>
      <c r="F173">
        <v>197131</v>
      </c>
      <c r="G173">
        <v>94806</v>
      </c>
      <c r="H173">
        <v>258108</v>
      </c>
      <c r="I173">
        <v>7792</v>
      </c>
      <c r="J173" s="8">
        <f>Table1[[#This Row],[Revenue (Crore ₹)]]/Table1[[#This Row],[Employees]]</f>
        <v>33.124743326488705</v>
      </c>
      <c r="K173">
        <v>19.23</v>
      </c>
      <c r="L173">
        <v>6.99</v>
      </c>
      <c r="M173">
        <v>7913</v>
      </c>
      <c r="N173">
        <v>250195</v>
      </c>
      <c r="O173">
        <v>278405</v>
      </c>
      <c r="P173">
        <v>41.84</v>
      </c>
    </row>
    <row r="174" spans="1:16" x14ac:dyDescent="0.3">
      <c r="A174">
        <v>2022</v>
      </c>
      <c r="B174" t="s">
        <v>30</v>
      </c>
      <c r="C174" t="s">
        <v>15</v>
      </c>
      <c r="D174" t="s">
        <v>20</v>
      </c>
      <c r="E174" t="str">
        <f>IF(OR(Table1[[#This Row],[Energy Type]]="Solar",Table1[[#This Row],[Energy Type]]="Wind"),"Renewable","Non-Renewable")</f>
        <v>Non-Renewable</v>
      </c>
      <c r="F174">
        <v>56983</v>
      </c>
      <c r="G174">
        <v>26529</v>
      </c>
      <c r="H174">
        <v>176822</v>
      </c>
      <c r="I174">
        <v>4601</v>
      </c>
      <c r="J174" s="8">
        <f>Table1[[#This Row],[Revenue (Crore ₹)]]/Table1[[#This Row],[Employees]]</f>
        <v>38.431210606389918</v>
      </c>
      <c r="K174">
        <v>20</v>
      </c>
      <c r="L174">
        <v>13</v>
      </c>
      <c r="M174">
        <v>35444</v>
      </c>
      <c r="N174">
        <v>141378</v>
      </c>
      <c r="O174">
        <v>207482</v>
      </c>
      <c r="P174">
        <v>47.4</v>
      </c>
    </row>
    <row r="175" spans="1:16" x14ac:dyDescent="0.3">
      <c r="A175">
        <v>2020</v>
      </c>
      <c r="B175" t="s">
        <v>17</v>
      </c>
      <c r="C175" t="s">
        <v>15</v>
      </c>
      <c r="D175" t="s">
        <v>32</v>
      </c>
      <c r="E175" t="str">
        <f>IF(OR(Table1[[#This Row],[Energy Type]]="Solar",Table1[[#This Row],[Energy Type]]="Wind"),"Renewable","Non-Renewable")</f>
        <v>Renewable</v>
      </c>
      <c r="F175">
        <v>157760</v>
      </c>
      <c r="G175">
        <v>64111</v>
      </c>
      <c r="H175">
        <v>68608</v>
      </c>
      <c r="I175">
        <v>3888</v>
      </c>
      <c r="J175" s="8">
        <f>Table1[[#This Row],[Revenue (Crore ₹)]]/Table1[[#This Row],[Employees]]</f>
        <v>17.646090534979425</v>
      </c>
      <c r="K175">
        <v>9.56</v>
      </c>
      <c r="L175">
        <v>2.0699999999999998</v>
      </c>
      <c r="M175">
        <v>20189</v>
      </c>
      <c r="N175">
        <v>48419</v>
      </c>
      <c r="O175">
        <v>42284</v>
      </c>
      <c r="P175">
        <v>67.37</v>
      </c>
    </row>
    <row r="176" spans="1:16" x14ac:dyDescent="0.3">
      <c r="A176">
        <v>2023</v>
      </c>
      <c r="B176" t="s">
        <v>27</v>
      </c>
      <c r="C176" t="s">
        <v>26</v>
      </c>
      <c r="D176" t="s">
        <v>20</v>
      </c>
      <c r="E176" t="str">
        <f>IF(OR(Table1[[#This Row],[Energy Type]]="Solar",Table1[[#This Row],[Energy Type]]="Wind"),"Renewable","Non-Renewable")</f>
        <v>Non-Renewable</v>
      </c>
      <c r="F176">
        <v>29242</v>
      </c>
      <c r="G176">
        <v>22936</v>
      </c>
      <c r="H176">
        <v>278420</v>
      </c>
      <c r="I176">
        <v>3001</v>
      </c>
      <c r="J176" s="8">
        <f>Table1[[#This Row],[Revenue (Crore ₹)]]/Table1[[#This Row],[Employees]]</f>
        <v>92.775741419526824</v>
      </c>
      <c r="K176">
        <v>21.64</v>
      </c>
      <c r="L176">
        <v>1.72</v>
      </c>
      <c r="M176">
        <v>15166</v>
      </c>
      <c r="N176">
        <v>263254</v>
      </c>
      <c r="O176">
        <v>56349</v>
      </c>
      <c r="P176">
        <v>31.6</v>
      </c>
    </row>
    <row r="177" spans="1:16" x14ac:dyDescent="0.3">
      <c r="A177">
        <v>2021</v>
      </c>
      <c r="B177" t="s">
        <v>19</v>
      </c>
      <c r="C177" t="s">
        <v>18</v>
      </c>
      <c r="D177" t="s">
        <v>16</v>
      </c>
      <c r="E177" t="str">
        <f>IF(OR(Table1[[#This Row],[Energy Type]]="Solar",Table1[[#This Row],[Energy Type]]="Wind"),"Renewable","Non-Renewable")</f>
        <v>Non-Renewable</v>
      </c>
      <c r="F177">
        <v>59164</v>
      </c>
      <c r="G177">
        <v>2909</v>
      </c>
      <c r="H177">
        <v>45108</v>
      </c>
      <c r="I177">
        <v>5202</v>
      </c>
      <c r="J177" s="8">
        <f>Table1[[#This Row],[Revenue (Crore ₹)]]/Table1[[#This Row],[Employees]]</f>
        <v>8.6712802768166082</v>
      </c>
      <c r="K177">
        <v>19.09</v>
      </c>
      <c r="L177">
        <v>8.67</v>
      </c>
      <c r="M177">
        <v>42116</v>
      </c>
      <c r="N177">
        <v>2992</v>
      </c>
      <c r="O177">
        <v>281112</v>
      </c>
      <c r="P177">
        <v>18.02</v>
      </c>
    </row>
    <row r="178" spans="1:16" x14ac:dyDescent="0.3">
      <c r="A178">
        <v>2024</v>
      </c>
      <c r="B178" t="s">
        <v>17</v>
      </c>
      <c r="C178" t="s">
        <v>24</v>
      </c>
      <c r="D178" t="s">
        <v>32</v>
      </c>
      <c r="E178" t="str">
        <f>IF(OR(Table1[[#This Row],[Energy Type]]="Solar",Table1[[#This Row],[Energy Type]]="Wind"),"Renewable","Non-Renewable")</f>
        <v>Renewable</v>
      </c>
      <c r="F178">
        <v>61473</v>
      </c>
      <c r="G178">
        <v>32749</v>
      </c>
      <c r="H178">
        <v>63963</v>
      </c>
      <c r="I178">
        <v>6458</v>
      </c>
      <c r="J178" s="8">
        <f>Table1[[#This Row],[Revenue (Crore ₹)]]/Table1[[#This Row],[Employees]]</f>
        <v>9.904459585010839</v>
      </c>
      <c r="K178">
        <v>4.38</v>
      </c>
      <c r="L178">
        <v>5.7</v>
      </c>
      <c r="M178">
        <v>47811</v>
      </c>
      <c r="N178">
        <v>16152</v>
      </c>
      <c r="O178">
        <v>259343</v>
      </c>
      <c r="P178">
        <v>18.899999999999999</v>
      </c>
    </row>
    <row r="179" spans="1:16" x14ac:dyDescent="0.3">
      <c r="A179">
        <v>2023</v>
      </c>
      <c r="B179" t="s">
        <v>31</v>
      </c>
      <c r="C179" t="s">
        <v>24</v>
      </c>
      <c r="D179" t="s">
        <v>32</v>
      </c>
      <c r="E179" t="str">
        <f>IF(OR(Table1[[#This Row],[Energy Type]]="Solar",Table1[[#This Row],[Energy Type]]="Wind"),"Renewable","Non-Renewable")</f>
        <v>Renewable</v>
      </c>
      <c r="F179">
        <v>4385</v>
      </c>
      <c r="G179">
        <v>3059</v>
      </c>
      <c r="H179">
        <v>121402</v>
      </c>
      <c r="I179">
        <v>3609</v>
      </c>
      <c r="J179" s="8">
        <f>Table1[[#This Row],[Revenue (Crore ₹)]]/Table1[[#This Row],[Employees]]</f>
        <v>33.638681075090055</v>
      </c>
      <c r="K179">
        <v>7.39</v>
      </c>
      <c r="L179">
        <v>12.17</v>
      </c>
      <c r="M179">
        <v>38298</v>
      </c>
      <c r="N179">
        <v>83104</v>
      </c>
      <c r="O179">
        <v>266333</v>
      </c>
      <c r="P179">
        <v>29.88</v>
      </c>
    </row>
    <row r="180" spans="1:16" x14ac:dyDescent="0.3">
      <c r="A180">
        <v>2022</v>
      </c>
      <c r="B180" t="s">
        <v>30</v>
      </c>
      <c r="C180" t="s">
        <v>34</v>
      </c>
      <c r="D180" t="s">
        <v>25</v>
      </c>
      <c r="E180" t="str">
        <f>IF(OR(Table1[[#This Row],[Energy Type]]="Solar",Table1[[#This Row],[Energy Type]]="Wind"),"Renewable","Non-Renewable")</f>
        <v>Renewable</v>
      </c>
      <c r="F180">
        <v>192303</v>
      </c>
      <c r="G180">
        <v>123840</v>
      </c>
      <c r="H180">
        <v>246036</v>
      </c>
      <c r="I180">
        <v>6969</v>
      </c>
      <c r="J180" s="8">
        <f>Table1[[#This Row],[Revenue (Crore ₹)]]/Table1[[#This Row],[Employees]]</f>
        <v>35.304347826086953</v>
      </c>
      <c r="K180">
        <v>3.15</v>
      </c>
      <c r="L180">
        <v>3.77</v>
      </c>
      <c r="M180">
        <v>21233</v>
      </c>
      <c r="N180">
        <v>224803</v>
      </c>
      <c r="O180">
        <v>75174</v>
      </c>
      <c r="P180">
        <v>22.69</v>
      </c>
    </row>
    <row r="181" spans="1:16" x14ac:dyDescent="0.3">
      <c r="A181">
        <v>2020</v>
      </c>
      <c r="B181" t="s">
        <v>19</v>
      </c>
      <c r="C181" t="s">
        <v>24</v>
      </c>
      <c r="D181" t="s">
        <v>16</v>
      </c>
      <c r="E181" t="str">
        <f>IF(OR(Table1[[#This Row],[Energy Type]]="Solar",Table1[[#This Row],[Energy Type]]="Wind"),"Renewable","Non-Renewable")</f>
        <v>Non-Renewable</v>
      </c>
      <c r="F181">
        <v>12224</v>
      </c>
      <c r="G181">
        <v>1215</v>
      </c>
      <c r="H181">
        <v>256257</v>
      </c>
      <c r="I181">
        <v>1258</v>
      </c>
      <c r="J181" s="8">
        <f>Table1[[#This Row],[Revenue (Crore ₹)]]/Table1[[#This Row],[Employees]]</f>
        <v>203.70190779014308</v>
      </c>
      <c r="K181">
        <v>2.7</v>
      </c>
      <c r="L181">
        <v>13.51</v>
      </c>
      <c r="M181">
        <v>15391</v>
      </c>
      <c r="N181">
        <v>240866</v>
      </c>
      <c r="O181">
        <v>33179</v>
      </c>
      <c r="P181">
        <v>37.29</v>
      </c>
    </row>
    <row r="182" spans="1:16" x14ac:dyDescent="0.3">
      <c r="A182">
        <v>2021</v>
      </c>
      <c r="B182" t="s">
        <v>30</v>
      </c>
      <c r="C182" t="s">
        <v>34</v>
      </c>
      <c r="D182" t="s">
        <v>16</v>
      </c>
      <c r="E182" t="str">
        <f>IF(OR(Table1[[#This Row],[Energy Type]]="Solar",Table1[[#This Row],[Energy Type]]="Wind"),"Renewable","Non-Renewable")</f>
        <v>Non-Renewable</v>
      </c>
      <c r="F182">
        <v>62379</v>
      </c>
      <c r="G182">
        <v>17089</v>
      </c>
      <c r="H182">
        <v>118938</v>
      </c>
      <c r="I182">
        <v>2187</v>
      </c>
      <c r="J182" s="8">
        <f>Table1[[#This Row],[Revenue (Crore ₹)]]/Table1[[#This Row],[Employees]]</f>
        <v>54.384087791495197</v>
      </c>
      <c r="K182">
        <v>6.16</v>
      </c>
      <c r="L182">
        <v>14.64</v>
      </c>
      <c r="M182">
        <v>14510</v>
      </c>
      <c r="N182">
        <v>104428</v>
      </c>
      <c r="O182">
        <v>64770</v>
      </c>
      <c r="P182">
        <v>43.73</v>
      </c>
    </row>
    <row r="183" spans="1:16" x14ac:dyDescent="0.3">
      <c r="A183">
        <v>2021</v>
      </c>
      <c r="B183" t="s">
        <v>30</v>
      </c>
      <c r="C183" t="s">
        <v>24</v>
      </c>
      <c r="D183" t="s">
        <v>16</v>
      </c>
      <c r="E183" t="str">
        <f>IF(OR(Table1[[#This Row],[Energy Type]]="Solar",Table1[[#This Row],[Energy Type]]="Wind"),"Renewable","Non-Renewable")</f>
        <v>Non-Renewable</v>
      </c>
      <c r="F183">
        <v>171822</v>
      </c>
      <c r="G183">
        <v>85484</v>
      </c>
      <c r="H183">
        <v>221562</v>
      </c>
      <c r="I183">
        <v>5776</v>
      </c>
      <c r="J183" s="8">
        <f>Table1[[#This Row],[Revenue (Crore ₹)]]/Table1[[#This Row],[Employees]]</f>
        <v>38.359072022160667</v>
      </c>
      <c r="K183">
        <v>20.92</v>
      </c>
      <c r="L183">
        <v>6.77</v>
      </c>
      <c r="M183">
        <v>33068</v>
      </c>
      <c r="N183">
        <v>188494</v>
      </c>
      <c r="O183">
        <v>170745</v>
      </c>
      <c r="P183">
        <v>51.61</v>
      </c>
    </row>
    <row r="184" spans="1:16" x14ac:dyDescent="0.3">
      <c r="A184">
        <v>2023</v>
      </c>
      <c r="B184" t="s">
        <v>31</v>
      </c>
      <c r="C184" t="s">
        <v>34</v>
      </c>
      <c r="D184" t="s">
        <v>20</v>
      </c>
      <c r="E184" t="str">
        <f>IF(OR(Table1[[#This Row],[Energy Type]]="Solar",Table1[[#This Row],[Energy Type]]="Wind"),"Renewable","Non-Renewable")</f>
        <v>Non-Renewable</v>
      </c>
      <c r="F184">
        <v>149215</v>
      </c>
      <c r="G184">
        <v>77382</v>
      </c>
      <c r="H184">
        <v>182103</v>
      </c>
      <c r="I184">
        <v>9455</v>
      </c>
      <c r="J184" s="8">
        <f>Table1[[#This Row],[Revenue (Crore ₹)]]/Table1[[#This Row],[Employees]]</f>
        <v>19.259968270756215</v>
      </c>
      <c r="K184">
        <v>3.8</v>
      </c>
      <c r="L184">
        <v>14.83</v>
      </c>
      <c r="M184">
        <v>26809</v>
      </c>
      <c r="N184">
        <v>155294</v>
      </c>
      <c r="O184">
        <v>73101</v>
      </c>
      <c r="P184">
        <v>34.79</v>
      </c>
    </row>
    <row r="185" spans="1:16" x14ac:dyDescent="0.3">
      <c r="A185">
        <v>2021</v>
      </c>
      <c r="B185" t="s">
        <v>14</v>
      </c>
      <c r="C185" t="s">
        <v>28</v>
      </c>
      <c r="D185" t="s">
        <v>22</v>
      </c>
      <c r="E185" t="str">
        <f>IF(OR(Table1[[#This Row],[Energy Type]]="Solar",Table1[[#This Row],[Energy Type]]="Wind"),"Renewable","Non-Renewable")</f>
        <v>Non-Renewable</v>
      </c>
      <c r="F185">
        <v>85322</v>
      </c>
      <c r="G185">
        <v>58612</v>
      </c>
      <c r="H185">
        <v>49437</v>
      </c>
      <c r="I185">
        <v>3341</v>
      </c>
      <c r="J185" s="8">
        <f>Table1[[#This Row],[Revenue (Crore ₹)]]/Table1[[#This Row],[Employees]]</f>
        <v>14.79706674648309</v>
      </c>
      <c r="K185">
        <v>15.02</v>
      </c>
      <c r="L185">
        <v>5.76</v>
      </c>
      <c r="M185">
        <v>37109</v>
      </c>
      <c r="N185">
        <v>12328</v>
      </c>
      <c r="O185">
        <v>299174</v>
      </c>
      <c r="P185">
        <v>62.3</v>
      </c>
    </row>
    <row r="186" spans="1:16" x14ac:dyDescent="0.3">
      <c r="A186">
        <v>2025</v>
      </c>
      <c r="B186" t="s">
        <v>30</v>
      </c>
      <c r="C186" t="s">
        <v>21</v>
      </c>
      <c r="D186" t="s">
        <v>22</v>
      </c>
      <c r="E186" t="str">
        <f>IF(OR(Table1[[#This Row],[Energy Type]]="Solar",Table1[[#This Row],[Energy Type]]="Wind"),"Renewable","Non-Renewable")</f>
        <v>Non-Renewable</v>
      </c>
      <c r="F186">
        <v>194989</v>
      </c>
      <c r="G186">
        <v>57325</v>
      </c>
      <c r="H186">
        <v>270421</v>
      </c>
      <c r="I186">
        <v>4767</v>
      </c>
      <c r="J186" s="8">
        <f>Table1[[#This Row],[Revenue (Crore ₹)]]/Table1[[#This Row],[Employees]]</f>
        <v>56.727711348856722</v>
      </c>
      <c r="K186">
        <v>7.01</v>
      </c>
      <c r="L186">
        <v>10.62</v>
      </c>
      <c r="M186">
        <v>495</v>
      </c>
      <c r="N186">
        <v>269926</v>
      </c>
      <c r="O186">
        <v>126661</v>
      </c>
      <c r="P186">
        <v>10.09</v>
      </c>
    </row>
    <row r="187" spans="1:16" x14ac:dyDescent="0.3">
      <c r="A187">
        <v>2020</v>
      </c>
      <c r="B187" t="s">
        <v>27</v>
      </c>
      <c r="C187" t="s">
        <v>28</v>
      </c>
      <c r="D187" t="s">
        <v>25</v>
      </c>
      <c r="E187" t="str">
        <f>IF(OR(Table1[[#This Row],[Energy Type]]="Solar",Table1[[#This Row],[Energy Type]]="Wind"),"Renewable","Non-Renewable")</f>
        <v>Renewable</v>
      </c>
      <c r="F187">
        <v>90523</v>
      </c>
      <c r="G187">
        <v>15143</v>
      </c>
      <c r="H187">
        <v>84052</v>
      </c>
      <c r="I187">
        <v>4600</v>
      </c>
      <c r="J187" s="8">
        <f>Table1[[#This Row],[Revenue (Crore ₹)]]/Table1[[#This Row],[Employees]]</f>
        <v>18.272173913043478</v>
      </c>
      <c r="K187">
        <v>11.19</v>
      </c>
      <c r="L187">
        <v>7.16</v>
      </c>
      <c r="M187">
        <v>9351</v>
      </c>
      <c r="N187">
        <v>74701</v>
      </c>
      <c r="O187">
        <v>75883</v>
      </c>
      <c r="P187">
        <v>9.4</v>
      </c>
    </row>
    <row r="188" spans="1:16" x14ac:dyDescent="0.3">
      <c r="A188">
        <v>2022</v>
      </c>
      <c r="B188" t="s">
        <v>14</v>
      </c>
      <c r="C188" t="s">
        <v>24</v>
      </c>
      <c r="D188" t="s">
        <v>16</v>
      </c>
      <c r="E188" t="str">
        <f>IF(OR(Table1[[#This Row],[Energy Type]]="Solar",Table1[[#This Row],[Energy Type]]="Wind"),"Renewable","Non-Renewable")</f>
        <v>Non-Renewable</v>
      </c>
      <c r="F188">
        <v>166308</v>
      </c>
      <c r="G188">
        <v>102843</v>
      </c>
      <c r="H188">
        <v>242099</v>
      </c>
      <c r="I188">
        <v>1420</v>
      </c>
      <c r="J188" s="8">
        <f>Table1[[#This Row],[Revenue (Crore ₹)]]/Table1[[#This Row],[Employees]]</f>
        <v>170.49225352112677</v>
      </c>
      <c r="K188">
        <v>16.18</v>
      </c>
      <c r="L188">
        <v>1.01</v>
      </c>
      <c r="M188">
        <v>46084</v>
      </c>
      <c r="N188">
        <v>196015</v>
      </c>
      <c r="O188">
        <v>267723</v>
      </c>
      <c r="P188">
        <v>63.54</v>
      </c>
    </row>
    <row r="189" spans="1:16" x14ac:dyDescent="0.3">
      <c r="A189">
        <v>2024</v>
      </c>
      <c r="B189" t="s">
        <v>17</v>
      </c>
      <c r="C189" t="s">
        <v>26</v>
      </c>
      <c r="D189" t="s">
        <v>20</v>
      </c>
      <c r="E189" t="str">
        <f>IF(OR(Table1[[#This Row],[Energy Type]]="Solar",Table1[[#This Row],[Energy Type]]="Wind"),"Renewable","Non-Renewable")</f>
        <v>Non-Renewable</v>
      </c>
      <c r="F189">
        <v>193574</v>
      </c>
      <c r="G189">
        <v>132516</v>
      </c>
      <c r="H189">
        <v>178050</v>
      </c>
      <c r="I189">
        <v>2960</v>
      </c>
      <c r="J189" s="8">
        <f>Table1[[#This Row],[Revenue (Crore ₹)]]/Table1[[#This Row],[Employees]]</f>
        <v>60.152027027027025</v>
      </c>
      <c r="K189">
        <v>5.17</v>
      </c>
      <c r="L189">
        <v>10.39</v>
      </c>
      <c r="M189">
        <v>15119</v>
      </c>
      <c r="N189">
        <v>162931</v>
      </c>
      <c r="O189">
        <v>147019</v>
      </c>
      <c r="P189">
        <v>46.87</v>
      </c>
    </row>
    <row r="190" spans="1:16" x14ac:dyDescent="0.3">
      <c r="A190">
        <v>2020</v>
      </c>
      <c r="B190" t="s">
        <v>27</v>
      </c>
      <c r="C190" t="s">
        <v>33</v>
      </c>
      <c r="D190" t="s">
        <v>32</v>
      </c>
      <c r="E190" t="str">
        <f>IF(OR(Table1[[#This Row],[Energy Type]]="Solar",Table1[[#This Row],[Energy Type]]="Wind"),"Renewable","Non-Renewable")</f>
        <v>Renewable</v>
      </c>
      <c r="F190">
        <v>114441</v>
      </c>
      <c r="G190">
        <v>81532</v>
      </c>
      <c r="H190">
        <v>218704</v>
      </c>
      <c r="I190">
        <v>9037</v>
      </c>
      <c r="J190" s="8">
        <f>Table1[[#This Row],[Revenue (Crore ₹)]]/Table1[[#This Row],[Employees]]</f>
        <v>24.200951643244441</v>
      </c>
      <c r="K190">
        <v>7.97</v>
      </c>
      <c r="L190">
        <v>5.33</v>
      </c>
      <c r="M190">
        <v>21177</v>
      </c>
      <c r="N190">
        <v>197527</v>
      </c>
      <c r="O190">
        <v>132427</v>
      </c>
      <c r="P190">
        <v>54.7</v>
      </c>
    </row>
    <row r="191" spans="1:16" x14ac:dyDescent="0.3">
      <c r="A191">
        <v>2022</v>
      </c>
      <c r="B191" t="s">
        <v>27</v>
      </c>
      <c r="C191" t="s">
        <v>21</v>
      </c>
      <c r="D191" t="s">
        <v>22</v>
      </c>
      <c r="E191" t="str">
        <f>IF(OR(Table1[[#This Row],[Energy Type]]="Solar",Table1[[#This Row],[Energy Type]]="Wind"),"Renewable","Non-Renewable")</f>
        <v>Non-Renewable</v>
      </c>
      <c r="F191">
        <v>163458</v>
      </c>
      <c r="G191">
        <v>92560</v>
      </c>
      <c r="H191">
        <v>218151</v>
      </c>
      <c r="I191">
        <v>8863</v>
      </c>
      <c r="J191" s="8">
        <f>Table1[[#This Row],[Revenue (Crore ₹)]]/Table1[[#This Row],[Employees]]</f>
        <v>24.613674827936364</v>
      </c>
      <c r="K191">
        <v>2.37</v>
      </c>
      <c r="L191">
        <v>11.35</v>
      </c>
      <c r="M191">
        <v>42001</v>
      </c>
      <c r="N191">
        <v>176150</v>
      </c>
      <c r="O191">
        <v>276301</v>
      </c>
      <c r="P191">
        <v>78.08</v>
      </c>
    </row>
    <row r="192" spans="1:16" x14ac:dyDescent="0.3">
      <c r="A192">
        <v>2023</v>
      </c>
      <c r="B192" t="s">
        <v>17</v>
      </c>
      <c r="C192" t="s">
        <v>34</v>
      </c>
      <c r="D192" t="s">
        <v>32</v>
      </c>
      <c r="E192" t="str">
        <f>IF(OR(Table1[[#This Row],[Energy Type]]="Solar",Table1[[#This Row],[Energy Type]]="Wind"),"Renewable","Non-Renewable")</f>
        <v>Renewable</v>
      </c>
      <c r="F192">
        <v>61952</v>
      </c>
      <c r="G192">
        <v>49726</v>
      </c>
      <c r="H192">
        <v>36009</v>
      </c>
      <c r="I192">
        <v>8643</v>
      </c>
      <c r="J192" s="8">
        <f>Table1[[#This Row],[Revenue (Crore ₹)]]/Table1[[#This Row],[Employees]]</f>
        <v>4.1662617146824017</v>
      </c>
      <c r="K192">
        <v>22.76</v>
      </c>
      <c r="L192">
        <v>3.67</v>
      </c>
      <c r="M192">
        <v>13728</v>
      </c>
      <c r="N192">
        <v>22281</v>
      </c>
      <c r="O192">
        <v>139633</v>
      </c>
      <c r="P192">
        <v>52.51</v>
      </c>
    </row>
    <row r="193" spans="1:16" x14ac:dyDescent="0.3">
      <c r="A193">
        <v>2023</v>
      </c>
      <c r="B193" t="s">
        <v>17</v>
      </c>
      <c r="C193" t="s">
        <v>18</v>
      </c>
      <c r="D193" t="s">
        <v>22</v>
      </c>
      <c r="E193" t="str">
        <f>IF(OR(Table1[[#This Row],[Energy Type]]="Solar",Table1[[#This Row],[Energy Type]]="Wind"),"Renewable","Non-Renewable")</f>
        <v>Non-Renewable</v>
      </c>
      <c r="F193">
        <v>178227</v>
      </c>
      <c r="G193">
        <v>87337</v>
      </c>
      <c r="H193">
        <v>39152</v>
      </c>
      <c r="I193">
        <v>6640</v>
      </c>
      <c r="J193" s="8">
        <f>Table1[[#This Row],[Revenue (Crore ₹)]]/Table1[[#This Row],[Employees]]</f>
        <v>5.8963855421686748</v>
      </c>
      <c r="K193">
        <v>14.57</v>
      </c>
      <c r="L193">
        <v>10.45</v>
      </c>
      <c r="M193">
        <v>42666</v>
      </c>
      <c r="N193">
        <v>-3514</v>
      </c>
      <c r="O193">
        <v>143709</v>
      </c>
      <c r="P193">
        <v>38.97</v>
      </c>
    </row>
    <row r="194" spans="1:16" x14ac:dyDescent="0.3">
      <c r="A194">
        <v>2025</v>
      </c>
      <c r="B194" t="s">
        <v>30</v>
      </c>
      <c r="C194" t="s">
        <v>24</v>
      </c>
      <c r="D194" t="s">
        <v>16</v>
      </c>
      <c r="E194" t="str">
        <f>IF(OR(Table1[[#This Row],[Energy Type]]="Solar",Table1[[#This Row],[Energy Type]]="Wind"),"Renewable","Non-Renewable")</f>
        <v>Non-Renewable</v>
      </c>
      <c r="F194">
        <v>53315</v>
      </c>
      <c r="G194">
        <v>28930</v>
      </c>
      <c r="H194">
        <v>227674</v>
      </c>
      <c r="I194">
        <v>7167</v>
      </c>
      <c r="J194" s="8">
        <f>Table1[[#This Row],[Revenue (Crore ₹)]]/Table1[[#This Row],[Employees]]</f>
        <v>31.766987581972931</v>
      </c>
      <c r="K194">
        <v>14.41</v>
      </c>
      <c r="L194">
        <v>10.39</v>
      </c>
      <c r="M194">
        <v>271</v>
      </c>
      <c r="N194">
        <v>227403</v>
      </c>
      <c r="O194">
        <v>129258</v>
      </c>
      <c r="P194">
        <v>51.3</v>
      </c>
    </row>
    <row r="195" spans="1:16" x14ac:dyDescent="0.3">
      <c r="A195">
        <v>2020</v>
      </c>
      <c r="B195" t="s">
        <v>29</v>
      </c>
      <c r="C195" t="s">
        <v>15</v>
      </c>
      <c r="D195" t="s">
        <v>16</v>
      </c>
      <c r="E195" t="str">
        <f>IF(OR(Table1[[#This Row],[Energy Type]]="Solar",Table1[[#This Row],[Energy Type]]="Wind"),"Renewable","Non-Renewable")</f>
        <v>Non-Renewable</v>
      </c>
      <c r="F195">
        <v>89743</v>
      </c>
      <c r="G195">
        <v>11212</v>
      </c>
      <c r="H195">
        <v>164158</v>
      </c>
      <c r="I195">
        <v>3931</v>
      </c>
      <c r="J195" s="8">
        <f>Table1[[#This Row],[Revenue (Crore ₹)]]/Table1[[#This Row],[Employees]]</f>
        <v>41.759857542610021</v>
      </c>
      <c r="K195">
        <v>10.9</v>
      </c>
      <c r="L195">
        <v>5.27</v>
      </c>
      <c r="M195">
        <v>40716</v>
      </c>
      <c r="N195">
        <v>123442</v>
      </c>
      <c r="O195">
        <v>30643</v>
      </c>
      <c r="P195">
        <v>46.17</v>
      </c>
    </row>
    <row r="196" spans="1:16" x14ac:dyDescent="0.3">
      <c r="A196">
        <v>2021</v>
      </c>
      <c r="B196" t="s">
        <v>30</v>
      </c>
      <c r="C196" t="s">
        <v>18</v>
      </c>
      <c r="D196" t="s">
        <v>16</v>
      </c>
      <c r="E196" t="str">
        <f>IF(OR(Table1[[#This Row],[Energy Type]]="Solar",Table1[[#This Row],[Energy Type]]="Wind"),"Renewable","Non-Renewable")</f>
        <v>Non-Renewable</v>
      </c>
      <c r="F196">
        <v>82325</v>
      </c>
      <c r="G196">
        <v>40896</v>
      </c>
      <c r="H196">
        <v>8144</v>
      </c>
      <c r="I196">
        <v>8456</v>
      </c>
      <c r="J196" s="8">
        <f>Table1[[#This Row],[Revenue (Crore ₹)]]/Table1[[#This Row],[Employees]]</f>
        <v>0.96310312204351944</v>
      </c>
      <c r="K196">
        <v>14.16</v>
      </c>
      <c r="L196">
        <v>14.34</v>
      </c>
      <c r="M196">
        <v>24053</v>
      </c>
      <c r="N196">
        <v>-15909</v>
      </c>
      <c r="O196">
        <v>214810</v>
      </c>
      <c r="P196">
        <v>14.5</v>
      </c>
    </row>
    <row r="197" spans="1:16" x14ac:dyDescent="0.3">
      <c r="A197">
        <v>2025</v>
      </c>
      <c r="B197" t="s">
        <v>14</v>
      </c>
      <c r="C197" t="s">
        <v>18</v>
      </c>
      <c r="D197" t="s">
        <v>25</v>
      </c>
      <c r="E197" t="str">
        <f>IF(OR(Table1[[#This Row],[Energy Type]]="Solar",Table1[[#This Row],[Energy Type]]="Wind"),"Renewable","Non-Renewable")</f>
        <v>Renewable</v>
      </c>
      <c r="F197">
        <v>114951</v>
      </c>
      <c r="G197">
        <v>84790</v>
      </c>
      <c r="H197">
        <v>284430</v>
      </c>
      <c r="I197">
        <v>9037</v>
      </c>
      <c r="J197" s="8">
        <f>Table1[[#This Row],[Revenue (Crore ₹)]]/Table1[[#This Row],[Employees]]</f>
        <v>31.473940466969125</v>
      </c>
      <c r="K197">
        <v>17.38</v>
      </c>
      <c r="L197">
        <v>13.85</v>
      </c>
      <c r="M197">
        <v>16991</v>
      </c>
      <c r="N197">
        <v>267439</v>
      </c>
      <c r="O197">
        <v>252977</v>
      </c>
      <c r="P197">
        <v>18.399999999999999</v>
      </c>
    </row>
    <row r="198" spans="1:16" x14ac:dyDescent="0.3">
      <c r="A198">
        <v>2022</v>
      </c>
      <c r="B198" t="s">
        <v>23</v>
      </c>
      <c r="C198" t="s">
        <v>15</v>
      </c>
      <c r="D198" t="s">
        <v>25</v>
      </c>
      <c r="E198" t="str">
        <f>IF(OR(Table1[[#This Row],[Energy Type]]="Solar",Table1[[#This Row],[Energy Type]]="Wind"),"Renewable","Non-Renewable")</f>
        <v>Renewable</v>
      </c>
      <c r="F198">
        <v>100146</v>
      </c>
      <c r="G198">
        <v>5452</v>
      </c>
      <c r="H198">
        <v>168169</v>
      </c>
      <c r="I198">
        <v>4568</v>
      </c>
      <c r="J198" s="8">
        <f>Table1[[#This Row],[Revenue (Crore ₹)]]/Table1[[#This Row],[Employees]]</f>
        <v>36.814579684763572</v>
      </c>
      <c r="K198">
        <v>18.66</v>
      </c>
      <c r="L198">
        <v>8.56</v>
      </c>
      <c r="M198">
        <v>48218</v>
      </c>
      <c r="N198">
        <v>119951</v>
      </c>
      <c r="O198">
        <v>212940</v>
      </c>
      <c r="P198">
        <v>64.989999999999995</v>
      </c>
    </row>
    <row r="199" spans="1:16" x14ac:dyDescent="0.3">
      <c r="A199">
        <v>2024</v>
      </c>
      <c r="B199" t="s">
        <v>29</v>
      </c>
      <c r="C199" t="s">
        <v>21</v>
      </c>
      <c r="D199" t="s">
        <v>16</v>
      </c>
      <c r="E199" t="str">
        <f>IF(OR(Table1[[#This Row],[Energy Type]]="Solar",Table1[[#This Row],[Energy Type]]="Wind"),"Renewable","Non-Renewable")</f>
        <v>Non-Renewable</v>
      </c>
      <c r="F199">
        <v>177823</v>
      </c>
      <c r="G199">
        <v>65009</v>
      </c>
      <c r="H199">
        <v>211942</v>
      </c>
      <c r="I199">
        <v>2613</v>
      </c>
      <c r="J199" s="8">
        <f>Table1[[#This Row],[Revenue (Crore ₹)]]/Table1[[#This Row],[Employees]]</f>
        <v>81.11060084194412</v>
      </c>
      <c r="K199">
        <v>24.07</v>
      </c>
      <c r="L199">
        <v>5.65</v>
      </c>
      <c r="M199">
        <v>33250</v>
      </c>
      <c r="N199">
        <v>178692</v>
      </c>
      <c r="O199">
        <v>167577</v>
      </c>
      <c r="P199">
        <v>53.11</v>
      </c>
    </row>
    <row r="200" spans="1:16" x14ac:dyDescent="0.3">
      <c r="A200">
        <v>2022</v>
      </c>
      <c r="B200" t="s">
        <v>14</v>
      </c>
      <c r="C200" t="s">
        <v>15</v>
      </c>
      <c r="D200" t="s">
        <v>20</v>
      </c>
      <c r="E200" t="str">
        <f>IF(OR(Table1[[#This Row],[Energy Type]]="Solar",Table1[[#This Row],[Energy Type]]="Wind"),"Renewable","Non-Renewable")</f>
        <v>Non-Renewable</v>
      </c>
      <c r="F200">
        <v>26911</v>
      </c>
      <c r="G200">
        <v>26063</v>
      </c>
      <c r="H200">
        <v>190181</v>
      </c>
      <c r="I200">
        <v>1506</v>
      </c>
      <c r="J200" s="8">
        <f>Table1[[#This Row],[Revenue (Crore ₹)]]/Table1[[#This Row],[Employees]]</f>
        <v>126.28220451527224</v>
      </c>
      <c r="K200">
        <v>15.56</v>
      </c>
      <c r="L200">
        <v>9.7799999999999994</v>
      </c>
      <c r="M200">
        <v>29670</v>
      </c>
      <c r="N200">
        <v>160511</v>
      </c>
      <c r="O200">
        <v>102624</v>
      </c>
      <c r="P200">
        <v>38.9</v>
      </c>
    </row>
    <row r="201" spans="1:16" x14ac:dyDescent="0.3">
      <c r="A201">
        <v>2025</v>
      </c>
      <c r="B201" t="s">
        <v>14</v>
      </c>
      <c r="C201" t="s">
        <v>34</v>
      </c>
      <c r="D201" t="s">
        <v>16</v>
      </c>
      <c r="E201" t="str">
        <f>IF(OR(Table1[[#This Row],[Energy Type]]="Solar",Table1[[#This Row],[Energy Type]]="Wind"),"Renewable","Non-Renewable")</f>
        <v>Non-Renewable</v>
      </c>
      <c r="F201">
        <v>31028</v>
      </c>
      <c r="G201">
        <v>18050</v>
      </c>
      <c r="H201">
        <v>250790</v>
      </c>
      <c r="I201">
        <v>6887</v>
      </c>
      <c r="J201" s="8">
        <f>Table1[[#This Row],[Revenue (Crore ₹)]]/Table1[[#This Row],[Employees]]</f>
        <v>36.414984753884127</v>
      </c>
      <c r="K201">
        <v>14.11</v>
      </c>
      <c r="L201">
        <v>12.57</v>
      </c>
      <c r="M201">
        <v>26652</v>
      </c>
      <c r="N201">
        <v>224138</v>
      </c>
      <c r="O201">
        <v>26217</v>
      </c>
      <c r="P201">
        <v>31.25</v>
      </c>
    </row>
    <row r="202" spans="1:16" x14ac:dyDescent="0.3">
      <c r="A202">
        <v>2025</v>
      </c>
      <c r="B202" t="s">
        <v>17</v>
      </c>
      <c r="C202" t="s">
        <v>28</v>
      </c>
      <c r="D202" t="s">
        <v>16</v>
      </c>
      <c r="E202" t="str">
        <f>IF(OR(Table1[[#This Row],[Energy Type]]="Solar",Table1[[#This Row],[Energy Type]]="Wind"),"Renewable","Non-Renewable")</f>
        <v>Non-Renewable</v>
      </c>
      <c r="F202">
        <v>190375</v>
      </c>
      <c r="G202">
        <v>47586</v>
      </c>
      <c r="H202">
        <v>176987</v>
      </c>
      <c r="I202">
        <v>7791</v>
      </c>
      <c r="J202" s="8">
        <f>Table1[[#This Row],[Revenue (Crore ₹)]]/Table1[[#This Row],[Employees]]</f>
        <v>22.71685277884739</v>
      </c>
      <c r="K202">
        <v>24.21</v>
      </c>
      <c r="L202">
        <v>11.07</v>
      </c>
      <c r="M202">
        <v>30163</v>
      </c>
      <c r="N202">
        <v>146824</v>
      </c>
      <c r="O202">
        <v>170385</v>
      </c>
      <c r="P202">
        <v>28.8</v>
      </c>
    </row>
    <row r="203" spans="1:16" x14ac:dyDescent="0.3">
      <c r="A203">
        <v>2025</v>
      </c>
      <c r="B203" t="s">
        <v>29</v>
      </c>
      <c r="C203" t="s">
        <v>18</v>
      </c>
      <c r="D203" t="s">
        <v>32</v>
      </c>
      <c r="E203" t="str">
        <f>IF(OR(Table1[[#This Row],[Energy Type]]="Solar",Table1[[#This Row],[Energy Type]]="Wind"),"Renewable","Non-Renewable")</f>
        <v>Renewable</v>
      </c>
      <c r="F203">
        <v>68145</v>
      </c>
      <c r="G203">
        <v>39261</v>
      </c>
      <c r="H203">
        <v>214356</v>
      </c>
      <c r="I203">
        <v>9817</v>
      </c>
      <c r="J203" s="8">
        <f>Table1[[#This Row],[Revenue (Crore ₹)]]/Table1[[#This Row],[Employees]]</f>
        <v>21.835183864724456</v>
      </c>
      <c r="K203">
        <v>3.52</v>
      </c>
      <c r="L203">
        <v>11.08</v>
      </c>
      <c r="M203">
        <v>46214</v>
      </c>
      <c r="N203">
        <v>168142</v>
      </c>
      <c r="O203">
        <v>185064</v>
      </c>
      <c r="P203">
        <v>11.05</v>
      </c>
    </row>
    <row r="204" spans="1:16" x14ac:dyDescent="0.3">
      <c r="A204">
        <v>2023</v>
      </c>
      <c r="B204" t="s">
        <v>30</v>
      </c>
      <c r="C204" t="s">
        <v>24</v>
      </c>
      <c r="D204" t="s">
        <v>20</v>
      </c>
      <c r="E204" t="str">
        <f>IF(OR(Table1[[#This Row],[Energy Type]]="Solar",Table1[[#This Row],[Energy Type]]="Wind"),"Renewable","Non-Renewable")</f>
        <v>Non-Renewable</v>
      </c>
      <c r="F204">
        <v>65259</v>
      </c>
      <c r="G204">
        <v>5684</v>
      </c>
      <c r="H204">
        <v>173651</v>
      </c>
      <c r="I204">
        <v>1596</v>
      </c>
      <c r="J204" s="8">
        <f>Table1[[#This Row],[Revenue (Crore ₹)]]/Table1[[#This Row],[Employees]]</f>
        <v>108.80388471177945</v>
      </c>
      <c r="K204">
        <v>2.25</v>
      </c>
      <c r="L204">
        <v>6.42</v>
      </c>
      <c r="M204">
        <v>28914</v>
      </c>
      <c r="N204">
        <v>144737</v>
      </c>
      <c r="O204">
        <v>156238</v>
      </c>
      <c r="P204">
        <v>49.23</v>
      </c>
    </row>
    <row r="205" spans="1:16" x14ac:dyDescent="0.3">
      <c r="A205">
        <v>2024</v>
      </c>
      <c r="B205" t="s">
        <v>23</v>
      </c>
      <c r="C205" t="s">
        <v>26</v>
      </c>
      <c r="D205" t="s">
        <v>32</v>
      </c>
      <c r="E205" t="str">
        <f>IF(OR(Table1[[#This Row],[Energy Type]]="Solar",Table1[[#This Row],[Energy Type]]="Wind"),"Renewable","Non-Renewable")</f>
        <v>Renewable</v>
      </c>
      <c r="F205">
        <v>14597</v>
      </c>
      <c r="G205">
        <v>6470</v>
      </c>
      <c r="H205">
        <v>251543</v>
      </c>
      <c r="I205">
        <v>9111</v>
      </c>
      <c r="J205" s="8">
        <f>Table1[[#This Row],[Revenue (Crore ₹)]]/Table1[[#This Row],[Employees]]</f>
        <v>27.608714740423665</v>
      </c>
      <c r="K205">
        <v>22.7</v>
      </c>
      <c r="L205">
        <v>14.61</v>
      </c>
      <c r="M205">
        <v>46366</v>
      </c>
      <c r="N205">
        <v>205177</v>
      </c>
      <c r="O205">
        <v>148519</v>
      </c>
      <c r="P205">
        <v>37.270000000000003</v>
      </c>
    </row>
    <row r="206" spans="1:16" x14ac:dyDescent="0.3">
      <c r="A206">
        <v>2022</v>
      </c>
      <c r="B206" t="s">
        <v>14</v>
      </c>
      <c r="C206" t="s">
        <v>18</v>
      </c>
      <c r="D206" t="s">
        <v>20</v>
      </c>
      <c r="E206" t="str">
        <f>IF(OR(Table1[[#This Row],[Energy Type]]="Solar",Table1[[#This Row],[Energy Type]]="Wind"),"Renewable","Non-Renewable")</f>
        <v>Non-Renewable</v>
      </c>
      <c r="F206">
        <v>156495</v>
      </c>
      <c r="G206">
        <v>144089</v>
      </c>
      <c r="H206">
        <v>37545</v>
      </c>
      <c r="I206">
        <v>8410</v>
      </c>
      <c r="J206" s="8">
        <f>Table1[[#This Row],[Revenue (Crore ₹)]]/Table1[[#This Row],[Employees]]</f>
        <v>4.4643281807372173</v>
      </c>
      <c r="K206">
        <v>23.7</v>
      </c>
      <c r="L206">
        <v>12.76</v>
      </c>
      <c r="M206">
        <v>44966</v>
      </c>
      <c r="N206">
        <v>-7421</v>
      </c>
      <c r="O206">
        <v>32881</v>
      </c>
      <c r="P206">
        <v>32.04</v>
      </c>
    </row>
    <row r="207" spans="1:16" x14ac:dyDescent="0.3">
      <c r="A207">
        <v>2023</v>
      </c>
      <c r="B207" t="s">
        <v>14</v>
      </c>
      <c r="C207" t="s">
        <v>18</v>
      </c>
      <c r="D207" t="s">
        <v>16</v>
      </c>
      <c r="E207" t="str">
        <f>IF(OR(Table1[[#This Row],[Energy Type]]="Solar",Table1[[#This Row],[Energy Type]]="Wind"),"Renewable","Non-Renewable")</f>
        <v>Non-Renewable</v>
      </c>
      <c r="F207">
        <v>151283</v>
      </c>
      <c r="G207">
        <v>125652</v>
      </c>
      <c r="H207">
        <v>51165</v>
      </c>
      <c r="I207">
        <v>6188</v>
      </c>
      <c r="J207" s="8">
        <f>Table1[[#This Row],[Revenue (Crore ₹)]]/Table1[[#This Row],[Employees]]</f>
        <v>8.2684227537168713</v>
      </c>
      <c r="K207">
        <v>8.7799999999999994</v>
      </c>
      <c r="L207">
        <v>13.91</v>
      </c>
      <c r="M207">
        <v>23001</v>
      </c>
      <c r="N207">
        <v>28164</v>
      </c>
      <c r="O207">
        <v>133140</v>
      </c>
      <c r="P207">
        <v>46.38</v>
      </c>
    </row>
    <row r="208" spans="1:16" x14ac:dyDescent="0.3">
      <c r="A208">
        <v>2021</v>
      </c>
      <c r="B208" t="s">
        <v>19</v>
      </c>
      <c r="C208" t="s">
        <v>26</v>
      </c>
      <c r="D208" t="s">
        <v>16</v>
      </c>
      <c r="E208" t="str">
        <f>IF(OR(Table1[[#This Row],[Energy Type]]="Solar",Table1[[#This Row],[Energy Type]]="Wind"),"Renewable","Non-Renewable")</f>
        <v>Non-Renewable</v>
      </c>
      <c r="F208">
        <v>159232</v>
      </c>
      <c r="G208">
        <v>142570</v>
      </c>
      <c r="H208">
        <v>229308</v>
      </c>
      <c r="I208">
        <v>2608</v>
      </c>
      <c r="J208" s="8">
        <f>Table1[[#This Row],[Revenue (Crore ₹)]]/Table1[[#This Row],[Employees]]</f>
        <v>87.924846625766875</v>
      </c>
      <c r="K208">
        <v>17.239999999999998</v>
      </c>
      <c r="L208">
        <v>12.06</v>
      </c>
      <c r="M208">
        <v>9992</v>
      </c>
      <c r="N208">
        <v>219316</v>
      </c>
      <c r="O208">
        <v>20500</v>
      </c>
      <c r="P208">
        <v>63.6</v>
      </c>
    </row>
    <row r="209" spans="1:16" x14ac:dyDescent="0.3">
      <c r="A209">
        <v>2022</v>
      </c>
      <c r="B209" t="s">
        <v>14</v>
      </c>
      <c r="C209" t="s">
        <v>24</v>
      </c>
      <c r="D209" t="s">
        <v>25</v>
      </c>
      <c r="E209" t="str">
        <f>IF(OR(Table1[[#This Row],[Energy Type]]="Solar",Table1[[#This Row],[Energy Type]]="Wind"),"Renewable","Non-Renewable")</f>
        <v>Renewable</v>
      </c>
      <c r="F209">
        <v>89932</v>
      </c>
      <c r="G209">
        <v>82327</v>
      </c>
      <c r="H209">
        <v>152180</v>
      </c>
      <c r="I209">
        <v>986</v>
      </c>
      <c r="J209" s="8">
        <f>Table1[[#This Row],[Revenue (Crore ₹)]]/Table1[[#This Row],[Employees]]</f>
        <v>154.34077079107504</v>
      </c>
      <c r="K209">
        <v>14.46</v>
      </c>
      <c r="L209">
        <v>14.98</v>
      </c>
      <c r="M209">
        <v>20753</v>
      </c>
      <c r="N209">
        <v>131427</v>
      </c>
      <c r="O209">
        <v>160736</v>
      </c>
      <c r="P209">
        <v>78.010000000000005</v>
      </c>
    </row>
    <row r="210" spans="1:16" x14ac:dyDescent="0.3">
      <c r="A210">
        <v>2022</v>
      </c>
      <c r="B210" t="s">
        <v>23</v>
      </c>
      <c r="C210" t="s">
        <v>28</v>
      </c>
      <c r="D210" t="s">
        <v>25</v>
      </c>
      <c r="E210" t="str">
        <f>IF(OR(Table1[[#This Row],[Energy Type]]="Solar",Table1[[#This Row],[Energy Type]]="Wind"),"Renewable","Non-Renewable")</f>
        <v>Renewable</v>
      </c>
      <c r="F210">
        <v>86247</v>
      </c>
      <c r="G210">
        <v>15978</v>
      </c>
      <c r="H210">
        <v>50062</v>
      </c>
      <c r="I210">
        <v>1603</v>
      </c>
      <c r="J210" s="8">
        <f>Table1[[#This Row],[Revenue (Crore ₹)]]/Table1[[#This Row],[Employees]]</f>
        <v>31.230193387398629</v>
      </c>
      <c r="K210">
        <v>7.76</v>
      </c>
      <c r="L210">
        <v>3.25</v>
      </c>
      <c r="M210">
        <v>35994</v>
      </c>
      <c r="N210">
        <v>14068</v>
      </c>
      <c r="O210">
        <v>234307</v>
      </c>
      <c r="P210">
        <v>8.3800000000000008</v>
      </c>
    </row>
    <row r="211" spans="1:16" x14ac:dyDescent="0.3">
      <c r="A211">
        <v>2021</v>
      </c>
      <c r="B211" t="s">
        <v>19</v>
      </c>
      <c r="C211" t="s">
        <v>24</v>
      </c>
      <c r="D211" t="s">
        <v>32</v>
      </c>
      <c r="E211" t="str">
        <f>IF(OR(Table1[[#This Row],[Energy Type]]="Solar",Table1[[#This Row],[Energy Type]]="Wind"),"Renewable","Non-Renewable")</f>
        <v>Renewable</v>
      </c>
      <c r="F211">
        <v>76612</v>
      </c>
      <c r="G211">
        <v>49459</v>
      </c>
      <c r="H211">
        <v>81506</v>
      </c>
      <c r="I211">
        <v>6394</v>
      </c>
      <c r="J211" s="8">
        <f>Table1[[#This Row],[Revenue (Crore ₹)]]/Table1[[#This Row],[Employees]]</f>
        <v>12.747263059117923</v>
      </c>
      <c r="K211">
        <v>4.93</v>
      </c>
      <c r="L211">
        <v>4.57</v>
      </c>
      <c r="M211">
        <v>15132</v>
      </c>
      <c r="N211">
        <v>66374</v>
      </c>
      <c r="O211">
        <v>70762</v>
      </c>
      <c r="P211">
        <v>67.7</v>
      </c>
    </row>
    <row r="212" spans="1:16" x14ac:dyDescent="0.3">
      <c r="A212">
        <v>2020</v>
      </c>
      <c r="B212" t="s">
        <v>29</v>
      </c>
      <c r="C212" t="s">
        <v>18</v>
      </c>
      <c r="D212" t="s">
        <v>25</v>
      </c>
      <c r="E212" t="str">
        <f>IF(OR(Table1[[#This Row],[Energy Type]]="Solar",Table1[[#This Row],[Energy Type]]="Wind"),"Renewable","Non-Renewable")</f>
        <v>Renewable</v>
      </c>
      <c r="F212">
        <v>176154</v>
      </c>
      <c r="G212">
        <v>149459</v>
      </c>
      <c r="H212">
        <v>107944</v>
      </c>
      <c r="I212">
        <v>3819</v>
      </c>
      <c r="J212" s="8">
        <f>Table1[[#This Row],[Revenue (Crore ₹)]]/Table1[[#This Row],[Employees]]</f>
        <v>28.264990835297198</v>
      </c>
      <c r="K212">
        <v>12.13</v>
      </c>
      <c r="L212">
        <v>11.84</v>
      </c>
      <c r="M212">
        <v>28216</v>
      </c>
      <c r="N212">
        <v>79728</v>
      </c>
      <c r="O212">
        <v>122317</v>
      </c>
      <c r="P212">
        <v>44.08</v>
      </c>
    </row>
    <row r="213" spans="1:16" x14ac:dyDescent="0.3">
      <c r="A213">
        <v>2022</v>
      </c>
      <c r="B213" t="s">
        <v>23</v>
      </c>
      <c r="C213" t="s">
        <v>34</v>
      </c>
      <c r="D213" t="s">
        <v>22</v>
      </c>
      <c r="E213" t="str">
        <f>IF(OR(Table1[[#This Row],[Energy Type]]="Solar",Table1[[#This Row],[Energy Type]]="Wind"),"Renewable","Non-Renewable")</f>
        <v>Non-Renewable</v>
      </c>
      <c r="F213">
        <v>190053</v>
      </c>
      <c r="G213">
        <v>113451</v>
      </c>
      <c r="H213">
        <v>9694</v>
      </c>
      <c r="I213">
        <v>7372</v>
      </c>
      <c r="J213" s="8">
        <f>Table1[[#This Row],[Revenue (Crore ₹)]]/Table1[[#This Row],[Employees]]</f>
        <v>1.3149755832881171</v>
      </c>
      <c r="K213">
        <v>18.510000000000002</v>
      </c>
      <c r="L213">
        <v>14.06</v>
      </c>
      <c r="M213">
        <v>17478</v>
      </c>
      <c r="N213">
        <v>-7784</v>
      </c>
      <c r="O213">
        <v>170863</v>
      </c>
      <c r="P213">
        <v>33.380000000000003</v>
      </c>
    </row>
    <row r="214" spans="1:16" x14ac:dyDescent="0.3">
      <c r="A214">
        <v>2023</v>
      </c>
      <c r="B214" t="s">
        <v>19</v>
      </c>
      <c r="C214" t="s">
        <v>34</v>
      </c>
      <c r="D214" t="s">
        <v>32</v>
      </c>
      <c r="E214" t="str">
        <f>IF(OR(Table1[[#This Row],[Energy Type]]="Solar",Table1[[#This Row],[Energy Type]]="Wind"),"Renewable","Non-Renewable")</f>
        <v>Renewable</v>
      </c>
      <c r="F214">
        <v>138171</v>
      </c>
      <c r="G214">
        <v>15890</v>
      </c>
      <c r="H214">
        <v>110594</v>
      </c>
      <c r="I214">
        <v>9447</v>
      </c>
      <c r="J214" s="8">
        <f>Table1[[#This Row],[Revenue (Crore ₹)]]/Table1[[#This Row],[Employees]]</f>
        <v>11.706785222822059</v>
      </c>
      <c r="K214">
        <v>3.63</v>
      </c>
      <c r="L214">
        <v>4.1399999999999997</v>
      </c>
      <c r="M214">
        <v>12029</v>
      </c>
      <c r="N214">
        <v>98565</v>
      </c>
      <c r="O214">
        <v>220770</v>
      </c>
      <c r="P214">
        <v>52.11</v>
      </c>
    </row>
    <row r="215" spans="1:16" x14ac:dyDescent="0.3">
      <c r="A215">
        <v>2025</v>
      </c>
      <c r="B215" t="s">
        <v>19</v>
      </c>
      <c r="C215" t="s">
        <v>28</v>
      </c>
      <c r="D215" t="s">
        <v>22</v>
      </c>
      <c r="E215" t="str">
        <f>IF(OR(Table1[[#This Row],[Energy Type]]="Solar",Table1[[#This Row],[Energy Type]]="Wind"),"Renewable","Non-Renewable")</f>
        <v>Non-Renewable</v>
      </c>
      <c r="F215">
        <v>98512</v>
      </c>
      <c r="G215">
        <v>80612</v>
      </c>
      <c r="H215">
        <v>244499</v>
      </c>
      <c r="I215">
        <v>9171</v>
      </c>
      <c r="J215" s="8">
        <f>Table1[[#This Row],[Revenue (Crore ₹)]]/Table1[[#This Row],[Employees]]</f>
        <v>26.66001526551085</v>
      </c>
      <c r="K215">
        <v>20.45</v>
      </c>
      <c r="L215">
        <v>12.3</v>
      </c>
      <c r="M215">
        <v>14132</v>
      </c>
      <c r="N215">
        <v>230367</v>
      </c>
      <c r="O215">
        <v>16462</v>
      </c>
      <c r="P215">
        <v>8.82</v>
      </c>
    </row>
    <row r="216" spans="1:16" x14ac:dyDescent="0.3">
      <c r="A216">
        <v>2021</v>
      </c>
      <c r="B216" t="s">
        <v>23</v>
      </c>
      <c r="C216" t="s">
        <v>18</v>
      </c>
      <c r="D216" t="s">
        <v>22</v>
      </c>
      <c r="E216" t="str">
        <f>IF(OR(Table1[[#This Row],[Energy Type]]="Solar",Table1[[#This Row],[Energy Type]]="Wind"),"Renewable","Non-Renewable")</f>
        <v>Non-Renewable</v>
      </c>
      <c r="F216">
        <v>49545</v>
      </c>
      <c r="G216">
        <v>2369</v>
      </c>
      <c r="H216">
        <v>99278</v>
      </c>
      <c r="I216">
        <v>1372</v>
      </c>
      <c r="J216" s="8">
        <f>Table1[[#This Row],[Revenue (Crore ₹)]]/Table1[[#This Row],[Employees]]</f>
        <v>72.360058309037896</v>
      </c>
      <c r="K216">
        <v>23.41</v>
      </c>
      <c r="L216">
        <v>8.09</v>
      </c>
      <c r="M216">
        <v>25765</v>
      </c>
      <c r="N216">
        <v>73513</v>
      </c>
      <c r="O216">
        <v>82678</v>
      </c>
      <c r="P216">
        <v>18.850000000000001</v>
      </c>
    </row>
    <row r="217" spans="1:16" x14ac:dyDescent="0.3">
      <c r="A217">
        <v>2024</v>
      </c>
      <c r="B217" t="s">
        <v>14</v>
      </c>
      <c r="C217" t="s">
        <v>24</v>
      </c>
      <c r="D217" t="s">
        <v>16</v>
      </c>
      <c r="E217" t="str">
        <f>IF(OR(Table1[[#This Row],[Energy Type]]="Solar",Table1[[#This Row],[Energy Type]]="Wind"),"Renewable","Non-Renewable")</f>
        <v>Non-Renewable</v>
      </c>
      <c r="F217">
        <v>132523</v>
      </c>
      <c r="G217">
        <v>92705</v>
      </c>
      <c r="H217">
        <v>184507</v>
      </c>
      <c r="I217">
        <v>523</v>
      </c>
      <c r="J217" s="8">
        <f>Table1[[#This Row],[Revenue (Crore ₹)]]/Table1[[#This Row],[Employees]]</f>
        <v>352.78585086042062</v>
      </c>
      <c r="K217">
        <v>24.65</v>
      </c>
      <c r="L217">
        <v>13.58</v>
      </c>
      <c r="M217">
        <v>3124</v>
      </c>
      <c r="N217">
        <v>181383</v>
      </c>
      <c r="O217">
        <v>10168</v>
      </c>
      <c r="P217">
        <v>75.59</v>
      </c>
    </row>
    <row r="218" spans="1:16" x14ac:dyDescent="0.3">
      <c r="A218">
        <v>2020</v>
      </c>
      <c r="B218" t="s">
        <v>31</v>
      </c>
      <c r="C218" t="s">
        <v>34</v>
      </c>
      <c r="D218" t="s">
        <v>32</v>
      </c>
      <c r="E218" t="str">
        <f>IF(OR(Table1[[#This Row],[Energy Type]]="Solar",Table1[[#This Row],[Energy Type]]="Wind"),"Renewable","Non-Renewable")</f>
        <v>Renewable</v>
      </c>
      <c r="F218">
        <v>28561</v>
      </c>
      <c r="G218">
        <v>10503</v>
      </c>
      <c r="H218">
        <v>296326</v>
      </c>
      <c r="I218">
        <v>5326</v>
      </c>
      <c r="J218" s="8">
        <f>Table1[[#This Row],[Revenue (Crore ₹)]]/Table1[[#This Row],[Employees]]</f>
        <v>55.637626736763046</v>
      </c>
      <c r="K218">
        <v>21.61</v>
      </c>
      <c r="L218">
        <v>9.8800000000000008</v>
      </c>
      <c r="M218">
        <v>45616</v>
      </c>
      <c r="N218">
        <v>250710</v>
      </c>
      <c r="O218">
        <v>14202</v>
      </c>
      <c r="P218">
        <v>68.569999999999993</v>
      </c>
    </row>
    <row r="219" spans="1:16" x14ac:dyDescent="0.3">
      <c r="A219">
        <v>2020</v>
      </c>
      <c r="B219" t="s">
        <v>23</v>
      </c>
      <c r="C219" t="s">
        <v>24</v>
      </c>
      <c r="D219" t="s">
        <v>32</v>
      </c>
      <c r="E219" t="str">
        <f>IF(OR(Table1[[#This Row],[Energy Type]]="Solar",Table1[[#This Row],[Energy Type]]="Wind"),"Renewable","Non-Renewable")</f>
        <v>Renewable</v>
      </c>
      <c r="F219">
        <v>169852</v>
      </c>
      <c r="G219">
        <v>8675</v>
      </c>
      <c r="H219">
        <v>271499</v>
      </c>
      <c r="I219">
        <v>6869</v>
      </c>
      <c r="J219" s="8">
        <f>Table1[[#This Row],[Revenue (Crore ₹)]]/Table1[[#This Row],[Employees]]</f>
        <v>39.525258407337311</v>
      </c>
      <c r="K219">
        <v>5.39</v>
      </c>
      <c r="L219">
        <v>6.45</v>
      </c>
      <c r="M219">
        <v>10421</v>
      </c>
      <c r="N219">
        <v>261078</v>
      </c>
      <c r="O219">
        <v>262646</v>
      </c>
      <c r="P219">
        <v>38.6</v>
      </c>
    </row>
    <row r="220" spans="1:16" x14ac:dyDescent="0.3">
      <c r="A220">
        <v>2024</v>
      </c>
      <c r="B220" t="s">
        <v>19</v>
      </c>
      <c r="C220" t="s">
        <v>34</v>
      </c>
      <c r="D220" t="s">
        <v>25</v>
      </c>
      <c r="E220" t="str">
        <f>IF(OR(Table1[[#This Row],[Energy Type]]="Solar",Table1[[#This Row],[Energy Type]]="Wind"),"Renewable","Non-Renewable")</f>
        <v>Renewable</v>
      </c>
      <c r="F220">
        <v>105624</v>
      </c>
      <c r="G220">
        <v>37415</v>
      </c>
      <c r="H220">
        <v>241399</v>
      </c>
      <c r="I220">
        <v>7611</v>
      </c>
      <c r="J220" s="8">
        <f>Table1[[#This Row],[Revenue (Crore ₹)]]/Table1[[#This Row],[Employees]]</f>
        <v>31.717119957955589</v>
      </c>
      <c r="K220">
        <v>13.8</v>
      </c>
      <c r="L220">
        <v>6.75</v>
      </c>
      <c r="M220">
        <v>13229</v>
      </c>
      <c r="N220">
        <v>228170</v>
      </c>
      <c r="O220">
        <v>278245</v>
      </c>
      <c r="P220">
        <v>67.650000000000006</v>
      </c>
    </row>
    <row r="221" spans="1:16" x14ac:dyDescent="0.3">
      <c r="A221">
        <v>2024</v>
      </c>
      <c r="B221" t="s">
        <v>14</v>
      </c>
      <c r="C221" t="s">
        <v>28</v>
      </c>
      <c r="D221" t="s">
        <v>20</v>
      </c>
      <c r="E221" t="str">
        <f>IF(OR(Table1[[#This Row],[Energy Type]]="Solar",Table1[[#This Row],[Energy Type]]="Wind"),"Renewable","Non-Renewable")</f>
        <v>Non-Renewable</v>
      </c>
      <c r="F221">
        <v>45200</v>
      </c>
      <c r="G221">
        <v>14321</v>
      </c>
      <c r="H221">
        <v>260901</v>
      </c>
      <c r="I221">
        <v>5835</v>
      </c>
      <c r="J221" s="8">
        <f>Table1[[#This Row],[Revenue (Crore ₹)]]/Table1[[#This Row],[Employees]]</f>
        <v>44.713110539845758</v>
      </c>
      <c r="K221">
        <v>2.0499999999999998</v>
      </c>
      <c r="L221">
        <v>5.25</v>
      </c>
      <c r="M221">
        <v>13005</v>
      </c>
      <c r="N221">
        <v>247896</v>
      </c>
      <c r="O221">
        <v>154277</v>
      </c>
      <c r="P221">
        <v>13.03</v>
      </c>
    </row>
    <row r="222" spans="1:16" x14ac:dyDescent="0.3">
      <c r="A222">
        <v>2021</v>
      </c>
      <c r="B222" t="s">
        <v>23</v>
      </c>
      <c r="C222" t="s">
        <v>21</v>
      </c>
      <c r="D222" t="s">
        <v>32</v>
      </c>
      <c r="E222" t="str">
        <f>IF(OR(Table1[[#This Row],[Energy Type]]="Solar",Table1[[#This Row],[Energy Type]]="Wind"),"Renewable","Non-Renewable")</f>
        <v>Renewable</v>
      </c>
      <c r="F222">
        <v>124288</v>
      </c>
      <c r="G222">
        <v>29084</v>
      </c>
      <c r="H222">
        <v>100218</v>
      </c>
      <c r="I222">
        <v>2336</v>
      </c>
      <c r="J222" s="8">
        <f>Table1[[#This Row],[Revenue (Crore ₹)]]/Table1[[#This Row],[Employees]]</f>
        <v>42.901541095890408</v>
      </c>
      <c r="K222">
        <v>10.79</v>
      </c>
      <c r="L222">
        <v>6.26</v>
      </c>
      <c r="M222">
        <v>40402</v>
      </c>
      <c r="N222">
        <v>59816</v>
      </c>
      <c r="O222">
        <v>222205</v>
      </c>
      <c r="P222">
        <v>67.37</v>
      </c>
    </row>
    <row r="223" spans="1:16" x14ac:dyDescent="0.3">
      <c r="A223">
        <v>2020</v>
      </c>
      <c r="B223" t="s">
        <v>29</v>
      </c>
      <c r="C223" t="s">
        <v>15</v>
      </c>
      <c r="D223" t="s">
        <v>32</v>
      </c>
      <c r="E223" t="str">
        <f>IF(OR(Table1[[#This Row],[Energy Type]]="Solar",Table1[[#This Row],[Energy Type]]="Wind"),"Renewable","Non-Renewable")</f>
        <v>Renewable</v>
      </c>
      <c r="F223">
        <v>45206</v>
      </c>
      <c r="G223">
        <v>44137</v>
      </c>
      <c r="H223">
        <v>158774</v>
      </c>
      <c r="I223">
        <v>8945</v>
      </c>
      <c r="J223" s="8">
        <f>Table1[[#This Row],[Revenue (Crore ₹)]]/Table1[[#This Row],[Employees]]</f>
        <v>17.750027948574623</v>
      </c>
      <c r="K223">
        <v>24.38</v>
      </c>
      <c r="L223">
        <v>5.24</v>
      </c>
      <c r="M223">
        <v>23657</v>
      </c>
      <c r="N223">
        <v>135117</v>
      </c>
      <c r="O223">
        <v>29231</v>
      </c>
      <c r="P223">
        <v>6.03</v>
      </c>
    </row>
    <row r="224" spans="1:16" x14ac:dyDescent="0.3">
      <c r="A224">
        <v>2021</v>
      </c>
      <c r="B224" t="s">
        <v>27</v>
      </c>
      <c r="C224" t="s">
        <v>21</v>
      </c>
      <c r="D224" t="s">
        <v>16</v>
      </c>
      <c r="E224" t="str">
        <f>IF(OR(Table1[[#This Row],[Energy Type]]="Solar",Table1[[#This Row],[Energy Type]]="Wind"),"Renewable","Non-Renewable")</f>
        <v>Non-Renewable</v>
      </c>
      <c r="F224">
        <v>46956</v>
      </c>
      <c r="G224">
        <v>38371</v>
      </c>
      <c r="H224">
        <v>295592</v>
      </c>
      <c r="I224">
        <v>6496</v>
      </c>
      <c r="J224" s="8">
        <f>Table1[[#This Row],[Revenue (Crore ₹)]]/Table1[[#This Row],[Employees]]</f>
        <v>45.50369458128079</v>
      </c>
      <c r="K224">
        <v>24.37</v>
      </c>
      <c r="L224">
        <v>12.61</v>
      </c>
      <c r="M224">
        <v>41926</v>
      </c>
      <c r="N224">
        <v>253666</v>
      </c>
      <c r="O224">
        <v>97288</v>
      </c>
      <c r="P224">
        <v>24.16</v>
      </c>
    </row>
    <row r="225" spans="1:16" x14ac:dyDescent="0.3">
      <c r="A225">
        <v>2024</v>
      </c>
      <c r="B225" t="s">
        <v>27</v>
      </c>
      <c r="C225" t="s">
        <v>33</v>
      </c>
      <c r="D225" t="s">
        <v>22</v>
      </c>
      <c r="E225" t="str">
        <f>IF(OR(Table1[[#This Row],[Energy Type]]="Solar",Table1[[#This Row],[Energy Type]]="Wind"),"Renewable","Non-Renewable")</f>
        <v>Non-Renewable</v>
      </c>
      <c r="F225">
        <v>50299</v>
      </c>
      <c r="G225">
        <v>26489</v>
      </c>
      <c r="H225">
        <v>129740</v>
      </c>
      <c r="I225">
        <v>2475</v>
      </c>
      <c r="J225" s="8">
        <f>Table1[[#This Row],[Revenue (Crore ₹)]]/Table1[[#This Row],[Employees]]</f>
        <v>52.420202020202019</v>
      </c>
      <c r="K225">
        <v>23.87</v>
      </c>
      <c r="L225">
        <v>3.99</v>
      </c>
      <c r="M225">
        <v>33841</v>
      </c>
      <c r="N225">
        <v>95899</v>
      </c>
      <c r="O225">
        <v>114906</v>
      </c>
      <c r="P225">
        <v>34.72</v>
      </c>
    </row>
    <row r="226" spans="1:16" x14ac:dyDescent="0.3">
      <c r="A226">
        <v>2022</v>
      </c>
      <c r="B226" t="s">
        <v>31</v>
      </c>
      <c r="C226" t="s">
        <v>28</v>
      </c>
      <c r="D226" t="s">
        <v>22</v>
      </c>
      <c r="E226" t="str">
        <f>IF(OR(Table1[[#This Row],[Energy Type]]="Solar",Table1[[#This Row],[Energy Type]]="Wind"),"Renewable","Non-Renewable")</f>
        <v>Non-Renewable</v>
      </c>
      <c r="F226">
        <v>76071</v>
      </c>
      <c r="G226">
        <v>43208</v>
      </c>
      <c r="H226">
        <v>262928</v>
      </c>
      <c r="I226">
        <v>6864</v>
      </c>
      <c r="J226" s="8">
        <f>Table1[[#This Row],[Revenue (Crore ₹)]]/Table1[[#This Row],[Employees]]</f>
        <v>38.305361305361302</v>
      </c>
      <c r="K226">
        <v>21.98</v>
      </c>
      <c r="L226">
        <v>1.91</v>
      </c>
      <c r="M226">
        <v>4884</v>
      </c>
      <c r="N226">
        <v>258044</v>
      </c>
      <c r="O226">
        <v>266913</v>
      </c>
      <c r="P226">
        <v>68.53</v>
      </c>
    </row>
    <row r="227" spans="1:16" x14ac:dyDescent="0.3">
      <c r="A227">
        <v>2021</v>
      </c>
      <c r="B227" t="s">
        <v>31</v>
      </c>
      <c r="C227" t="s">
        <v>21</v>
      </c>
      <c r="D227" t="s">
        <v>32</v>
      </c>
      <c r="E227" t="str">
        <f>IF(OR(Table1[[#This Row],[Energy Type]]="Solar",Table1[[#This Row],[Energy Type]]="Wind"),"Renewable","Non-Renewable")</f>
        <v>Renewable</v>
      </c>
      <c r="F227">
        <v>73184</v>
      </c>
      <c r="G227">
        <v>67437</v>
      </c>
      <c r="H227">
        <v>220793</v>
      </c>
      <c r="I227">
        <v>4078</v>
      </c>
      <c r="J227" s="8">
        <f>Table1[[#This Row],[Revenue (Crore ₹)]]/Table1[[#This Row],[Employees]]</f>
        <v>54.142471799901912</v>
      </c>
      <c r="K227">
        <v>14.7</v>
      </c>
      <c r="L227">
        <v>5.6</v>
      </c>
      <c r="M227">
        <v>49612</v>
      </c>
      <c r="N227">
        <v>171181</v>
      </c>
      <c r="O227">
        <v>219978</v>
      </c>
      <c r="P227">
        <v>79.900000000000006</v>
      </c>
    </row>
    <row r="228" spans="1:16" x14ac:dyDescent="0.3">
      <c r="A228">
        <v>2024</v>
      </c>
      <c r="B228" t="s">
        <v>27</v>
      </c>
      <c r="C228" t="s">
        <v>28</v>
      </c>
      <c r="D228" t="s">
        <v>25</v>
      </c>
      <c r="E228" t="str">
        <f>IF(OR(Table1[[#This Row],[Energy Type]]="Solar",Table1[[#This Row],[Energy Type]]="Wind"),"Renewable","Non-Renewable")</f>
        <v>Renewable</v>
      </c>
      <c r="F228">
        <v>190635</v>
      </c>
      <c r="G228">
        <v>44010</v>
      </c>
      <c r="H228">
        <v>153402</v>
      </c>
      <c r="I228">
        <v>2626</v>
      </c>
      <c r="J228" s="8">
        <f>Table1[[#This Row],[Revenue (Crore ₹)]]/Table1[[#This Row],[Employees]]</f>
        <v>58.416603198781416</v>
      </c>
      <c r="K228">
        <v>22.98</v>
      </c>
      <c r="L228">
        <v>6.49</v>
      </c>
      <c r="M228">
        <v>4080</v>
      </c>
      <c r="N228">
        <v>149322</v>
      </c>
      <c r="O228">
        <v>226494</v>
      </c>
      <c r="P228">
        <v>59.77</v>
      </c>
    </row>
    <row r="229" spans="1:16" x14ac:dyDescent="0.3">
      <c r="A229">
        <v>2022</v>
      </c>
      <c r="B229" t="s">
        <v>19</v>
      </c>
      <c r="C229" t="s">
        <v>15</v>
      </c>
      <c r="D229" t="s">
        <v>22</v>
      </c>
      <c r="E229" t="str">
        <f>IF(OR(Table1[[#This Row],[Energy Type]]="Solar",Table1[[#This Row],[Energy Type]]="Wind"),"Renewable","Non-Renewable")</f>
        <v>Non-Renewable</v>
      </c>
      <c r="F229">
        <v>138312</v>
      </c>
      <c r="G229">
        <v>14553</v>
      </c>
      <c r="H229">
        <v>2889</v>
      </c>
      <c r="I229">
        <v>7939</v>
      </c>
      <c r="J229" s="8">
        <f>Table1[[#This Row],[Revenue (Crore ₹)]]/Table1[[#This Row],[Employees]]</f>
        <v>0.36389973548305832</v>
      </c>
      <c r="K229">
        <v>18.149999999999999</v>
      </c>
      <c r="L229">
        <v>13.34</v>
      </c>
      <c r="M229">
        <v>29866</v>
      </c>
      <c r="N229">
        <v>-26977</v>
      </c>
      <c r="O229">
        <v>18473</v>
      </c>
      <c r="P229">
        <v>41.41</v>
      </c>
    </row>
    <row r="230" spans="1:16" x14ac:dyDescent="0.3">
      <c r="A230">
        <v>2024</v>
      </c>
      <c r="B230" t="s">
        <v>27</v>
      </c>
      <c r="C230" t="s">
        <v>24</v>
      </c>
      <c r="D230" t="s">
        <v>22</v>
      </c>
      <c r="E230" t="str">
        <f>IF(OR(Table1[[#This Row],[Energy Type]]="Solar",Table1[[#This Row],[Energy Type]]="Wind"),"Renewable","Non-Renewable")</f>
        <v>Non-Renewable</v>
      </c>
      <c r="F230">
        <v>64617</v>
      </c>
      <c r="G230">
        <v>48711</v>
      </c>
      <c r="H230">
        <v>23938</v>
      </c>
      <c r="I230">
        <v>1550</v>
      </c>
      <c r="J230" s="8">
        <f>Table1[[#This Row],[Revenue (Crore ₹)]]/Table1[[#This Row],[Employees]]</f>
        <v>15.443870967741935</v>
      </c>
      <c r="K230">
        <v>11.53</v>
      </c>
      <c r="L230">
        <v>14.62</v>
      </c>
      <c r="M230">
        <v>17394</v>
      </c>
      <c r="N230">
        <v>6544</v>
      </c>
      <c r="O230">
        <v>89549</v>
      </c>
      <c r="P230">
        <v>20.02</v>
      </c>
    </row>
    <row r="231" spans="1:16" x14ac:dyDescent="0.3">
      <c r="A231">
        <v>2023</v>
      </c>
      <c r="B231" t="s">
        <v>31</v>
      </c>
      <c r="C231" t="s">
        <v>26</v>
      </c>
      <c r="D231" t="s">
        <v>32</v>
      </c>
      <c r="E231" t="str">
        <f>IF(OR(Table1[[#This Row],[Energy Type]]="Solar",Table1[[#This Row],[Energy Type]]="Wind"),"Renewable","Non-Renewable")</f>
        <v>Renewable</v>
      </c>
      <c r="F231">
        <v>107841</v>
      </c>
      <c r="G231">
        <v>68861</v>
      </c>
      <c r="H231">
        <v>206849</v>
      </c>
      <c r="I231">
        <v>2598</v>
      </c>
      <c r="J231" s="8">
        <f>Table1[[#This Row],[Revenue (Crore ₹)]]/Table1[[#This Row],[Employees]]</f>
        <v>79.618552732871436</v>
      </c>
      <c r="K231">
        <v>12.4</v>
      </c>
      <c r="L231">
        <v>6.43</v>
      </c>
      <c r="M231">
        <v>31025</v>
      </c>
      <c r="N231">
        <v>175824</v>
      </c>
      <c r="O231">
        <v>83266</v>
      </c>
      <c r="P231">
        <v>12.33</v>
      </c>
    </row>
    <row r="232" spans="1:16" x14ac:dyDescent="0.3">
      <c r="A232">
        <v>2025</v>
      </c>
      <c r="B232" t="s">
        <v>27</v>
      </c>
      <c r="C232" t="s">
        <v>21</v>
      </c>
      <c r="D232" t="s">
        <v>22</v>
      </c>
      <c r="E232" t="str">
        <f>IF(OR(Table1[[#This Row],[Energy Type]]="Solar",Table1[[#This Row],[Energy Type]]="Wind"),"Renewable","Non-Renewable")</f>
        <v>Non-Renewable</v>
      </c>
      <c r="F232">
        <v>107895</v>
      </c>
      <c r="G232">
        <v>28353</v>
      </c>
      <c r="H232">
        <v>44935</v>
      </c>
      <c r="I232">
        <v>6517</v>
      </c>
      <c r="J232" s="8">
        <f>Table1[[#This Row],[Revenue (Crore ₹)]]/Table1[[#This Row],[Employees]]</f>
        <v>6.8950437317784257</v>
      </c>
      <c r="K232">
        <v>18.88</v>
      </c>
      <c r="L232">
        <v>11.15</v>
      </c>
      <c r="M232">
        <v>18159</v>
      </c>
      <c r="N232">
        <v>26776</v>
      </c>
      <c r="O232">
        <v>242105</v>
      </c>
      <c r="P232">
        <v>19.579999999999998</v>
      </c>
    </row>
    <row r="233" spans="1:16" x14ac:dyDescent="0.3">
      <c r="A233">
        <v>2025</v>
      </c>
      <c r="B233" t="s">
        <v>29</v>
      </c>
      <c r="C233" t="s">
        <v>18</v>
      </c>
      <c r="D233" t="s">
        <v>16</v>
      </c>
      <c r="E233" t="str">
        <f>IF(OR(Table1[[#This Row],[Energy Type]]="Solar",Table1[[#This Row],[Energy Type]]="Wind"),"Renewable","Non-Renewable")</f>
        <v>Non-Renewable</v>
      </c>
      <c r="F233">
        <v>48521</v>
      </c>
      <c r="G233">
        <v>22039</v>
      </c>
      <c r="H233">
        <v>239652</v>
      </c>
      <c r="I233">
        <v>4773</v>
      </c>
      <c r="J233" s="8">
        <f>Table1[[#This Row],[Revenue (Crore ₹)]]/Table1[[#This Row],[Employees]]</f>
        <v>50.209930861093653</v>
      </c>
      <c r="K233">
        <v>19.82</v>
      </c>
      <c r="L233">
        <v>12.89</v>
      </c>
      <c r="M233">
        <v>17690</v>
      </c>
      <c r="N233">
        <v>221962</v>
      </c>
      <c r="O233">
        <v>13836</v>
      </c>
      <c r="P233">
        <v>74.11</v>
      </c>
    </row>
    <row r="234" spans="1:16" x14ac:dyDescent="0.3">
      <c r="A234">
        <v>2020</v>
      </c>
      <c r="B234" t="s">
        <v>19</v>
      </c>
      <c r="C234" t="s">
        <v>18</v>
      </c>
      <c r="D234" t="s">
        <v>20</v>
      </c>
      <c r="E234" t="str">
        <f>IF(OR(Table1[[#This Row],[Energy Type]]="Solar",Table1[[#This Row],[Energy Type]]="Wind"),"Renewable","Non-Renewable")</f>
        <v>Non-Renewable</v>
      </c>
      <c r="F234">
        <v>63188</v>
      </c>
      <c r="G234">
        <v>58030</v>
      </c>
      <c r="H234">
        <v>91378</v>
      </c>
      <c r="I234">
        <v>1706</v>
      </c>
      <c r="J234" s="8">
        <f>Table1[[#This Row],[Revenue (Crore ₹)]]/Table1[[#This Row],[Employees]]</f>
        <v>53.562719812426728</v>
      </c>
      <c r="K234">
        <v>4.2300000000000004</v>
      </c>
      <c r="L234">
        <v>9.94</v>
      </c>
      <c r="M234">
        <v>5985</v>
      </c>
      <c r="N234">
        <v>85393</v>
      </c>
      <c r="O234">
        <v>118714</v>
      </c>
      <c r="P234">
        <v>5.23</v>
      </c>
    </row>
    <row r="235" spans="1:16" x14ac:dyDescent="0.3">
      <c r="A235">
        <v>2024</v>
      </c>
      <c r="B235" t="s">
        <v>19</v>
      </c>
      <c r="C235" t="s">
        <v>28</v>
      </c>
      <c r="D235" t="s">
        <v>32</v>
      </c>
      <c r="E235" t="str">
        <f>IF(OR(Table1[[#This Row],[Energy Type]]="Solar",Table1[[#This Row],[Energy Type]]="Wind"),"Renewable","Non-Renewable")</f>
        <v>Renewable</v>
      </c>
      <c r="F235">
        <v>76812</v>
      </c>
      <c r="G235">
        <v>32816</v>
      </c>
      <c r="H235">
        <v>189311</v>
      </c>
      <c r="I235">
        <v>6542</v>
      </c>
      <c r="J235" s="8">
        <f>Table1[[#This Row],[Revenue (Crore ₹)]]/Table1[[#This Row],[Employees]]</f>
        <v>28.93778660959951</v>
      </c>
      <c r="K235">
        <v>16.52</v>
      </c>
      <c r="L235">
        <v>14.27</v>
      </c>
      <c r="M235">
        <v>38656</v>
      </c>
      <c r="N235">
        <v>150655</v>
      </c>
      <c r="O235">
        <v>162614</v>
      </c>
      <c r="P235">
        <v>18.25</v>
      </c>
    </row>
    <row r="236" spans="1:16" x14ac:dyDescent="0.3">
      <c r="A236">
        <v>2020</v>
      </c>
      <c r="B236" t="s">
        <v>19</v>
      </c>
      <c r="C236" t="s">
        <v>33</v>
      </c>
      <c r="D236" t="s">
        <v>16</v>
      </c>
      <c r="E236" t="str">
        <f>IF(OR(Table1[[#This Row],[Energy Type]]="Solar",Table1[[#This Row],[Energy Type]]="Wind"),"Renewable","Non-Renewable")</f>
        <v>Non-Renewable</v>
      </c>
      <c r="F236">
        <v>190650</v>
      </c>
      <c r="G236">
        <v>177312</v>
      </c>
      <c r="H236">
        <v>236859</v>
      </c>
      <c r="I236">
        <v>6606</v>
      </c>
      <c r="J236" s="8">
        <f>Table1[[#This Row],[Revenue (Crore ₹)]]/Table1[[#This Row],[Employees]]</f>
        <v>35.855131698455949</v>
      </c>
      <c r="K236">
        <v>10.46</v>
      </c>
      <c r="L236">
        <v>4.7699999999999996</v>
      </c>
      <c r="M236">
        <v>48714</v>
      </c>
      <c r="N236">
        <v>188145</v>
      </c>
      <c r="O236">
        <v>79364</v>
      </c>
      <c r="P236">
        <v>18.059999999999999</v>
      </c>
    </row>
    <row r="237" spans="1:16" x14ac:dyDescent="0.3">
      <c r="A237">
        <v>2024</v>
      </c>
      <c r="B237" t="s">
        <v>29</v>
      </c>
      <c r="C237" t="s">
        <v>34</v>
      </c>
      <c r="D237" t="s">
        <v>22</v>
      </c>
      <c r="E237" t="str">
        <f>IF(OR(Table1[[#This Row],[Energy Type]]="Solar",Table1[[#This Row],[Energy Type]]="Wind"),"Renewable","Non-Renewable")</f>
        <v>Non-Renewable</v>
      </c>
      <c r="F237">
        <v>41626</v>
      </c>
      <c r="G237">
        <v>35612</v>
      </c>
      <c r="H237">
        <v>5504</v>
      </c>
      <c r="I237">
        <v>1502</v>
      </c>
      <c r="J237" s="8">
        <f>Table1[[#This Row],[Revenue (Crore ₹)]]/Table1[[#This Row],[Employees]]</f>
        <v>3.6644474034620504</v>
      </c>
      <c r="K237">
        <v>2.8</v>
      </c>
      <c r="L237">
        <v>13.19</v>
      </c>
      <c r="M237">
        <v>17777</v>
      </c>
      <c r="N237">
        <v>-12273</v>
      </c>
      <c r="O237">
        <v>69584</v>
      </c>
      <c r="P237">
        <v>34.590000000000003</v>
      </c>
    </row>
    <row r="238" spans="1:16" x14ac:dyDescent="0.3">
      <c r="A238">
        <v>2020</v>
      </c>
      <c r="B238" t="s">
        <v>14</v>
      </c>
      <c r="C238" t="s">
        <v>33</v>
      </c>
      <c r="D238" t="s">
        <v>22</v>
      </c>
      <c r="E238" t="str">
        <f>IF(OR(Table1[[#This Row],[Energy Type]]="Solar",Table1[[#This Row],[Energy Type]]="Wind"),"Renewable","Non-Renewable")</f>
        <v>Non-Renewable</v>
      </c>
      <c r="F238">
        <v>50237</v>
      </c>
      <c r="G238">
        <v>23925</v>
      </c>
      <c r="H238">
        <v>48157</v>
      </c>
      <c r="I238">
        <v>1565</v>
      </c>
      <c r="J238" s="8">
        <f>Table1[[#This Row],[Revenue (Crore ₹)]]/Table1[[#This Row],[Employees]]</f>
        <v>30.771246006389777</v>
      </c>
      <c r="K238">
        <v>4.96</v>
      </c>
      <c r="L238">
        <v>3.41</v>
      </c>
      <c r="M238">
        <v>40480</v>
      </c>
      <c r="N238">
        <v>7677</v>
      </c>
      <c r="O238">
        <v>181774</v>
      </c>
      <c r="P238">
        <v>40.409999999999997</v>
      </c>
    </row>
    <row r="239" spans="1:16" x14ac:dyDescent="0.3">
      <c r="A239">
        <v>2020</v>
      </c>
      <c r="B239" t="s">
        <v>14</v>
      </c>
      <c r="C239" t="s">
        <v>33</v>
      </c>
      <c r="D239" t="s">
        <v>16</v>
      </c>
      <c r="E239" t="str">
        <f>IF(OR(Table1[[#This Row],[Energy Type]]="Solar",Table1[[#This Row],[Energy Type]]="Wind"),"Renewable","Non-Renewable")</f>
        <v>Non-Renewable</v>
      </c>
      <c r="F239">
        <v>67271</v>
      </c>
      <c r="G239">
        <v>40760</v>
      </c>
      <c r="H239">
        <v>213175</v>
      </c>
      <c r="I239">
        <v>7498</v>
      </c>
      <c r="J239" s="8">
        <f>Table1[[#This Row],[Revenue (Crore ₹)]]/Table1[[#This Row],[Employees]]</f>
        <v>28.430914910642837</v>
      </c>
      <c r="K239">
        <v>24.7</v>
      </c>
      <c r="L239">
        <v>11.33</v>
      </c>
      <c r="M239">
        <v>20665</v>
      </c>
      <c r="N239">
        <v>192510</v>
      </c>
      <c r="O239">
        <v>14433</v>
      </c>
      <c r="P239">
        <v>26.99</v>
      </c>
    </row>
    <row r="240" spans="1:16" x14ac:dyDescent="0.3">
      <c r="A240">
        <v>2020</v>
      </c>
      <c r="B240" t="s">
        <v>19</v>
      </c>
      <c r="C240" t="s">
        <v>28</v>
      </c>
      <c r="D240" t="s">
        <v>32</v>
      </c>
      <c r="E240" t="str">
        <f>IF(OR(Table1[[#This Row],[Energy Type]]="Solar",Table1[[#This Row],[Energy Type]]="Wind"),"Renewable","Non-Renewable")</f>
        <v>Renewable</v>
      </c>
      <c r="F240">
        <v>117268</v>
      </c>
      <c r="G240">
        <v>52478</v>
      </c>
      <c r="H240">
        <v>162931</v>
      </c>
      <c r="I240">
        <v>2361</v>
      </c>
      <c r="J240" s="8">
        <f>Table1[[#This Row],[Revenue (Crore ₹)]]/Table1[[#This Row],[Employees]]</f>
        <v>69.00931808555697</v>
      </c>
      <c r="K240">
        <v>2.57</v>
      </c>
      <c r="L240">
        <v>11.76</v>
      </c>
      <c r="M240">
        <v>20113</v>
      </c>
      <c r="N240">
        <v>142818</v>
      </c>
      <c r="O240">
        <v>269244</v>
      </c>
      <c r="P240">
        <v>19.809999999999999</v>
      </c>
    </row>
    <row r="241" spans="1:16" x14ac:dyDescent="0.3">
      <c r="A241">
        <v>2024</v>
      </c>
      <c r="B241" t="s">
        <v>30</v>
      </c>
      <c r="C241" t="s">
        <v>21</v>
      </c>
      <c r="D241" t="s">
        <v>20</v>
      </c>
      <c r="E241" t="str">
        <f>IF(OR(Table1[[#This Row],[Energy Type]]="Solar",Table1[[#This Row],[Energy Type]]="Wind"),"Renewable","Non-Renewable")</f>
        <v>Non-Renewable</v>
      </c>
      <c r="F241">
        <v>187365</v>
      </c>
      <c r="G241">
        <v>59502</v>
      </c>
      <c r="H241">
        <v>206133</v>
      </c>
      <c r="I241">
        <v>7893</v>
      </c>
      <c r="J241" s="8">
        <f>Table1[[#This Row],[Revenue (Crore ₹)]]/Table1[[#This Row],[Employees]]</f>
        <v>26.115925503610793</v>
      </c>
      <c r="K241">
        <v>18.579999999999998</v>
      </c>
      <c r="L241">
        <v>10.69</v>
      </c>
      <c r="M241">
        <v>8626</v>
      </c>
      <c r="N241">
        <v>197507</v>
      </c>
      <c r="O241">
        <v>145216</v>
      </c>
      <c r="P241">
        <v>24.96</v>
      </c>
    </row>
    <row r="242" spans="1:16" x14ac:dyDescent="0.3">
      <c r="A242">
        <v>2021</v>
      </c>
      <c r="B242" t="s">
        <v>31</v>
      </c>
      <c r="C242" t="s">
        <v>15</v>
      </c>
      <c r="D242" t="s">
        <v>20</v>
      </c>
      <c r="E242" t="str">
        <f>IF(OR(Table1[[#This Row],[Energy Type]]="Solar",Table1[[#This Row],[Energy Type]]="Wind"),"Renewable","Non-Renewable")</f>
        <v>Non-Renewable</v>
      </c>
      <c r="F242">
        <v>129475</v>
      </c>
      <c r="G242">
        <v>79154</v>
      </c>
      <c r="H242">
        <v>138243</v>
      </c>
      <c r="I242">
        <v>832</v>
      </c>
      <c r="J242" s="8">
        <f>Table1[[#This Row],[Revenue (Crore ₹)]]/Table1[[#This Row],[Employees]]</f>
        <v>166.15745192307693</v>
      </c>
      <c r="K242">
        <v>19.07</v>
      </c>
      <c r="L242">
        <v>8.27</v>
      </c>
      <c r="M242">
        <v>43422</v>
      </c>
      <c r="N242">
        <v>94821</v>
      </c>
      <c r="O242">
        <v>234061</v>
      </c>
      <c r="P242">
        <v>12.67</v>
      </c>
    </row>
    <row r="243" spans="1:16" x14ac:dyDescent="0.3">
      <c r="A243">
        <v>2020</v>
      </c>
      <c r="B243" t="s">
        <v>17</v>
      </c>
      <c r="C243" t="s">
        <v>21</v>
      </c>
      <c r="D243" t="s">
        <v>16</v>
      </c>
      <c r="E243" t="str">
        <f>IF(OR(Table1[[#This Row],[Energy Type]]="Solar",Table1[[#This Row],[Energy Type]]="Wind"),"Renewable","Non-Renewable")</f>
        <v>Non-Renewable</v>
      </c>
      <c r="F243">
        <v>16740</v>
      </c>
      <c r="G243">
        <v>12930</v>
      </c>
      <c r="H243">
        <v>173676</v>
      </c>
      <c r="I243">
        <v>2473</v>
      </c>
      <c r="J243" s="8">
        <f>Table1[[#This Row],[Revenue (Crore ₹)]]/Table1[[#This Row],[Employees]]</f>
        <v>70.228871815608571</v>
      </c>
      <c r="K243">
        <v>20.89</v>
      </c>
      <c r="L243">
        <v>13.27</v>
      </c>
      <c r="M243">
        <v>17988</v>
      </c>
      <c r="N243">
        <v>155688</v>
      </c>
      <c r="O243">
        <v>194895</v>
      </c>
      <c r="P243">
        <v>42.11</v>
      </c>
    </row>
    <row r="244" spans="1:16" x14ac:dyDescent="0.3">
      <c r="A244">
        <v>2022</v>
      </c>
      <c r="B244" t="s">
        <v>14</v>
      </c>
      <c r="C244" t="s">
        <v>24</v>
      </c>
      <c r="D244" t="s">
        <v>32</v>
      </c>
      <c r="E244" t="str">
        <f>IF(OR(Table1[[#This Row],[Energy Type]]="Solar",Table1[[#This Row],[Energy Type]]="Wind"),"Renewable","Non-Renewable")</f>
        <v>Renewable</v>
      </c>
      <c r="F244">
        <v>139394</v>
      </c>
      <c r="G244">
        <v>132632</v>
      </c>
      <c r="H244">
        <v>45316</v>
      </c>
      <c r="I244">
        <v>9862</v>
      </c>
      <c r="J244" s="8">
        <f>Table1[[#This Row],[Revenue (Crore ₹)]]/Table1[[#This Row],[Employees]]</f>
        <v>4.5950111539241529</v>
      </c>
      <c r="K244">
        <v>3.13</v>
      </c>
      <c r="L244">
        <v>13.63</v>
      </c>
      <c r="M244">
        <v>16774</v>
      </c>
      <c r="N244">
        <v>28542</v>
      </c>
      <c r="O244">
        <v>262793</v>
      </c>
      <c r="P244">
        <v>45.49</v>
      </c>
    </row>
    <row r="245" spans="1:16" x14ac:dyDescent="0.3">
      <c r="A245">
        <v>2025</v>
      </c>
      <c r="B245" t="s">
        <v>19</v>
      </c>
      <c r="C245" t="s">
        <v>34</v>
      </c>
      <c r="D245" t="s">
        <v>25</v>
      </c>
      <c r="E245" t="str">
        <f>IF(OR(Table1[[#This Row],[Energy Type]]="Solar",Table1[[#This Row],[Energy Type]]="Wind"),"Renewable","Non-Renewable")</f>
        <v>Renewable</v>
      </c>
      <c r="F245">
        <v>25756</v>
      </c>
      <c r="G245">
        <v>25519</v>
      </c>
      <c r="H245">
        <v>229960</v>
      </c>
      <c r="I245">
        <v>567</v>
      </c>
      <c r="J245" s="8">
        <f>Table1[[#This Row],[Revenue (Crore ₹)]]/Table1[[#This Row],[Employees]]</f>
        <v>405.57319223985888</v>
      </c>
      <c r="K245">
        <v>13.1</v>
      </c>
      <c r="L245">
        <v>12</v>
      </c>
      <c r="M245">
        <v>26521</v>
      </c>
      <c r="N245">
        <v>203439</v>
      </c>
      <c r="O245">
        <v>229180</v>
      </c>
      <c r="P245">
        <v>52.27</v>
      </c>
    </row>
    <row r="246" spans="1:16" x14ac:dyDescent="0.3">
      <c r="A246">
        <v>2022</v>
      </c>
      <c r="B246" t="s">
        <v>31</v>
      </c>
      <c r="C246" t="s">
        <v>34</v>
      </c>
      <c r="D246" t="s">
        <v>22</v>
      </c>
      <c r="E246" t="str">
        <f>IF(OR(Table1[[#This Row],[Energy Type]]="Solar",Table1[[#This Row],[Energy Type]]="Wind"),"Renewable","Non-Renewable")</f>
        <v>Non-Renewable</v>
      </c>
      <c r="F246">
        <v>141586</v>
      </c>
      <c r="G246">
        <v>132222</v>
      </c>
      <c r="H246">
        <v>82651</v>
      </c>
      <c r="I246">
        <v>2018</v>
      </c>
      <c r="J246" s="8">
        <f>Table1[[#This Row],[Revenue (Crore ₹)]]/Table1[[#This Row],[Employees]]</f>
        <v>40.95688800792864</v>
      </c>
      <c r="K246">
        <v>12.95</v>
      </c>
      <c r="L246">
        <v>8.75</v>
      </c>
      <c r="M246">
        <v>464</v>
      </c>
      <c r="N246">
        <v>82187</v>
      </c>
      <c r="O246">
        <v>24315</v>
      </c>
      <c r="P246">
        <v>27.16</v>
      </c>
    </row>
    <row r="247" spans="1:16" x14ac:dyDescent="0.3">
      <c r="A247">
        <v>2025</v>
      </c>
      <c r="B247" t="s">
        <v>17</v>
      </c>
      <c r="C247" t="s">
        <v>34</v>
      </c>
      <c r="D247" t="s">
        <v>25</v>
      </c>
      <c r="E247" t="str">
        <f>IF(OR(Table1[[#This Row],[Energy Type]]="Solar",Table1[[#This Row],[Energy Type]]="Wind"),"Renewable","Non-Renewable")</f>
        <v>Renewable</v>
      </c>
      <c r="F247">
        <v>184355</v>
      </c>
      <c r="G247">
        <v>130921</v>
      </c>
      <c r="H247">
        <v>206461</v>
      </c>
      <c r="I247">
        <v>1698</v>
      </c>
      <c r="J247" s="8">
        <f>Table1[[#This Row],[Revenue (Crore ₹)]]/Table1[[#This Row],[Employees]]</f>
        <v>121.5906949352179</v>
      </c>
      <c r="K247">
        <v>20.11</v>
      </c>
      <c r="L247">
        <v>1.2</v>
      </c>
      <c r="M247">
        <v>35561</v>
      </c>
      <c r="N247">
        <v>170900</v>
      </c>
      <c r="O247">
        <v>201028</v>
      </c>
      <c r="P247">
        <v>47.07</v>
      </c>
    </row>
    <row r="248" spans="1:16" x14ac:dyDescent="0.3">
      <c r="A248">
        <v>2024</v>
      </c>
      <c r="B248" t="s">
        <v>29</v>
      </c>
      <c r="C248" t="s">
        <v>28</v>
      </c>
      <c r="D248" t="s">
        <v>20</v>
      </c>
      <c r="E248" t="str">
        <f>IF(OR(Table1[[#This Row],[Energy Type]]="Solar",Table1[[#This Row],[Energy Type]]="Wind"),"Renewable","Non-Renewable")</f>
        <v>Non-Renewable</v>
      </c>
      <c r="F248">
        <v>110119</v>
      </c>
      <c r="G248">
        <v>74603</v>
      </c>
      <c r="H248">
        <v>61796</v>
      </c>
      <c r="I248">
        <v>2948</v>
      </c>
      <c r="J248" s="8">
        <f>Table1[[#This Row],[Revenue (Crore ₹)]]/Table1[[#This Row],[Employees]]</f>
        <v>20.962008141112619</v>
      </c>
      <c r="K248">
        <v>9.77</v>
      </c>
      <c r="L248">
        <v>13.74</v>
      </c>
      <c r="M248">
        <v>4361</v>
      </c>
      <c r="N248">
        <v>57435</v>
      </c>
      <c r="O248">
        <v>244168</v>
      </c>
      <c r="P248">
        <v>28.16</v>
      </c>
    </row>
    <row r="249" spans="1:16" x14ac:dyDescent="0.3">
      <c r="A249">
        <v>2023</v>
      </c>
      <c r="B249" t="s">
        <v>17</v>
      </c>
      <c r="C249" t="s">
        <v>26</v>
      </c>
      <c r="D249" t="s">
        <v>16</v>
      </c>
      <c r="E249" t="str">
        <f>IF(OR(Table1[[#This Row],[Energy Type]]="Solar",Table1[[#This Row],[Energy Type]]="Wind"),"Renewable","Non-Renewable")</f>
        <v>Non-Renewable</v>
      </c>
      <c r="F249">
        <v>59621</v>
      </c>
      <c r="G249">
        <v>20664</v>
      </c>
      <c r="H249">
        <v>119435</v>
      </c>
      <c r="I249">
        <v>721</v>
      </c>
      <c r="J249" s="8">
        <f>Table1[[#This Row],[Revenue (Crore ₹)]]/Table1[[#This Row],[Employees]]</f>
        <v>165.65187239944521</v>
      </c>
      <c r="K249">
        <v>10.76</v>
      </c>
      <c r="L249">
        <v>11.51</v>
      </c>
      <c r="M249">
        <v>27874</v>
      </c>
      <c r="N249">
        <v>91561</v>
      </c>
      <c r="O249">
        <v>98537</v>
      </c>
      <c r="P249">
        <v>24.63</v>
      </c>
    </row>
    <row r="250" spans="1:16" x14ac:dyDescent="0.3">
      <c r="A250">
        <v>2024</v>
      </c>
      <c r="B250" t="s">
        <v>30</v>
      </c>
      <c r="C250" t="s">
        <v>21</v>
      </c>
      <c r="D250" t="s">
        <v>20</v>
      </c>
      <c r="E250" t="str">
        <f>IF(OR(Table1[[#This Row],[Energy Type]]="Solar",Table1[[#This Row],[Energy Type]]="Wind"),"Renewable","Non-Renewable")</f>
        <v>Non-Renewable</v>
      </c>
      <c r="F250">
        <v>24155</v>
      </c>
      <c r="G250">
        <v>9205</v>
      </c>
      <c r="H250">
        <v>216438</v>
      </c>
      <c r="I250">
        <v>9224</v>
      </c>
      <c r="J250" s="8">
        <f>Table1[[#This Row],[Revenue (Crore ₹)]]/Table1[[#This Row],[Employees]]</f>
        <v>23.464657415437987</v>
      </c>
      <c r="K250">
        <v>21.56</v>
      </c>
      <c r="L250">
        <v>3.01</v>
      </c>
      <c r="M250">
        <v>23544</v>
      </c>
      <c r="N250">
        <v>192894</v>
      </c>
      <c r="O250">
        <v>29963</v>
      </c>
      <c r="P250">
        <v>12.53</v>
      </c>
    </row>
    <row r="251" spans="1:16" x14ac:dyDescent="0.3">
      <c r="A251">
        <v>2025</v>
      </c>
      <c r="B251" t="s">
        <v>27</v>
      </c>
      <c r="C251" t="s">
        <v>33</v>
      </c>
      <c r="D251" t="s">
        <v>25</v>
      </c>
      <c r="E251" t="str">
        <f>IF(OR(Table1[[#This Row],[Energy Type]]="Solar",Table1[[#This Row],[Energy Type]]="Wind"),"Renewable","Non-Renewable")</f>
        <v>Renewable</v>
      </c>
      <c r="F251">
        <v>114640</v>
      </c>
      <c r="G251">
        <v>68385</v>
      </c>
      <c r="H251">
        <v>204298</v>
      </c>
      <c r="I251">
        <v>7394</v>
      </c>
      <c r="J251" s="8">
        <f>Table1[[#This Row],[Revenue (Crore ₹)]]/Table1[[#This Row],[Employees]]</f>
        <v>27.630240735731675</v>
      </c>
      <c r="K251">
        <v>18.329999999999998</v>
      </c>
      <c r="L251">
        <v>9.41</v>
      </c>
      <c r="M251">
        <v>4362</v>
      </c>
      <c r="N251">
        <v>199936</v>
      </c>
      <c r="O251">
        <v>26562</v>
      </c>
      <c r="P251">
        <v>60.11</v>
      </c>
    </row>
    <row r="252" spans="1:16" x14ac:dyDescent="0.3">
      <c r="A252">
        <v>2025</v>
      </c>
      <c r="B252" t="s">
        <v>19</v>
      </c>
      <c r="C252" t="s">
        <v>15</v>
      </c>
      <c r="D252" t="s">
        <v>32</v>
      </c>
      <c r="E252" t="str">
        <f>IF(OR(Table1[[#This Row],[Energy Type]]="Solar",Table1[[#This Row],[Energy Type]]="Wind"),"Renewable","Non-Renewable")</f>
        <v>Renewable</v>
      </c>
      <c r="F252">
        <v>98001</v>
      </c>
      <c r="G252">
        <v>79808</v>
      </c>
      <c r="H252">
        <v>113886</v>
      </c>
      <c r="I252">
        <v>9198</v>
      </c>
      <c r="J252" s="8">
        <f>Table1[[#This Row],[Revenue (Crore ₹)]]/Table1[[#This Row],[Employees]]</f>
        <v>12.38160469667319</v>
      </c>
      <c r="K252">
        <v>14.68</v>
      </c>
      <c r="L252">
        <v>14.6</v>
      </c>
      <c r="M252">
        <v>13264</v>
      </c>
      <c r="N252">
        <v>100622</v>
      </c>
      <c r="O252">
        <v>171203</v>
      </c>
      <c r="P252">
        <v>57.02</v>
      </c>
    </row>
    <row r="253" spans="1:16" x14ac:dyDescent="0.3">
      <c r="A253">
        <v>2023</v>
      </c>
      <c r="B253" t="s">
        <v>17</v>
      </c>
      <c r="C253" t="s">
        <v>34</v>
      </c>
      <c r="D253" t="s">
        <v>32</v>
      </c>
      <c r="E253" t="str">
        <f>IF(OR(Table1[[#This Row],[Energy Type]]="Solar",Table1[[#This Row],[Energy Type]]="Wind"),"Renewable","Non-Renewable")</f>
        <v>Renewable</v>
      </c>
      <c r="F253">
        <v>55285</v>
      </c>
      <c r="G253">
        <v>50477</v>
      </c>
      <c r="H253">
        <v>76937</v>
      </c>
      <c r="I253">
        <v>2654</v>
      </c>
      <c r="J253" s="8">
        <f>Table1[[#This Row],[Revenue (Crore ₹)]]/Table1[[#This Row],[Employees]]</f>
        <v>28.989073097211755</v>
      </c>
      <c r="K253">
        <v>11.07</v>
      </c>
      <c r="L253">
        <v>11.05</v>
      </c>
      <c r="M253">
        <v>38725</v>
      </c>
      <c r="N253">
        <v>38212</v>
      </c>
      <c r="O253">
        <v>92630</v>
      </c>
      <c r="P253">
        <v>32.93</v>
      </c>
    </row>
    <row r="254" spans="1:16" x14ac:dyDescent="0.3">
      <c r="A254">
        <v>2024</v>
      </c>
      <c r="B254" t="s">
        <v>19</v>
      </c>
      <c r="C254" t="s">
        <v>33</v>
      </c>
      <c r="D254" t="s">
        <v>20</v>
      </c>
      <c r="E254" t="str">
        <f>IF(OR(Table1[[#This Row],[Energy Type]]="Solar",Table1[[#This Row],[Energy Type]]="Wind"),"Renewable","Non-Renewable")</f>
        <v>Non-Renewable</v>
      </c>
      <c r="F254">
        <v>12235</v>
      </c>
      <c r="G254">
        <v>9913</v>
      </c>
      <c r="H254">
        <v>271805</v>
      </c>
      <c r="I254">
        <v>545</v>
      </c>
      <c r="J254" s="8">
        <f>Table1[[#This Row],[Revenue (Crore ₹)]]/Table1[[#This Row],[Employees]]</f>
        <v>498.72477064220186</v>
      </c>
      <c r="K254">
        <v>22.7</v>
      </c>
      <c r="L254">
        <v>11.34</v>
      </c>
      <c r="M254">
        <v>13057</v>
      </c>
      <c r="N254">
        <v>258748</v>
      </c>
      <c r="O254">
        <v>169969</v>
      </c>
      <c r="P254">
        <v>57.43</v>
      </c>
    </row>
    <row r="255" spans="1:16" x14ac:dyDescent="0.3">
      <c r="A255">
        <v>2021</v>
      </c>
      <c r="B255" t="s">
        <v>17</v>
      </c>
      <c r="C255" t="s">
        <v>34</v>
      </c>
      <c r="D255" t="s">
        <v>16</v>
      </c>
      <c r="E255" t="str">
        <f>IF(OR(Table1[[#This Row],[Energy Type]]="Solar",Table1[[#This Row],[Energy Type]]="Wind"),"Renewable","Non-Renewable")</f>
        <v>Non-Renewable</v>
      </c>
      <c r="F255">
        <v>161712</v>
      </c>
      <c r="G255">
        <v>99964</v>
      </c>
      <c r="H255">
        <v>67112</v>
      </c>
      <c r="I255">
        <v>7245</v>
      </c>
      <c r="J255" s="8">
        <f>Table1[[#This Row],[Revenue (Crore ₹)]]/Table1[[#This Row],[Employees]]</f>
        <v>9.2632160110420987</v>
      </c>
      <c r="K255">
        <v>24.24</v>
      </c>
      <c r="L255">
        <v>2.9</v>
      </c>
      <c r="M255">
        <v>5786</v>
      </c>
      <c r="N255">
        <v>61326</v>
      </c>
      <c r="O255">
        <v>40970</v>
      </c>
      <c r="P255">
        <v>74.52</v>
      </c>
    </row>
    <row r="256" spans="1:16" x14ac:dyDescent="0.3">
      <c r="A256">
        <v>2020</v>
      </c>
      <c r="B256" t="s">
        <v>29</v>
      </c>
      <c r="C256" t="s">
        <v>24</v>
      </c>
      <c r="D256" t="s">
        <v>22</v>
      </c>
      <c r="E256" t="str">
        <f>IF(OR(Table1[[#This Row],[Energy Type]]="Solar",Table1[[#This Row],[Energy Type]]="Wind"),"Renewable","Non-Renewable")</f>
        <v>Non-Renewable</v>
      </c>
      <c r="F256">
        <v>186886</v>
      </c>
      <c r="G256">
        <v>69832</v>
      </c>
      <c r="H256">
        <v>240555</v>
      </c>
      <c r="I256">
        <v>2490</v>
      </c>
      <c r="J256" s="8">
        <f>Table1[[#This Row],[Revenue (Crore ₹)]]/Table1[[#This Row],[Employees]]</f>
        <v>96.608433734939766</v>
      </c>
      <c r="K256">
        <v>19.66</v>
      </c>
      <c r="L256">
        <v>2.21</v>
      </c>
      <c r="M256">
        <v>46503</v>
      </c>
      <c r="N256">
        <v>194052</v>
      </c>
      <c r="O256">
        <v>176483</v>
      </c>
      <c r="P256">
        <v>12.25</v>
      </c>
    </row>
    <row r="257" spans="1:16" x14ac:dyDescent="0.3">
      <c r="A257">
        <v>2023</v>
      </c>
      <c r="B257" t="s">
        <v>31</v>
      </c>
      <c r="C257" t="s">
        <v>26</v>
      </c>
      <c r="D257" t="s">
        <v>20</v>
      </c>
      <c r="E257" t="str">
        <f>IF(OR(Table1[[#This Row],[Energy Type]]="Solar",Table1[[#This Row],[Energy Type]]="Wind"),"Renewable","Non-Renewable")</f>
        <v>Non-Renewable</v>
      </c>
      <c r="F257">
        <v>158512</v>
      </c>
      <c r="G257">
        <v>76475</v>
      </c>
      <c r="H257">
        <v>249907</v>
      </c>
      <c r="I257">
        <v>7710</v>
      </c>
      <c r="J257" s="8">
        <f>Table1[[#This Row],[Revenue (Crore ₹)]]/Table1[[#This Row],[Employees]]</f>
        <v>32.413359273670558</v>
      </c>
      <c r="K257">
        <v>17.22</v>
      </c>
      <c r="L257">
        <v>2.99</v>
      </c>
      <c r="M257">
        <v>32366</v>
      </c>
      <c r="N257">
        <v>217541</v>
      </c>
      <c r="O257">
        <v>124893</v>
      </c>
      <c r="P257">
        <v>72.28</v>
      </c>
    </row>
    <row r="258" spans="1:16" x14ac:dyDescent="0.3">
      <c r="A258">
        <v>2025</v>
      </c>
      <c r="B258" t="s">
        <v>19</v>
      </c>
      <c r="C258" t="s">
        <v>21</v>
      </c>
      <c r="D258" t="s">
        <v>25</v>
      </c>
      <c r="E258" t="str">
        <f>IF(OR(Table1[[#This Row],[Energy Type]]="Solar",Table1[[#This Row],[Energy Type]]="Wind"),"Renewable","Non-Renewable")</f>
        <v>Renewable</v>
      </c>
      <c r="F258">
        <v>50568</v>
      </c>
      <c r="G258">
        <v>38610</v>
      </c>
      <c r="H258">
        <v>210222</v>
      </c>
      <c r="I258">
        <v>9311</v>
      </c>
      <c r="J258" s="8">
        <f>Table1[[#This Row],[Revenue (Crore ₹)]]/Table1[[#This Row],[Employees]]</f>
        <v>22.577811191064331</v>
      </c>
      <c r="K258">
        <v>22.94</v>
      </c>
      <c r="L258">
        <v>4.32</v>
      </c>
      <c r="M258">
        <v>9701</v>
      </c>
      <c r="N258">
        <v>200521</v>
      </c>
      <c r="O258">
        <v>204766</v>
      </c>
      <c r="P258">
        <v>64.290000000000006</v>
      </c>
    </row>
    <row r="259" spans="1:16" x14ac:dyDescent="0.3">
      <c r="A259">
        <v>2021</v>
      </c>
      <c r="B259" t="s">
        <v>27</v>
      </c>
      <c r="C259" t="s">
        <v>28</v>
      </c>
      <c r="D259" t="s">
        <v>32</v>
      </c>
      <c r="E259" t="str">
        <f>IF(OR(Table1[[#This Row],[Energy Type]]="Solar",Table1[[#This Row],[Energy Type]]="Wind"),"Renewable","Non-Renewable")</f>
        <v>Renewable</v>
      </c>
      <c r="F259">
        <v>70659</v>
      </c>
      <c r="G259">
        <v>58728</v>
      </c>
      <c r="H259">
        <v>236002</v>
      </c>
      <c r="I259">
        <v>6905</v>
      </c>
      <c r="J259" s="8">
        <f>Table1[[#This Row],[Revenue (Crore ₹)]]/Table1[[#This Row],[Employees]]</f>
        <v>34.178421433743665</v>
      </c>
      <c r="K259">
        <v>20.69</v>
      </c>
      <c r="L259">
        <v>3.49</v>
      </c>
      <c r="M259">
        <v>21677</v>
      </c>
      <c r="N259">
        <v>214325</v>
      </c>
      <c r="O259">
        <v>209682</v>
      </c>
      <c r="P259">
        <v>61.82</v>
      </c>
    </row>
    <row r="260" spans="1:16" x14ac:dyDescent="0.3">
      <c r="A260">
        <v>2020</v>
      </c>
      <c r="B260" t="s">
        <v>29</v>
      </c>
      <c r="C260" t="s">
        <v>15</v>
      </c>
      <c r="D260" t="s">
        <v>25</v>
      </c>
      <c r="E260" t="str">
        <f>IF(OR(Table1[[#This Row],[Energy Type]]="Solar",Table1[[#This Row],[Energy Type]]="Wind"),"Renewable","Non-Renewable")</f>
        <v>Renewable</v>
      </c>
      <c r="F260">
        <v>7420</v>
      </c>
      <c r="G260">
        <v>2737</v>
      </c>
      <c r="H260">
        <v>89996</v>
      </c>
      <c r="I260">
        <v>9785</v>
      </c>
      <c r="J260" s="8">
        <f>Table1[[#This Row],[Revenue (Crore ₹)]]/Table1[[#This Row],[Employees]]</f>
        <v>9.1973428717424621</v>
      </c>
      <c r="K260">
        <v>13.19</v>
      </c>
      <c r="L260">
        <v>4.5599999999999996</v>
      </c>
      <c r="M260">
        <v>46725</v>
      </c>
      <c r="N260">
        <v>43271</v>
      </c>
      <c r="O260">
        <v>135173</v>
      </c>
      <c r="P260">
        <v>68.63</v>
      </c>
    </row>
    <row r="261" spans="1:16" x14ac:dyDescent="0.3">
      <c r="A261">
        <v>2022</v>
      </c>
      <c r="B261" t="s">
        <v>19</v>
      </c>
      <c r="C261" t="s">
        <v>21</v>
      </c>
      <c r="D261" t="s">
        <v>32</v>
      </c>
      <c r="E261" t="str">
        <f>IF(OR(Table1[[#This Row],[Energy Type]]="Solar",Table1[[#This Row],[Energy Type]]="Wind"),"Renewable","Non-Renewable")</f>
        <v>Renewable</v>
      </c>
      <c r="F261">
        <v>56798</v>
      </c>
      <c r="G261">
        <v>20490</v>
      </c>
      <c r="H261">
        <v>115859</v>
      </c>
      <c r="I261">
        <v>9420</v>
      </c>
      <c r="J261" s="8">
        <f>Table1[[#This Row],[Revenue (Crore ₹)]]/Table1[[#This Row],[Employees]]</f>
        <v>12.299256900212315</v>
      </c>
      <c r="K261">
        <v>11.88</v>
      </c>
      <c r="L261">
        <v>8.1199999999999992</v>
      </c>
      <c r="M261">
        <v>48324</v>
      </c>
      <c r="N261">
        <v>67535</v>
      </c>
      <c r="O261">
        <v>244621</v>
      </c>
      <c r="P261">
        <v>43.97</v>
      </c>
    </row>
    <row r="262" spans="1:16" x14ac:dyDescent="0.3">
      <c r="A262">
        <v>2022</v>
      </c>
      <c r="B262" t="s">
        <v>14</v>
      </c>
      <c r="C262" t="s">
        <v>28</v>
      </c>
      <c r="D262" t="s">
        <v>20</v>
      </c>
      <c r="E262" t="str">
        <f>IF(OR(Table1[[#This Row],[Energy Type]]="Solar",Table1[[#This Row],[Energy Type]]="Wind"),"Renewable","Non-Renewable")</f>
        <v>Non-Renewable</v>
      </c>
      <c r="F262">
        <v>34032</v>
      </c>
      <c r="G262">
        <v>6660</v>
      </c>
      <c r="H262">
        <v>177121</v>
      </c>
      <c r="I262">
        <v>5076</v>
      </c>
      <c r="J262" s="8">
        <f>Table1[[#This Row],[Revenue (Crore ₹)]]/Table1[[#This Row],[Employees]]</f>
        <v>34.893814026792754</v>
      </c>
      <c r="K262">
        <v>18.100000000000001</v>
      </c>
      <c r="L262">
        <v>2.77</v>
      </c>
      <c r="M262">
        <v>7069</v>
      </c>
      <c r="N262">
        <v>170052</v>
      </c>
      <c r="O262">
        <v>39983</v>
      </c>
      <c r="P262">
        <v>10.68</v>
      </c>
    </row>
    <row r="263" spans="1:16" x14ac:dyDescent="0.3">
      <c r="A263">
        <v>2021</v>
      </c>
      <c r="B263" t="s">
        <v>31</v>
      </c>
      <c r="C263" t="s">
        <v>15</v>
      </c>
      <c r="D263" t="s">
        <v>20</v>
      </c>
      <c r="E263" t="str">
        <f>IF(OR(Table1[[#This Row],[Energy Type]]="Solar",Table1[[#This Row],[Energy Type]]="Wind"),"Renewable","Non-Renewable")</f>
        <v>Non-Renewable</v>
      </c>
      <c r="F263">
        <v>40022</v>
      </c>
      <c r="G263">
        <v>25368</v>
      </c>
      <c r="H263">
        <v>226908</v>
      </c>
      <c r="I263">
        <v>4149</v>
      </c>
      <c r="J263" s="8">
        <f>Table1[[#This Row],[Revenue (Crore ₹)]]/Table1[[#This Row],[Employees]]</f>
        <v>54.689804772234275</v>
      </c>
      <c r="K263">
        <v>7.27</v>
      </c>
      <c r="L263">
        <v>8.7200000000000006</v>
      </c>
      <c r="M263">
        <v>10184</v>
      </c>
      <c r="N263">
        <v>216724</v>
      </c>
      <c r="O263">
        <v>35473</v>
      </c>
      <c r="P263">
        <v>36.520000000000003</v>
      </c>
    </row>
    <row r="264" spans="1:16" x14ac:dyDescent="0.3">
      <c r="A264">
        <v>2025</v>
      </c>
      <c r="B264" t="s">
        <v>31</v>
      </c>
      <c r="C264" t="s">
        <v>34</v>
      </c>
      <c r="D264" t="s">
        <v>16</v>
      </c>
      <c r="E264" t="str">
        <f>IF(OR(Table1[[#This Row],[Energy Type]]="Solar",Table1[[#This Row],[Energy Type]]="Wind"),"Renewable","Non-Renewable")</f>
        <v>Non-Renewable</v>
      </c>
      <c r="F264">
        <v>122088</v>
      </c>
      <c r="G264">
        <v>118045</v>
      </c>
      <c r="H264">
        <v>11411</v>
      </c>
      <c r="I264">
        <v>1906</v>
      </c>
      <c r="J264" s="8">
        <f>Table1[[#This Row],[Revenue (Crore ₹)]]/Table1[[#This Row],[Employees]]</f>
        <v>5.98688352570829</v>
      </c>
      <c r="K264">
        <v>7.76</v>
      </c>
      <c r="L264">
        <v>10.37</v>
      </c>
      <c r="M264">
        <v>15090</v>
      </c>
      <c r="N264">
        <v>-3679</v>
      </c>
      <c r="O264">
        <v>195186</v>
      </c>
      <c r="P264">
        <v>55.39</v>
      </c>
    </row>
    <row r="265" spans="1:16" x14ac:dyDescent="0.3">
      <c r="A265">
        <v>2020</v>
      </c>
      <c r="B265" t="s">
        <v>31</v>
      </c>
      <c r="C265" t="s">
        <v>15</v>
      </c>
      <c r="D265" t="s">
        <v>25</v>
      </c>
      <c r="E265" t="str">
        <f>IF(OR(Table1[[#This Row],[Energy Type]]="Solar",Table1[[#This Row],[Energy Type]]="Wind"),"Renewable","Non-Renewable")</f>
        <v>Renewable</v>
      </c>
      <c r="F265">
        <v>85348</v>
      </c>
      <c r="G265">
        <v>6004</v>
      </c>
      <c r="H265">
        <v>92489</v>
      </c>
      <c r="I265">
        <v>5505</v>
      </c>
      <c r="J265" s="8">
        <f>Table1[[#This Row],[Revenue (Crore ₹)]]/Table1[[#This Row],[Employees]]</f>
        <v>16.800908265213444</v>
      </c>
      <c r="K265">
        <v>5.4</v>
      </c>
      <c r="L265">
        <v>3.37</v>
      </c>
      <c r="M265">
        <v>22261</v>
      </c>
      <c r="N265">
        <v>70228</v>
      </c>
      <c r="O265">
        <v>129669</v>
      </c>
      <c r="P265">
        <v>27.53</v>
      </c>
    </row>
    <row r="266" spans="1:16" x14ac:dyDescent="0.3">
      <c r="A266">
        <v>2024</v>
      </c>
      <c r="B266" t="s">
        <v>14</v>
      </c>
      <c r="C266" t="s">
        <v>26</v>
      </c>
      <c r="D266" t="s">
        <v>16</v>
      </c>
      <c r="E266" t="str">
        <f>IF(OR(Table1[[#This Row],[Energy Type]]="Solar",Table1[[#This Row],[Energy Type]]="Wind"),"Renewable","Non-Renewable")</f>
        <v>Non-Renewable</v>
      </c>
      <c r="F266">
        <v>119103</v>
      </c>
      <c r="G266">
        <v>64891</v>
      </c>
      <c r="H266">
        <v>55001</v>
      </c>
      <c r="I266">
        <v>6199</v>
      </c>
      <c r="J266" s="8">
        <f>Table1[[#This Row],[Revenue (Crore ₹)]]/Table1[[#This Row],[Employees]]</f>
        <v>8.8725600903371511</v>
      </c>
      <c r="K266">
        <v>9.39</v>
      </c>
      <c r="L266">
        <v>10.5</v>
      </c>
      <c r="M266">
        <v>41970</v>
      </c>
      <c r="N266">
        <v>13031</v>
      </c>
      <c r="O266">
        <v>84673</v>
      </c>
      <c r="P266">
        <v>54.48</v>
      </c>
    </row>
    <row r="267" spans="1:16" x14ac:dyDescent="0.3">
      <c r="A267">
        <v>2022</v>
      </c>
      <c r="B267" t="s">
        <v>31</v>
      </c>
      <c r="C267" t="s">
        <v>15</v>
      </c>
      <c r="D267" t="s">
        <v>32</v>
      </c>
      <c r="E267" t="str">
        <f>IF(OR(Table1[[#This Row],[Energy Type]]="Solar",Table1[[#This Row],[Energy Type]]="Wind"),"Renewable","Non-Renewable")</f>
        <v>Renewable</v>
      </c>
      <c r="F267">
        <v>81501</v>
      </c>
      <c r="G267">
        <v>38653</v>
      </c>
      <c r="H267">
        <v>233278</v>
      </c>
      <c r="I267">
        <v>4753</v>
      </c>
      <c r="J267" s="8">
        <f>Table1[[#This Row],[Revenue (Crore ₹)]]/Table1[[#This Row],[Employees]]</f>
        <v>49.08015989901115</v>
      </c>
      <c r="K267">
        <v>6.68</v>
      </c>
      <c r="L267">
        <v>1.53</v>
      </c>
      <c r="M267">
        <v>46088</v>
      </c>
      <c r="N267">
        <v>187190</v>
      </c>
      <c r="O267">
        <v>31647</v>
      </c>
      <c r="P267">
        <v>68.569999999999993</v>
      </c>
    </row>
    <row r="268" spans="1:16" x14ac:dyDescent="0.3">
      <c r="A268">
        <v>2022</v>
      </c>
      <c r="B268" t="s">
        <v>23</v>
      </c>
      <c r="C268" t="s">
        <v>33</v>
      </c>
      <c r="D268" t="s">
        <v>32</v>
      </c>
      <c r="E268" t="str">
        <f>IF(OR(Table1[[#This Row],[Energy Type]]="Solar",Table1[[#This Row],[Energy Type]]="Wind"),"Renewable","Non-Renewable")</f>
        <v>Renewable</v>
      </c>
      <c r="F268">
        <v>171983</v>
      </c>
      <c r="G268">
        <v>109026</v>
      </c>
      <c r="H268">
        <v>157748</v>
      </c>
      <c r="I268">
        <v>4840</v>
      </c>
      <c r="J268" s="8">
        <f>Table1[[#This Row],[Revenue (Crore ₹)]]/Table1[[#This Row],[Employees]]</f>
        <v>32.592561983471072</v>
      </c>
      <c r="K268">
        <v>14.57</v>
      </c>
      <c r="L268">
        <v>11.32</v>
      </c>
      <c r="M268">
        <v>20504</v>
      </c>
      <c r="N268">
        <v>137244</v>
      </c>
      <c r="O268">
        <v>21424</v>
      </c>
      <c r="P268">
        <v>14.93</v>
      </c>
    </row>
    <row r="269" spans="1:16" x14ac:dyDescent="0.3">
      <c r="A269">
        <v>2020</v>
      </c>
      <c r="B269" t="s">
        <v>29</v>
      </c>
      <c r="C269" t="s">
        <v>34</v>
      </c>
      <c r="D269" t="s">
        <v>16</v>
      </c>
      <c r="E269" t="str">
        <f>IF(OR(Table1[[#This Row],[Energy Type]]="Solar",Table1[[#This Row],[Energy Type]]="Wind"),"Renewable","Non-Renewable")</f>
        <v>Non-Renewable</v>
      </c>
      <c r="F269">
        <v>91865</v>
      </c>
      <c r="G269">
        <v>24747</v>
      </c>
      <c r="H269">
        <v>6312</v>
      </c>
      <c r="I269">
        <v>4418</v>
      </c>
      <c r="J269" s="8">
        <f>Table1[[#This Row],[Revenue (Crore ₹)]]/Table1[[#This Row],[Employees]]</f>
        <v>1.4287007695789951</v>
      </c>
      <c r="K269">
        <v>23.76</v>
      </c>
      <c r="L269">
        <v>6.31</v>
      </c>
      <c r="M269">
        <v>5198</v>
      </c>
      <c r="N269">
        <v>1114</v>
      </c>
      <c r="O269">
        <v>121913</v>
      </c>
      <c r="P269">
        <v>5.17</v>
      </c>
    </row>
    <row r="270" spans="1:16" x14ac:dyDescent="0.3">
      <c r="A270">
        <v>2023</v>
      </c>
      <c r="B270" t="s">
        <v>27</v>
      </c>
      <c r="C270" t="s">
        <v>24</v>
      </c>
      <c r="D270" t="s">
        <v>25</v>
      </c>
      <c r="E270" t="str">
        <f>IF(OR(Table1[[#This Row],[Energy Type]]="Solar",Table1[[#This Row],[Energy Type]]="Wind"),"Renewable","Non-Renewable")</f>
        <v>Renewable</v>
      </c>
      <c r="F270">
        <v>196883</v>
      </c>
      <c r="G270">
        <v>157069</v>
      </c>
      <c r="H270">
        <v>130322</v>
      </c>
      <c r="I270">
        <v>2229</v>
      </c>
      <c r="J270" s="8">
        <f>Table1[[#This Row],[Revenue (Crore ₹)]]/Table1[[#This Row],[Employees]]</f>
        <v>58.46657694033199</v>
      </c>
      <c r="K270">
        <v>9.27</v>
      </c>
      <c r="L270">
        <v>2.09</v>
      </c>
      <c r="M270">
        <v>46299</v>
      </c>
      <c r="N270">
        <v>84023</v>
      </c>
      <c r="O270">
        <v>39686</v>
      </c>
      <c r="P270">
        <v>61.06</v>
      </c>
    </row>
    <row r="271" spans="1:16" x14ac:dyDescent="0.3">
      <c r="A271">
        <v>2021</v>
      </c>
      <c r="B271" t="s">
        <v>14</v>
      </c>
      <c r="C271" t="s">
        <v>15</v>
      </c>
      <c r="D271" t="s">
        <v>32</v>
      </c>
      <c r="E271" t="str">
        <f>IF(OR(Table1[[#This Row],[Energy Type]]="Solar",Table1[[#This Row],[Energy Type]]="Wind"),"Renewable","Non-Renewable")</f>
        <v>Renewable</v>
      </c>
      <c r="F271">
        <v>168071</v>
      </c>
      <c r="G271">
        <v>8842</v>
      </c>
      <c r="H271">
        <v>291977</v>
      </c>
      <c r="I271">
        <v>9053</v>
      </c>
      <c r="J271" s="8">
        <f>Table1[[#This Row],[Revenue (Crore ₹)]]/Table1[[#This Row],[Employees]]</f>
        <v>32.251960676018996</v>
      </c>
      <c r="K271">
        <v>3.59</v>
      </c>
      <c r="L271">
        <v>4.37</v>
      </c>
      <c r="M271">
        <v>7088</v>
      </c>
      <c r="N271">
        <v>284889</v>
      </c>
      <c r="O271">
        <v>230982</v>
      </c>
      <c r="P271">
        <v>16.98</v>
      </c>
    </row>
    <row r="272" spans="1:16" x14ac:dyDescent="0.3">
      <c r="A272">
        <v>2021</v>
      </c>
      <c r="B272" t="s">
        <v>19</v>
      </c>
      <c r="C272" t="s">
        <v>15</v>
      </c>
      <c r="D272" t="s">
        <v>16</v>
      </c>
      <c r="E272" t="str">
        <f>IF(OR(Table1[[#This Row],[Energy Type]]="Solar",Table1[[#This Row],[Energy Type]]="Wind"),"Renewable","Non-Renewable")</f>
        <v>Non-Renewable</v>
      </c>
      <c r="F272">
        <v>191636</v>
      </c>
      <c r="G272">
        <v>104748</v>
      </c>
      <c r="H272">
        <v>179933</v>
      </c>
      <c r="I272">
        <v>5991</v>
      </c>
      <c r="J272" s="8">
        <f>Table1[[#This Row],[Revenue (Crore ₹)]]/Table1[[#This Row],[Employees]]</f>
        <v>30.033884159572693</v>
      </c>
      <c r="K272">
        <v>7.77</v>
      </c>
      <c r="L272">
        <v>6.37</v>
      </c>
      <c r="M272">
        <v>38491</v>
      </c>
      <c r="N272">
        <v>141442</v>
      </c>
      <c r="O272">
        <v>48685</v>
      </c>
      <c r="P272">
        <v>30.69</v>
      </c>
    </row>
    <row r="273" spans="1:16" x14ac:dyDescent="0.3">
      <c r="A273">
        <v>2024</v>
      </c>
      <c r="B273" t="s">
        <v>30</v>
      </c>
      <c r="C273" t="s">
        <v>34</v>
      </c>
      <c r="D273" t="s">
        <v>20</v>
      </c>
      <c r="E273" t="str">
        <f>IF(OR(Table1[[#This Row],[Energy Type]]="Solar",Table1[[#This Row],[Energy Type]]="Wind"),"Renewable","Non-Renewable")</f>
        <v>Non-Renewable</v>
      </c>
      <c r="F273">
        <v>79628</v>
      </c>
      <c r="G273">
        <v>47536</v>
      </c>
      <c r="H273">
        <v>20257</v>
      </c>
      <c r="I273">
        <v>4433</v>
      </c>
      <c r="J273" s="8">
        <f>Table1[[#This Row],[Revenue (Crore ₹)]]/Table1[[#This Row],[Employees]]</f>
        <v>4.5695916986239569</v>
      </c>
      <c r="K273">
        <v>7.42</v>
      </c>
      <c r="L273">
        <v>5.43</v>
      </c>
      <c r="M273">
        <v>27623</v>
      </c>
      <c r="N273">
        <v>-7366</v>
      </c>
      <c r="O273">
        <v>90941</v>
      </c>
      <c r="P273">
        <v>6.26</v>
      </c>
    </row>
    <row r="274" spans="1:16" x14ac:dyDescent="0.3">
      <c r="A274">
        <v>2020</v>
      </c>
      <c r="B274" t="s">
        <v>14</v>
      </c>
      <c r="C274" t="s">
        <v>15</v>
      </c>
      <c r="D274" t="s">
        <v>32</v>
      </c>
      <c r="E274" t="str">
        <f>IF(OR(Table1[[#This Row],[Energy Type]]="Solar",Table1[[#This Row],[Energy Type]]="Wind"),"Renewable","Non-Renewable")</f>
        <v>Renewable</v>
      </c>
      <c r="F274">
        <v>112827</v>
      </c>
      <c r="G274">
        <v>111155</v>
      </c>
      <c r="H274">
        <v>257242</v>
      </c>
      <c r="I274">
        <v>1738</v>
      </c>
      <c r="J274" s="8">
        <f>Table1[[#This Row],[Revenue (Crore ₹)]]/Table1[[#This Row],[Employees]]</f>
        <v>148.01035673187573</v>
      </c>
      <c r="K274">
        <v>2.27</v>
      </c>
      <c r="L274">
        <v>8.23</v>
      </c>
      <c r="M274">
        <v>5967</v>
      </c>
      <c r="N274">
        <v>251275</v>
      </c>
      <c r="O274">
        <v>153303</v>
      </c>
      <c r="P274">
        <v>58.59</v>
      </c>
    </row>
    <row r="275" spans="1:16" x14ac:dyDescent="0.3">
      <c r="A275">
        <v>2021</v>
      </c>
      <c r="B275" t="s">
        <v>19</v>
      </c>
      <c r="C275" t="s">
        <v>21</v>
      </c>
      <c r="D275" t="s">
        <v>32</v>
      </c>
      <c r="E275" t="str">
        <f>IF(OR(Table1[[#This Row],[Energy Type]]="Solar",Table1[[#This Row],[Energy Type]]="Wind"),"Renewable","Non-Renewable")</f>
        <v>Renewable</v>
      </c>
      <c r="F275">
        <v>63816</v>
      </c>
      <c r="G275">
        <v>10378</v>
      </c>
      <c r="H275">
        <v>122568</v>
      </c>
      <c r="I275">
        <v>3809</v>
      </c>
      <c r="J275" s="8">
        <f>Table1[[#This Row],[Revenue (Crore ₹)]]/Table1[[#This Row],[Employees]]</f>
        <v>32.178524547125228</v>
      </c>
      <c r="K275">
        <v>21.92</v>
      </c>
      <c r="L275">
        <v>2.67</v>
      </c>
      <c r="M275">
        <v>49434</v>
      </c>
      <c r="N275">
        <v>73134</v>
      </c>
      <c r="O275">
        <v>43629</v>
      </c>
      <c r="P275">
        <v>21.91</v>
      </c>
    </row>
    <row r="276" spans="1:16" x14ac:dyDescent="0.3">
      <c r="A276">
        <v>2021</v>
      </c>
      <c r="B276" t="s">
        <v>23</v>
      </c>
      <c r="C276" t="s">
        <v>28</v>
      </c>
      <c r="D276" t="s">
        <v>32</v>
      </c>
      <c r="E276" t="str">
        <f>IF(OR(Table1[[#This Row],[Energy Type]]="Solar",Table1[[#This Row],[Energy Type]]="Wind"),"Renewable","Non-Renewable")</f>
        <v>Renewable</v>
      </c>
      <c r="F276">
        <v>31238</v>
      </c>
      <c r="G276">
        <v>14313</v>
      </c>
      <c r="H276">
        <v>74291</v>
      </c>
      <c r="I276">
        <v>9806</v>
      </c>
      <c r="J276" s="8">
        <f>Table1[[#This Row],[Revenue (Crore ₹)]]/Table1[[#This Row],[Employees]]</f>
        <v>7.5760758719151537</v>
      </c>
      <c r="K276">
        <v>4.97</v>
      </c>
      <c r="L276">
        <v>11.67</v>
      </c>
      <c r="M276">
        <v>11559</v>
      </c>
      <c r="N276">
        <v>62732</v>
      </c>
      <c r="O276">
        <v>170761</v>
      </c>
      <c r="P276">
        <v>20.64</v>
      </c>
    </row>
    <row r="277" spans="1:16" x14ac:dyDescent="0.3">
      <c r="A277">
        <v>2025</v>
      </c>
      <c r="B277" t="s">
        <v>29</v>
      </c>
      <c r="C277" t="s">
        <v>18</v>
      </c>
      <c r="D277" t="s">
        <v>16</v>
      </c>
      <c r="E277" t="str">
        <f>IF(OR(Table1[[#This Row],[Energy Type]]="Solar",Table1[[#This Row],[Energy Type]]="Wind"),"Renewable","Non-Renewable")</f>
        <v>Non-Renewable</v>
      </c>
      <c r="F277">
        <v>149892</v>
      </c>
      <c r="G277">
        <v>121304</v>
      </c>
      <c r="H277">
        <v>174351</v>
      </c>
      <c r="I277">
        <v>5474</v>
      </c>
      <c r="J277" s="8">
        <f>Table1[[#This Row],[Revenue (Crore ₹)]]/Table1[[#This Row],[Employees]]</f>
        <v>31.850748995250274</v>
      </c>
      <c r="K277">
        <v>7.4</v>
      </c>
      <c r="L277">
        <v>7.06</v>
      </c>
      <c r="M277">
        <v>39821</v>
      </c>
      <c r="N277">
        <v>134530</v>
      </c>
      <c r="O277">
        <v>99037</v>
      </c>
      <c r="P277">
        <v>35.200000000000003</v>
      </c>
    </row>
    <row r="278" spans="1:16" x14ac:dyDescent="0.3">
      <c r="A278">
        <v>2021</v>
      </c>
      <c r="B278" t="s">
        <v>19</v>
      </c>
      <c r="C278" t="s">
        <v>21</v>
      </c>
      <c r="D278" t="s">
        <v>20</v>
      </c>
      <c r="E278" t="str">
        <f>IF(OR(Table1[[#This Row],[Energy Type]]="Solar",Table1[[#This Row],[Energy Type]]="Wind"),"Renewable","Non-Renewable")</f>
        <v>Non-Renewable</v>
      </c>
      <c r="F278">
        <v>39547</v>
      </c>
      <c r="G278">
        <v>27557</v>
      </c>
      <c r="H278">
        <v>83027</v>
      </c>
      <c r="I278">
        <v>1740</v>
      </c>
      <c r="J278" s="8">
        <f>Table1[[#This Row],[Revenue (Crore ₹)]]/Table1[[#This Row],[Employees]]</f>
        <v>47.716666666666669</v>
      </c>
      <c r="K278">
        <v>13.43</v>
      </c>
      <c r="L278">
        <v>8.33</v>
      </c>
      <c r="M278">
        <v>24433</v>
      </c>
      <c r="N278">
        <v>58594</v>
      </c>
      <c r="O278">
        <v>16565</v>
      </c>
      <c r="P278">
        <v>37.44</v>
      </c>
    </row>
    <row r="279" spans="1:16" x14ac:dyDescent="0.3">
      <c r="A279">
        <v>2024</v>
      </c>
      <c r="B279" t="s">
        <v>19</v>
      </c>
      <c r="C279" t="s">
        <v>28</v>
      </c>
      <c r="D279" t="s">
        <v>20</v>
      </c>
      <c r="E279" t="str">
        <f>IF(OR(Table1[[#This Row],[Energy Type]]="Solar",Table1[[#This Row],[Energy Type]]="Wind"),"Renewable","Non-Renewable")</f>
        <v>Non-Renewable</v>
      </c>
      <c r="F279">
        <v>39374</v>
      </c>
      <c r="G279">
        <v>36567</v>
      </c>
      <c r="H279">
        <v>13536</v>
      </c>
      <c r="I279">
        <v>5217</v>
      </c>
      <c r="J279" s="8">
        <f>Table1[[#This Row],[Revenue (Crore ₹)]]/Table1[[#This Row],[Employees]]</f>
        <v>2.5945945945945947</v>
      </c>
      <c r="K279">
        <v>24.35</v>
      </c>
      <c r="L279">
        <v>1.91</v>
      </c>
      <c r="M279">
        <v>5362</v>
      </c>
      <c r="N279">
        <v>8174</v>
      </c>
      <c r="O279">
        <v>178976</v>
      </c>
      <c r="P279">
        <v>74.59</v>
      </c>
    </row>
    <row r="280" spans="1:16" x14ac:dyDescent="0.3">
      <c r="A280">
        <v>2021</v>
      </c>
      <c r="B280" t="s">
        <v>27</v>
      </c>
      <c r="C280" t="s">
        <v>33</v>
      </c>
      <c r="D280" t="s">
        <v>20</v>
      </c>
      <c r="E280" t="str">
        <f>IF(OR(Table1[[#This Row],[Energy Type]]="Solar",Table1[[#This Row],[Energy Type]]="Wind"),"Renewable","Non-Renewable")</f>
        <v>Non-Renewable</v>
      </c>
      <c r="F280">
        <v>171144</v>
      </c>
      <c r="G280">
        <v>32889</v>
      </c>
      <c r="H280">
        <v>272426</v>
      </c>
      <c r="I280">
        <v>3401</v>
      </c>
      <c r="J280" s="8">
        <f>Table1[[#This Row],[Revenue (Crore ₹)]]/Table1[[#This Row],[Employees]]</f>
        <v>80.101734783887096</v>
      </c>
      <c r="K280">
        <v>9.82</v>
      </c>
      <c r="L280">
        <v>3</v>
      </c>
      <c r="M280">
        <v>11731</v>
      </c>
      <c r="N280">
        <v>260695</v>
      </c>
      <c r="O280">
        <v>148011</v>
      </c>
      <c r="P280">
        <v>17.18</v>
      </c>
    </row>
    <row r="281" spans="1:16" x14ac:dyDescent="0.3">
      <c r="A281">
        <v>2022</v>
      </c>
      <c r="B281" t="s">
        <v>31</v>
      </c>
      <c r="C281" t="s">
        <v>34</v>
      </c>
      <c r="D281" t="s">
        <v>32</v>
      </c>
      <c r="E281" t="str">
        <f>IF(OR(Table1[[#This Row],[Energy Type]]="Solar",Table1[[#This Row],[Energy Type]]="Wind"),"Renewable","Non-Renewable")</f>
        <v>Renewable</v>
      </c>
      <c r="F281">
        <v>66992</v>
      </c>
      <c r="G281">
        <v>10839</v>
      </c>
      <c r="H281">
        <v>158838</v>
      </c>
      <c r="I281">
        <v>5467</v>
      </c>
      <c r="J281" s="8">
        <f>Table1[[#This Row],[Revenue (Crore ₹)]]/Table1[[#This Row],[Employees]]</f>
        <v>29.053960124382659</v>
      </c>
      <c r="K281">
        <v>15.84</v>
      </c>
      <c r="L281">
        <v>5.68</v>
      </c>
      <c r="M281">
        <v>43880</v>
      </c>
      <c r="N281">
        <v>114958</v>
      </c>
      <c r="O281">
        <v>28869</v>
      </c>
      <c r="P281">
        <v>35.880000000000003</v>
      </c>
    </row>
    <row r="282" spans="1:16" x14ac:dyDescent="0.3">
      <c r="A282">
        <v>2020</v>
      </c>
      <c r="B282" t="s">
        <v>23</v>
      </c>
      <c r="C282" t="s">
        <v>24</v>
      </c>
      <c r="D282" t="s">
        <v>32</v>
      </c>
      <c r="E282" t="str">
        <f>IF(OR(Table1[[#This Row],[Energy Type]]="Solar",Table1[[#This Row],[Energy Type]]="Wind"),"Renewable","Non-Renewable")</f>
        <v>Renewable</v>
      </c>
      <c r="F282">
        <v>45110</v>
      </c>
      <c r="G282">
        <v>29467</v>
      </c>
      <c r="H282">
        <v>20863</v>
      </c>
      <c r="I282">
        <v>5744</v>
      </c>
      <c r="J282" s="8">
        <f>Table1[[#This Row],[Revenue (Crore ₹)]]/Table1[[#This Row],[Employees]]</f>
        <v>3.6321378830083564</v>
      </c>
      <c r="K282">
        <v>16.82</v>
      </c>
      <c r="L282">
        <v>4.8899999999999997</v>
      </c>
      <c r="M282">
        <v>20582</v>
      </c>
      <c r="N282">
        <v>281</v>
      </c>
      <c r="O282">
        <v>196679</v>
      </c>
      <c r="P282">
        <v>50.71</v>
      </c>
    </row>
    <row r="283" spans="1:16" x14ac:dyDescent="0.3">
      <c r="A283">
        <v>2025</v>
      </c>
      <c r="B283" t="s">
        <v>23</v>
      </c>
      <c r="C283" t="s">
        <v>26</v>
      </c>
      <c r="D283" t="s">
        <v>20</v>
      </c>
      <c r="E283" t="str">
        <f>IF(OR(Table1[[#This Row],[Energy Type]]="Solar",Table1[[#This Row],[Energy Type]]="Wind"),"Renewable","Non-Renewable")</f>
        <v>Non-Renewable</v>
      </c>
      <c r="F283">
        <v>81605</v>
      </c>
      <c r="G283">
        <v>26969</v>
      </c>
      <c r="H283">
        <v>89252</v>
      </c>
      <c r="I283">
        <v>5657</v>
      </c>
      <c r="J283" s="8">
        <f>Table1[[#This Row],[Revenue (Crore ₹)]]/Table1[[#This Row],[Employees]]</f>
        <v>15.777267102704613</v>
      </c>
      <c r="K283">
        <v>14.07</v>
      </c>
      <c r="L283">
        <v>9.93</v>
      </c>
      <c r="M283">
        <v>30160</v>
      </c>
      <c r="N283">
        <v>59092</v>
      </c>
      <c r="O283">
        <v>136756</v>
      </c>
      <c r="P283">
        <v>73.66</v>
      </c>
    </row>
    <row r="284" spans="1:16" x14ac:dyDescent="0.3">
      <c r="A284">
        <v>2022</v>
      </c>
      <c r="B284" t="s">
        <v>30</v>
      </c>
      <c r="C284" t="s">
        <v>26</v>
      </c>
      <c r="D284" t="s">
        <v>16</v>
      </c>
      <c r="E284" t="str">
        <f>IF(OR(Table1[[#This Row],[Energy Type]]="Solar",Table1[[#This Row],[Energy Type]]="Wind"),"Renewable","Non-Renewable")</f>
        <v>Non-Renewable</v>
      </c>
      <c r="F284">
        <v>79070</v>
      </c>
      <c r="G284">
        <v>58187</v>
      </c>
      <c r="H284">
        <v>288771</v>
      </c>
      <c r="I284">
        <v>4942</v>
      </c>
      <c r="J284" s="8">
        <f>Table1[[#This Row],[Revenue (Crore ₹)]]/Table1[[#This Row],[Employees]]</f>
        <v>58.432011331444762</v>
      </c>
      <c r="K284">
        <v>5.55</v>
      </c>
      <c r="L284">
        <v>10.82</v>
      </c>
      <c r="M284">
        <v>40656</v>
      </c>
      <c r="N284">
        <v>248115</v>
      </c>
      <c r="O284">
        <v>196308</v>
      </c>
      <c r="P284">
        <v>25.47</v>
      </c>
    </row>
    <row r="285" spans="1:16" x14ac:dyDescent="0.3">
      <c r="A285">
        <v>2023</v>
      </c>
      <c r="B285" t="s">
        <v>17</v>
      </c>
      <c r="C285" t="s">
        <v>34</v>
      </c>
      <c r="D285" t="s">
        <v>16</v>
      </c>
      <c r="E285" t="str">
        <f>IF(OR(Table1[[#This Row],[Energy Type]]="Solar",Table1[[#This Row],[Energy Type]]="Wind"),"Renewable","Non-Renewable")</f>
        <v>Non-Renewable</v>
      </c>
      <c r="F285">
        <v>197427</v>
      </c>
      <c r="G285">
        <v>28569</v>
      </c>
      <c r="H285">
        <v>159771</v>
      </c>
      <c r="I285">
        <v>899</v>
      </c>
      <c r="J285" s="8">
        <f>Table1[[#This Row],[Revenue (Crore ₹)]]/Table1[[#This Row],[Employees]]</f>
        <v>177.72080088987764</v>
      </c>
      <c r="K285">
        <v>14.52</v>
      </c>
      <c r="L285">
        <v>3.72</v>
      </c>
      <c r="M285">
        <v>46552</v>
      </c>
      <c r="N285">
        <v>113219</v>
      </c>
      <c r="O285">
        <v>264915</v>
      </c>
      <c r="P285">
        <v>71.069999999999993</v>
      </c>
    </row>
    <row r="286" spans="1:16" x14ac:dyDescent="0.3">
      <c r="A286">
        <v>2022</v>
      </c>
      <c r="B286" t="s">
        <v>14</v>
      </c>
      <c r="C286" t="s">
        <v>33</v>
      </c>
      <c r="D286" t="s">
        <v>25</v>
      </c>
      <c r="E286" t="str">
        <f>IF(OR(Table1[[#This Row],[Energy Type]]="Solar",Table1[[#This Row],[Energy Type]]="Wind"),"Renewable","Non-Renewable")</f>
        <v>Renewable</v>
      </c>
      <c r="F286">
        <v>132072</v>
      </c>
      <c r="G286">
        <v>26136</v>
      </c>
      <c r="H286">
        <v>289456</v>
      </c>
      <c r="I286">
        <v>1064</v>
      </c>
      <c r="J286" s="8">
        <f>Table1[[#This Row],[Revenue (Crore ₹)]]/Table1[[#This Row],[Employees]]</f>
        <v>272.04511278195491</v>
      </c>
      <c r="K286">
        <v>13.35</v>
      </c>
      <c r="L286">
        <v>6.2</v>
      </c>
      <c r="M286">
        <v>44636</v>
      </c>
      <c r="N286">
        <v>244820</v>
      </c>
      <c r="O286">
        <v>206375</v>
      </c>
      <c r="P286">
        <v>18.07</v>
      </c>
    </row>
    <row r="287" spans="1:16" x14ac:dyDescent="0.3">
      <c r="A287">
        <v>2024</v>
      </c>
      <c r="B287" t="s">
        <v>17</v>
      </c>
      <c r="C287" t="s">
        <v>34</v>
      </c>
      <c r="D287" t="s">
        <v>25</v>
      </c>
      <c r="E287" t="str">
        <f>IF(OR(Table1[[#This Row],[Energy Type]]="Solar",Table1[[#This Row],[Energy Type]]="Wind"),"Renewable","Non-Renewable")</f>
        <v>Renewable</v>
      </c>
      <c r="F287">
        <v>134449</v>
      </c>
      <c r="G287">
        <v>110079</v>
      </c>
      <c r="H287">
        <v>272993</v>
      </c>
      <c r="I287">
        <v>3233</v>
      </c>
      <c r="J287" s="8">
        <f>Table1[[#This Row],[Revenue (Crore ₹)]]/Table1[[#This Row],[Employees]]</f>
        <v>84.439529848437985</v>
      </c>
      <c r="K287">
        <v>9.84</v>
      </c>
      <c r="L287">
        <v>6.57</v>
      </c>
      <c r="M287">
        <v>36412</v>
      </c>
      <c r="N287">
        <v>236581</v>
      </c>
      <c r="O287">
        <v>25758</v>
      </c>
      <c r="P287">
        <v>66.84</v>
      </c>
    </row>
    <row r="288" spans="1:16" x14ac:dyDescent="0.3">
      <c r="A288">
        <v>2022</v>
      </c>
      <c r="B288" t="s">
        <v>31</v>
      </c>
      <c r="C288" t="s">
        <v>33</v>
      </c>
      <c r="D288" t="s">
        <v>20</v>
      </c>
      <c r="E288" t="str">
        <f>IF(OR(Table1[[#This Row],[Energy Type]]="Solar",Table1[[#This Row],[Energy Type]]="Wind"),"Renewable","Non-Renewable")</f>
        <v>Non-Renewable</v>
      </c>
      <c r="F288">
        <v>76081</v>
      </c>
      <c r="G288">
        <v>75198</v>
      </c>
      <c r="H288">
        <v>220618</v>
      </c>
      <c r="I288">
        <v>3426</v>
      </c>
      <c r="J288" s="8">
        <f>Table1[[#This Row],[Revenue (Crore ₹)]]/Table1[[#This Row],[Employees]]</f>
        <v>64.395213076474022</v>
      </c>
      <c r="K288">
        <v>23.58</v>
      </c>
      <c r="L288">
        <v>1.61</v>
      </c>
      <c r="M288">
        <v>36247</v>
      </c>
      <c r="N288">
        <v>184371</v>
      </c>
      <c r="O288">
        <v>268918</v>
      </c>
      <c r="P288">
        <v>67.540000000000006</v>
      </c>
    </row>
    <row r="289" spans="1:16" x14ac:dyDescent="0.3">
      <c r="A289">
        <v>2025</v>
      </c>
      <c r="B289" t="s">
        <v>17</v>
      </c>
      <c r="C289" t="s">
        <v>21</v>
      </c>
      <c r="D289" t="s">
        <v>16</v>
      </c>
      <c r="E289" t="str">
        <f>IF(OR(Table1[[#This Row],[Energy Type]]="Solar",Table1[[#This Row],[Energy Type]]="Wind"),"Renewable","Non-Renewable")</f>
        <v>Non-Renewable</v>
      </c>
      <c r="F289">
        <v>148760</v>
      </c>
      <c r="G289">
        <v>100603</v>
      </c>
      <c r="H289">
        <v>256012</v>
      </c>
      <c r="I289">
        <v>8704</v>
      </c>
      <c r="J289" s="8">
        <f>Table1[[#This Row],[Revenue (Crore ₹)]]/Table1[[#This Row],[Employees]]</f>
        <v>29.413143382352942</v>
      </c>
      <c r="K289">
        <v>23.92</v>
      </c>
      <c r="L289">
        <v>9.35</v>
      </c>
      <c r="M289">
        <v>22360</v>
      </c>
      <c r="N289">
        <v>233652</v>
      </c>
      <c r="O289">
        <v>292091</v>
      </c>
      <c r="P289">
        <v>55.02</v>
      </c>
    </row>
    <row r="290" spans="1:16" x14ac:dyDescent="0.3">
      <c r="A290">
        <v>2023</v>
      </c>
      <c r="B290" t="s">
        <v>14</v>
      </c>
      <c r="C290" t="s">
        <v>34</v>
      </c>
      <c r="D290" t="s">
        <v>16</v>
      </c>
      <c r="E290" t="str">
        <f>IF(OR(Table1[[#This Row],[Energy Type]]="Solar",Table1[[#This Row],[Energy Type]]="Wind"),"Renewable","Non-Renewable")</f>
        <v>Non-Renewable</v>
      </c>
      <c r="F290">
        <v>108381</v>
      </c>
      <c r="G290">
        <v>100094</v>
      </c>
      <c r="H290">
        <v>241860</v>
      </c>
      <c r="I290">
        <v>3684</v>
      </c>
      <c r="J290" s="8">
        <f>Table1[[#This Row],[Revenue (Crore ₹)]]/Table1[[#This Row],[Employees]]</f>
        <v>65.651465798045606</v>
      </c>
      <c r="K290">
        <v>16.559999999999999</v>
      </c>
      <c r="L290">
        <v>3.88</v>
      </c>
      <c r="M290">
        <v>35887</v>
      </c>
      <c r="N290">
        <v>205973</v>
      </c>
      <c r="O290">
        <v>249117</v>
      </c>
      <c r="P290">
        <v>79.59</v>
      </c>
    </row>
    <row r="291" spans="1:16" x14ac:dyDescent="0.3">
      <c r="A291">
        <v>2022</v>
      </c>
      <c r="B291" t="s">
        <v>30</v>
      </c>
      <c r="C291" t="s">
        <v>34</v>
      </c>
      <c r="D291" t="s">
        <v>20</v>
      </c>
      <c r="E291" t="str">
        <f>IF(OR(Table1[[#This Row],[Energy Type]]="Solar",Table1[[#This Row],[Energy Type]]="Wind"),"Renewable","Non-Renewable")</f>
        <v>Non-Renewable</v>
      </c>
      <c r="F291">
        <v>74854</v>
      </c>
      <c r="G291">
        <v>10040</v>
      </c>
      <c r="H291">
        <v>270473</v>
      </c>
      <c r="I291">
        <v>5288</v>
      </c>
      <c r="J291" s="8">
        <f>Table1[[#This Row],[Revenue (Crore ₹)]]/Table1[[#This Row],[Employees]]</f>
        <v>51.148449319213313</v>
      </c>
      <c r="K291">
        <v>3.05</v>
      </c>
      <c r="L291">
        <v>2.57</v>
      </c>
      <c r="M291">
        <v>21210</v>
      </c>
      <c r="N291">
        <v>249263</v>
      </c>
      <c r="O291">
        <v>14174</v>
      </c>
      <c r="P291">
        <v>53.29</v>
      </c>
    </row>
    <row r="292" spans="1:16" x14ac:dyDescent="0.3">
      <c r="A292">
        <v>2024</v>
      </c>
      <c r="B292" t="s">
        <v>31</v>
      </c>
      <c r="C292" t="s">
        <v>28</v>
      </c>
      <c r="D292" t="s">
        <v>16</v>
      </c>
      <c r="E292" t="str">
        <f>IF(OR(Table1[[#This Row],[Energy Type]]="Solar",Table1[[#This Row],[Energy Type]]="Wind"),"Renewable","Non-Renewable")</f>
        <v>Non-Renewable</v>
      </c>
      <c r="F292">
        <v>172949</v>
      </c>
      <c r="G292">
        <v>44479</v>
      </c>
      <c r="H292">
        <v>157023</v>
      </c>
      <c r="I292">
        <v>2771</v>
      </c>
      <c r="J292" s="8">
        <f>Table1[[#This Row],[Revenue (Crore ₹)]]/Table1[[#This Row],[Employees]]</f>
        <v>56.666546373150489</v>
      </c>
      <c r="K292">
        <v>16.97</v>
      </c>
      <c r="L292">
        <v>9.4700000000000006</v>
      </c>
      <c r="M292">
        <v>23619</v>
      </c>
      <c r="N292">
        <v>133404</v>
      </c>
      <c r="O292">
        <v>268037</v>
      </c>
      <c r="P292">
        <v>50.12</v>
      </c>
    </row>
    <row r="293" spans="1:16" x14ac:dyDescent="0.3">
      <c r="A293">
        <v>2020</v>
      </c>
      <c r="B293" t="s">
        <v>30</v>
      </c>
      <c r="C293" t="s">
        <v>28</v>
      </c>
      <c r="D293" t="s">
        <v>32</v>
      </c>
      <c r="E293" t="str">
        <f>IF(OR(Table1[[#This Row],[Energy Type]]="Solar",Table1[[#This Row],[Energy Type]]="Wind"),"Renewable","Non-Renewable")</f>
        <v>Renewable</v>
      </c>
      <c r="F293">
        <v>137748</v>
      </c>
      <c r="G293">
        <v>99658</v>
      </c>
      <c r="H293">
        <v>92844</v>
      </c>
      <c r="I293">
        <v>4731</v>
      </c>
      <c r="J293" s="8">
        <f>Table1[[#This Row],[Revenue (Crore ₹)]]/Table1[[#This Row],[Employees]]</f>
        <v>19.624603677869374</v>
      </c>
      <c r="K293">
        <v>3.56</v>
      </c>
      <c r="L293">
        <v>3.14</v>
      </c>
      <c r="M293">
        <v>21696</v>
      </c>
      <c r="N293">
        <v>71148</v>
      </c>
      <c r="O293">
        <v>181092</v>
      </c>
      <c r="P293">
        <v>36.47</v>
      </c>
    </row>
    <row r="294" spans="1:16" x14ac:dyDescent="0.3">
      <c r="A294">
        <v>2022</v>
      </c>
      <c r="B294" t="s">
        <v>30</v>
      </c>
      <c r="C294" t="s">
        <v>26</v>
      </c>
      <c r="D294" t="s">
        <v>22</v>
      </c>
      <c r="E294" t="str">
        <f>IF(OR(Table1[[#This Row],[Energy Type]]="Solar",Table1[[#This Row],[Energy Type]]="Wind"),"Renewable","Non-Renewable")</f>
        <v>Non-Renewable</v>
      </c>
      <c r="F294">
        <v>197394</v>
      </c>
      <c r="G294">
        <v>22296</v>
      </c>
      <c r="H294">
        <v>23058</v>
      </c>
      <c r="I294">
        <v>3241</v>
      </c>
      <c r="J294" s="8">
        <f>Table1[[#This Row],[Revenue (Crore ₹)]]/Table1[[#This Row],[Employees]]</f>
        <v>7.1144708423326133</v>
      </c>
      <c r="K294">
        <v>12.65</v>
      </c>
      <c r="L294">
        <v>8.86</v>
      </c>
      <c r="M294">
        <v>22917</v>
      </c>
      <c r="N294">
        <v>141</v>
      </c>
      <c r="O294">
        <v>259159</v>
      </c>
      <c r="P294">
        <v>56.57</v>
      </c>
    </row>
    <row r="295" spans="1:16" x14ac:dyDescent="0.3">
      <c r="A295">
        <v>2020</v>
      </c>
      <c r="B295" t="s">
        <v>31</v>
      </c>
      <c r="C295" t="s">
        <v>24</v>
      </c>
      <c r="D295" t="s">
        <v>32</v>
      </c>
      <c r="E295" t="str">
        <f>IF(OR(Table1[[#This Row],[Energy Type]]="Solar",Table1[[#This Row],[Energy Type]]="Wind"),"Renewable","Non-Renewable")</f>
        <v>Renewable</v>
      </c>
      <c r="F295">
        <v>116738</v>
      </c>
      <c r="G295">
        <v>88438</v>
      </c>
      <c r="H295">
        <v>188284</v>
      </c>
      <c r="I295">
        <v>4008</v>
      </c>
      <c r="J295" s="8">
        <f>Table1[[#This Row],[Revenue (Crore ₹)]]/Table1[[#This Row],[Employees]]</f>
        <v>46.977045908183634</v>
      </c>
      <c r="K295">
        <v>10.64</v>
      </c>
      <c r="L295">
        <v>13.42</v>
      </c>
      <c r="M295">
        <v>49123</v>
      </c>
      <c r="N295">
        <v>139161</v>
      </c>
      <c r="O295">
        <v>200883</v>
      </c>
      <c r="P295">
        <v>65.61</v>
      </c>
    </row>
    <row r="296" spans="1:16" x14ac:dyDescent="0.3">
      <c r="A296">
        <v>2025</v>
      </c>
      <c r="B296" t="s">
        <v>30</v>
      </c>
      <c r="C296" t="s">
        <v>33</v>
      </c>
      <c r="D296" t="s">
        <v>25</v>
      </c>
      <c r="E296" t="str">
        <f>IF(OR(Table1[[#This Row],[Energy Type]]="Solar",Table1[[#This Row],[Energy Type]]="Wind"),"Renewable","Non-Renewable")</f>
        <v>Renewable</v>
      </c>
      <c r="F296">
        <v>28662</v>
      </c>
      <c r="G296">
        <v>1077</v>
      </c>
      <c r="H296">
        <v>273523</v>
      </c>
      <c r="I296">
        <v>4633</v>
      </c>
      <c r="J296" s="8">
        <f>Table1[[#This Row],[Revenue (Crore ₹)]]/Table1[[#This Row],[Employees]]</f>
        <v>59.037988344485214</v>
      </c>
      <c r="K296">
        <v>15.26</v>
      </c>
      <c r="L296">
        <v>3.57</v>
      </c>
      <c r="M296">
        <v>18774</v>
      </c>
      <c r="N296">
        <v>254749</v>
      </c>
      <c r="O296">
        <v>269056</v>
      </c>
      <c r="P296">
        <v>73.510000000000005</v>
      </c>
    </row>
    <row r="297" spans="1:16" x14ac:dyDescent="0.3">
      <c r="A297">
        <v>2020</v>
      </c>
      <c r="B297" t="s">
        <v>17</v>
      </c>
      <c r="C297" t="s">
        <v>24</v>
      </c>
      <c r="D297" t="s">
        <v>32</v>
      </c>
      <c r="E297" t="str">
        <f>IF(OR(Table1[[#This Row],[Energy Type]]="Solar",Table1[[#This Row],[Energy Type]]="Wind"),"Renewable","Non-Renewable")</f>
        <v>Renewable</v>
      </c>
      <c r="F297">
        <v>116954</v>
      </c>
      <c r="G297">
        <v>8167</v>
      </c>
      <c r="H297">
        <v>97884</v>
      </c>
      <c r="I297">
        <v>9172</v>
      </c>
      <c r="J297" s="8">
        <f>Table1[[#This Row],[Revenue (Crore ₹)]]/Table1[[#This Row],[Employees]]</f>
        <v>10.672045355429569</v>
      </c>
      <c r="K297">
        <v>17.809999999999999</v>
      </c>
      <c r="L297">
        <v>11.75</v>
      </c>
      <c r="M297">
        <v>30599</v>
      </c>
      <c r="N297">
        <v>67285</v>
      </c>
      <c r="O297">
        <v>117321</v>
      </c>
      <c r="P297">
        <v>41.14</v>
      </c>
    </row>
    <row r="298" spans="1:16" x14ac:dyDescent="0.3">
      <c r="A298">
        <v>2020</v>
      </c>
      <c r="B298" t="s">
        <v>31</v>
      </c>
      <c r="C298" t="s">
        <v>33</v>
      </c>
      <c r="D298" t="s">
        <v>22</v>
      </c>
      <c r="E298" t="str">
        <f>IF(OR(Table1[[#This Row],[Energy Type]]="Solar",Table1[[#This Row],[Energy Type]]="Wind"),"Renewable","Non-Renewable")</f>
        <v>Non-Renewable</v>
      </c>
      <c r="F298">
        <v>163836</v>
      </c>
      <c r="G298">
        <v>152113</v>
      </c>
      <c r="H298">
        <v>49772</v>
      </c>
      <c r="I298">
        <v>7857</v>
      </c>
      <c r="J298" s="8">
        <f>Table1[[#This Row],[Revenue (Crore ₹)]]/Table1[[#This Row],[Employees]]</f>
        <v>6.3347333587883412</v>
      </c>
      <c r="K298">
        <v>12.48</v>
      </c>
      <c r="L298">
        <v>14.96</v>
      </c>
      <c r="M298">
        <v>11951</v>
      </c>
      <c r="N298">
        <v>37821</v>
      </c>
      <c r="O298">
        <v>296116</v>
      </c>
      <c r="P298">
        <v>21.25</v>
      </c>
    </row>
    <row r="299" spans="1:16" x14ac:dyDescent="0.3">
      <c r="A299">
        <v>2021</v>
      </c>
      <c r="B299" t="s">
        <v>23</v>
      </c>
      <c r="C299" t="s">
        <v>28</v>
      </c>
      <c r="D299" t="s">
        <v>25</v>
      </c>
      <c r="E299" t="str">
        <f>IF(OR(Table1[[#This Row],[Energy Type]]="Solar",Table1[[#This Row],[Energy Type]]="Wind"),"Renewable","Non-Renewable")</f>
        <v>Renewable</v>
      </c>
      <c r="F299">
        <v>62031</v>
      </c>
      <c r="G299">
        <v>37091</v>
      </c>
      <c r="H299">
        <v>175233</v>
      </c>
      <c r="I299">
        <v>3150</v>
      </c>
      <c r="J299" s="8">
        <f>Table1[[#This Row],[Revenue (Crore ₹)]]/Table1[[#This Row],[Employees]]</f>
        <v>55.62952380952381</v>
      </c>
      <c r="K299">
        <v>24.38</v>
      </c>
      <c r="L299">
        <v>7.57</v>
      </c>
      <c r="M299">
        <v>31128</v>
      </c>
      <c r="N299">
        <v>144105</v>
      </c>
      <c r="O299">
        <v>224012</v>
      </c>
      <c r="P299">
        <v>22.41</v>
      </c>
    </row>
    <row r="300" spans="1:16" x14ac:dyDescent="0.3">
      <c r="A300">
        <v>2022</v>
      </c>
      <c r="B300" t="s">
        <v>29</v>
      </c>
      <c r="C300" t="s">
        <v>24</v>
      </c>
      <c r="D300" t="s">
        <v>20</v>
      </c>
      <c r="E300" t="str">
        <f>IF(OR(Table1[[#This Row],[Energy Type]]="Solar",Table1[[#This Row],[Energy Type]]="Wind"),"Renewable","Non-Renewable")</f>
        <v>Non-Renewable</v>
      </c>
      <c r="F300">
        <v>190842</v>
      </c>
      <c r="G300">
        <v>60133</v>
      </c>
      <c r="H300">
        <v>250635</v>
      </c>
      <c r="I300">
        <v>4077</v>
      </c>
      <c r="J300" s="8">
        <f>Table1[[#This Row],[Revenue (Crore ₹)]]/Table1[[#This Row],[Employees]]</f>
        <v>61.475349521707138</v>
      </c>
      <c r="K300">
        <v>11.11</v>
      </c>
      <c r="L300">
        <v>10.039999999999999</v>
      </c>
      <c r="M300">
        <v>25848</v>
      </c>
      <c r="N300">
        <v>224787</v>
      </c>
      <c r="O300">
        <v>217233</v>
      </c>
      <c r="P300">
        <v>67.459999999999994</v>
      </c>
    </row>
    <row r="301" spans="1:16" x14ac:dyDescent="0.3">
      <c r="A301">
        <v>2023</v>
      </c>
      <c r="B301" t="s">
        <v>30</v>
      </c>
      <c r="C301" t="s">
        <v>33</v>
      </c>
      <c r="D301" t="s">
        <v>20</v>
      </c>
      <c r="E301" t="str">
        <f>IF(OR(Table1[[#This Row],[Energy Type]]="Solar",Table1[[#This Row],[Energy Type]]="Wind"),"Renewable","Non-Renewable")</f>
        <v>Non-Renewable</v>
      </c>
      <c r="F301">
        <v>174656</v>
      </c>
      <c r="G301">
        <v>14884</v>
      </c>
      <c r="H301">
        <v>31860</v>
      </c>
      <c r="I301">
        <v>1840</v>
      </c>
      <c r="J301" s="8">
        <f>Table1[[#This Row],[Revenue (Crore ₹)]]/Table1[[#This Row],[Employees]]</f>
        <v>17.315217391304348</v>
      </c>
      <c r="K301">
        <v>18.47</v>
      </c>
      <c r="L301">
        <v>9.25</v>
      </c>
      <c r="M301">
        <v>28248</v>
      </c>
      <c r="N301">
        <v>3612</v>
      </c>
      <c r="O301">
        <v>218246</v>
      </c>
      <c r="P301">
        <v>17.66</v>
      </c>
    </row>
    <row r="302" spans="1:16" x14ac:dyDescent="0.3">
      <c r="A302">
        <v>2020</v>
      </c>
      <c r="B302" t="s">
        <v>19</v>
      </c>
      <c r="C302" t="s">
        <v>26</v>
      </c>
      <c r="D302" t="s">
        <v>25</v>
      </c>
      <c r="E302" t="str">
        <f>IF(OR(Table1[[#This Row],[Energy Type]]="Solar",Table1[[#This Row],[Energy Type]]="Wind"),"Renewable","Non-Renewable")</f>
        <v>Renewable</v>
      </c>
      <c r="F302">
        <v>54141</v>
      </c>
      <c r="G302">
        <v>38921</v>
      </c>
      <c r="H302">
        <v>56034</v>
      </c>
      <c r="I302">
        <v>1918</v>
      </c>
      <c r="J302" s="8">
        <f>Table1[[#This Row],[Revenue (Crore ₹)]]/Table1[[#This Row],[Employees]]</f>
        <v>29.2148070907195</v>
      </c>
      <c r="K302">
        <v>15.26</v>
      </c>
      <c r="L302">
        <v>6.31</v>
      </c>
      <c r="M302">
        <v>2914</v>
      </c>
      <c r="N302">
        <v>53120</v>
      </c>
      <c r="O302">
        <v>256804</v>
      </c>
      <c r="P302">
        <v>20.350000000000001</v>
      </c>
    </row>
    <row r="303" spans="1:16" x14ac:dyDescent="0.3">
      <c r="A303">
        <v>2020</v>
      </c>
      <c r="B303" t="s">
        <v>27</v>
      </c>
      <c r="C303" t="s">
        <v>15</v>
      </c>
      <c r="D303" t="s">
        <v>25</v>
      </c>
      <c r="E303" t="str">
        <f>IF(OR(Table1[[#This Row],[Energy Type]]="Solar",Table1[[#This Row],[Energy Type]]="Wind"),"Renewable","Non-Renewable")</f>
        <v>Renewable</v>
      </c>
      <c r="F303">
        <v>75691</v>
      </c>
      <c r="G303">
        <v>22890</v>
      </c>
      <c r="H303">
        <v>6508</v>
      </c>
      <c r="I303">
        <v>3719</v>
      </c>
      <c r="J303" s="8">
        <f>Table1[[#This Row],[Revenue (Crore ₹)]]/Table1[[#This Row],[Employees]]</f>
        <v>1.7499327776283948</v>
      </c>
      <c r="K303">
        <v>10.84</v>
      </c>
      <c r="L303">
        <v>2.75</v>
      </c>
      <c r="M303">
        <v>7931</v>
      </c>
      <c r="N303">
        <v>-1423</v>
      </c>
      <c r="O303">
        <v>84256</v>
      </c>
      <c r="P303">
        <v>30.93</v>
      </c>
    </row>
    <row r="304" spans="1:16" x14ac:dyDescent="0.3">
      <c r="A304">
        <v>2023</v>
      </c>
      <c r="B304" t="s">
        <v>19</v>
      </c>
      <c r="C304" t="s">
        <v>21</v>
      </c>
      <c r="D304" t="s">
        <v>16</v>
      </c>
      <c r="E304" t="str">
        <f>IF(OR(Table1[[#This Row],[Energy Type]]="Solar",Table1[[#This Row],[Energy Type]]="Wind"),"Renewable","Non-Renewable")</f>
        <v>Non-Renewable</v>
      </c>
      <c r="F304">
        <v>40526</v>
      </c>
      <c r="G304">
        <v>27004</v>
      </c>
      <c r="H304">
        <v>225870</v>
      </c>
      <c r="I304">
        <v>9662</v>
      </c>
      <c r="J304" s="8">
        <f>Table1[[#This Row],[Revenue (Crore ₹)]]/Table1[[#This Row],[Employees]]</f>
        <v>23.377147588490995</v>
      </c>
      <c r="K304">
        <v>3.62</v>
      </c>
      <c r="L304">
        <v>1.56</v>
      </c>
      <c r="M304">
        <v>47047</v>
      </c>
      <c r="N304">
        <v>178823</v>
      </c>
      <c r="O304">
        <v>119014</v>
      </c>
      <c r="P304">
        <v>24.34</v>
      </c>
    </row>
    <row r="305" spans="1:16" x14ac:dyDescent="0.3">
      <c r="A305">
        <v>2023</v>
      </c>
      <c r="B305" t="s">
        <v>14</v>
      </c>
      <c r="C305" t="s">
        <v>33</v>
      </c>
      <c r="D305" t="s">
        <v>25</v>
      </c>
      <c r="E305" t="str">
        <f>IF(OR(Table1[[#This Row],[Energy Type]]="Solar",Table1[[#This Row],[Energy Type]]="Wind"),"Renewable","Non-Renewable")</f>
        <v>Renewable</v>
      </c>
      <c r="F305">
        <v>178460</v>
      </c>
      <c r="G305">
        <v>29660</v>
      </c>
      <c r="H305">
        <v>178936</v>
      </c>
      <c r="I305">
        <v>903</v>
      </c>
      <c r="J305" s="8">
        <f>Table1[[#This Row],[Revenue (Crore ₹)]]/Table1[[#This Row],[Employees]]</f>
        <v>198.15725359911406</v>
      </c>
      <c r="K305">
        <v>16.5</v>
      </c>
      <c r="L305">
        <v>14.19</v>
      </c>
      <c r="M305">
        <v>30587</v>
      </c>
      <c r="N305">
        <v>148349</v>
      </c>
      <c r="O305">
        <v>77224</v>
      </c>
      <c r="P305">
        <v>7.49</v>
      </c>
    </row>
    <row r="306" spans="1:16" x14ac:dyDescent="0.3">
      <c r="A306">
        <v>2021</v>
      </c>
      <c r="B306" t="s">
        <v>31</v>
      </c>
      <c r="C306" t="s">
        <v>34</v>
      </c>
      <c r="D306" t="s">
        <v>20</v>
      </c>
      <c r="E306" t="str">
        <f>IF(OR(Table1[[#This Row],[Energy Type]]="Solar",Table1[[#This Row],[Energy Type]]="Wind"),"Renewable","Non-Renewable")</f>
        <v>Non-Renewable</v>
      </c>
      <c r="F306">
        <v>53796</v>
      </c>
      <c r="G306">
        <v>8408</v>
      </c>
      <c r="H306">
        <v>266606</v>
      </c>
      <c r="I306">
        <v>7259</v>
      </c>
      <c r="J306" s="8">
        <f>Table1[[#This Row],[Revenue (Crore ₹)]]/Table1[[#This Row],[Employees]]</f>
        <v>36.727648436423749</v>
      </c>
      <c r="K306">
        <v>6.29</v>
      </c>
      <c r="L306">
        <v>13.08</v>
      </c>
      <c r="M306">
        <v>33646</v>
      </c>
      <c r="N306">
        <v>232960</v>
      </c>
      <c r="O306">
        <v>282171</v>
      </c>
      <c r="P306">
        <v>11.04</v>
      </c>
    </row>
    <row r="307" spans="1:16" x14ac:dyDescent="0.3">
      <c r="A307">
        <v>2021</v>
      </c>
      <c r="B307" t="s">
        <v>31</v>
      </c>
      <c r="C307" t="s">
        <v>26</v>
      </c>
      <c r="D307" t="s">
        <v>22</v>
      </c>
      <c r="E307" t="str">
        <f>IF(OR(Table1[[#This Row],[Energy Type]]="Solar",Table1[[#This Row],[Energy Type]]="Wind"),"Renewable","Non-Renewable")</f>
        <v>Non-Renewable</v>
      </c>
      <c r="F307">
        <v>109967</v>
      </c>
      <c r="G307">
        <v>30226</v>
      </c>
      <c r="H307">
        <v>66132</v>
      </c>
      <c r="I307">
        <v>8694</v>
      </c>
      <c r="J307" s="8">
        <f>Table1[[#This Row],[Revenue (Crore ₹)]]/Table1[[#This Row],[Employees]]</f>
        <v>7.6066252587991716</v>
      </c>
      <c r="K307">
        <v>9.14</v>
      </c>
      <c r="L307">
        <v>11.77</v>
      </c>
      <c r="M307">
        <v>48323</v>
      </c>
      <c r="N307">
        <v>17809</v>
      </c>
      <c r="O307">
        <v>20257</v>
      </c>
      <c r="P307">
        <v>19.010000000000002</v>
      </c>
    </row>
    <row r="308" spans="1:16" x14ac:dyDescent="0.3">
      <c r="A308">
        <v>2023</v>
      </c>
      <c r="B308" t="s">
        <v>23</v>
      </c>
      <c r="C308" t="s">
        <v>28</v>
      </c>
      <c r="D308" t="s">
        <v>25</v>
      </c>
      <c r="E308" t="str">
        <f>IF(OR(Table1[[#This Row],[Energy Type]]="Solar",Table1[[#This Row],[Energy Type]]="Wind"),"Renewable","Non-Renewable")</f>
        <v>Renewable</v>
      </c>
      <c r="F308">
        <v>126941</v>
      </c>
      <c r="G308">
        <v>114380</v>
      </c>
      <c r="H308">
        <v>179102</v>
      </c>
      <c r="I308">
        <v>1198</v>
      </c>
      <c r="J308" s="8">
        <f>Table1[[#This Row],[Revenue (Crore ₹)]]/Table1[[#This Row],[Employees]]</f>
        <v>149.50083472454091</v>
      </c>
      <c r="K308">
        <v>15.02</v>
      </c>
      <c r="L308">
        <v>11.29</v>
      </c>
      <c r="M308">
        <v>14743</v>
      </c>
      <c r="N308">
        <v>164359</v>
      </c>
      <c r="O308">
        <v>92945</v>
      </c>
      <c r="P308">
        <v>58.01</v>
      </c>
    </row>
    <row r="309" spans="1:16" x14ac:dyDescent="0.3">
      <c r="A309">
        <v>2021</v>
      </c>
      <c r="B309" t="s">
        <v>27</v>
      </c>
      <c r="C309" t="s">
        <v>33</v>
      </c>
      <c r="D309" t="s">
        <v>16</v>
      </c>
      <c r="E309" t="str">
        <f>IF(OR(Table1[[#This Row],[Energy Type]]="Solar",Table1[[#This Row],[Energy Type]]="Wind"),"Renewable","Non-Renewable")</f>
        <v>Non-Renewable</v>
      </c>
      <c r="F309">
        <v>191927</v>
      </c>
      <c r="G309">
        <v>46199</v>
      </c>
      <c r="H309">
        <v>269244</v>
      </c>
      <c r="I309">
        <v>7315</v>
      </c>
      <c r="J309" s="8">
        <f>Table1[[#This Row],[Revenue (Crore ₹)]]/Table1[[#This Row],[Employees]]</f>
        <v>36.807108680792894</v>
      </c>
      <c r="K309">
        <v>17.670000000000002</v>
      </c>
      <c r="L309">
        <v>10.38</v>
      </c>
      <c r="M309">
        <v>23987</v>
      </c>
      <c r="N309">
        <v>245257</v>
      </c>
      <c r="O309">
        <v>51934</v>
      </c>
      <c r="P309">
        <v>66.05</v>
      </c>
    </row>
    <row r="310" spans="1:16" x14ac:dyDescent="0.3">
      <c r="A310">
        <v>2024</v>
      </c>
      <c r="B310" t="s">
        <v>31</v>
      </c>
      <c r="C310" t="s">
        <v>34</v>
      </c>
      <c r="D310" t="s">
        <v>25</v>
      </c>
      <c r="E310" t="str">
        <f>IF(OR(Table1[[#This Row],[Energy Type]]="Solar",Table1[[#This Row],[Energy Type]]="Wind"),"Renewable","Non-Renewable")</f>
        <v>Renewable</v>
      </c>
      <c r="F310">
        <v>27753</v>
      </c>
      <c r="G310">
        <v>18734</v>
      </c>
      <c r="H310">
        <v>38702</v>
      </c>
      <c r="I310">
        <v>8427</v>
      </c>
      <c r="J310" s="8">
        <f>Table1[[#This Row],[Revenue (Crore ₹)]]/Table1[[#This Row],[Employees]]</f>
        <v>4.5926189628574816</v>
      </c>
      <c r="K310">
        <v>9.0299999999999994</v>
      </c>
      <c r="L310">
        <v>14.92</v>
      </c>
      <c r="M310">
        <v>3731</v>
      </c>
      <c r="N310">
        <v>34971</v>
      </c>
      <c r="O310">
        <v>53108</v>
      </c>
      <c r="P310">
        <v>52.37</v>
      </c>
    </row>
    <row r="311" spans="1:16" x14ac:dyDescent="0.3">
      <c r="A311">
        <v>2024</v>
      </c>
      <c r="B311" t="s">
        <v>17</v>
      </c>
      <c r="C311" t="s">
        <v>21</v>
      </c>
      <c r="D311" t="s">
        <v>20</v>
      </c>
      <c r="E311" t="str">
        <f>IF(OR(Table1[[#This Row],[Energy Type]]="Solar",Table1[[#This Row],[Energy Type]]="Wind"),"Renewable","Non-Renewable")</f>
        <v>Non-Renewable</v>
      </c>
      <c r="F311">
        <v>7601</v>
      </c>
      <c r="G311">
        <v>6687</v>
      </c>
      <c r="H311">
        <v>203546</v>
      </c>
      <c r="I311">
        <v>1340</v>
      </c>
      <c r="J311" s="8">
        <f>Table1[[#This Row],[Revenue (Crore ₹)]]/Table1[[#This Row],[Employees]]</f>
        <v>151.9</v>
      </c>
      <c r="K311">
        <v>24.23</v>
      </c>
      <c r="L311">
        <v>5.17</v>
      </c>
      <c r="M311">
        <v>7575</v>
      </c>
      <c r="N311">
        <v>195971</v>
      </c>
      <c r="O311">
        <v>228471</v>
      </c>
      <c r="P311">
        <v>55.14</v>
      </c>
    </row>
    <row r="312" spans="1:16" x14ac:dyDescent="0.3">
      <c r="A312">
        <v>2024</v>
      </c>
      <c r="B312" t="s">
        <v>14</v>
      </c>
      <c r="C312" t="s">
        <v>21</v>
      </c>
      <c r="D312" t="s">
        <v>22</v>
      </c>
      <c r="E312" t="str">
        <f>IF(OR(Table1[[#This Row],[Energy Type]]="Solar",Table1[[#This Row],[Energy Type]]="Wind"),"Renewable","Non-Renewable")</f>
        <v>Non-Renewable</v>
      </c>
      <c r="F312">
        <v>56901</v>
      </c>
      <c r="G312">
        <v>23316</v>
      </c>
      <c r="H312">
        <v>79908</v>
      </c>
      <c r="I312">
        <v>9186</v>
      </c>
      <c r="J312" s="8">
        <f>Table1[[#This Row],[Revenue (Crore ₹)]]/Table1[[#This Row],[Employees]]</f>
        <v>8.6988896146309607</v>
      </c>
      <c r="K312">
        <v>21.33</v>
      </c>
      <c r="L312">
        <v>6.31</v>
      </c>
      <c r="M312">
        <v>9593</v>
      </c>
      <c r="N312">
        <v>70315</v>
      </c>
      <c r="O312">
        <v>257308</v>
      </c>
      <c r="P312">
        <v>53.35</v>
      </c>
    </row>
    <row r="313" spans="1:16" x14ac:dyDescent="0.3">
      <c r="A313">
        <v>2024</v>
      </c>
      <c r="B313" t="s">
        <v>29</v>
      </c>
      <c r="C313" t="s">
        <v>26</v>
      </c>
      <c r="D313" t="s">
        <v>25</v>
      </c>
      <c r="E313" t="str">
        <f>IF(OR(Table1[[#This Row],[Energy Type]]="Solar",Table1[[#This Row],[Energy Type]]="Wind"),"Renewable","Non-Renewable")</f>
        <v>Renewable</v>
      </c>
      <c r="F313">
        <v>181637</v>
      </c>
      <c r="G313">
        <v>118086</v>
      </c>
      <c r="H313">
        <v>22180</v>
      </c>
      <c r="I313">
        <v>3737</v>
      </c>
      <c r="J313" s="8">
        <f>Table1[[#This Row],[Revenue (Crore ₹)]]/Table1[[#This Row],[Employees]]</f>
        <v>5.9352421728659355</v>
      </c>
      <c r="K313">
        <v>12.76</v>
      </c>
      <c r="L313">
        <v>9.02</v>
      </c>
      <c r="M313">
        <v>39424</v>
      </c>
      <c r="N313">
        <v>-17244</v>
      </c>
      <c r="O313">
        <v>82691</v>
      </c>
      <c r="P313">
        <v>28.53</v>
      </c>
    </row>
    <row r="314" spans="1:16" x14ac:dyDescent="0.3">
      <c r="A314">
        <v>2021</v>
      </c>
      <c r="B314" t="s">
        <v>19</v>
      </c>
      <c r="C314" t="s">
        <v>18</v>
      </c>
      <c r="D314" t="s">
        <v>25</v>
      </c>
      <c r="E314" t="str">
        <f>IF(OR(Table1[[#This Row],[Energy Type]]="Solar",Table1[[#This Row],[Energy Type]]="Wind"),"Renewable","Non-Renewable")</f>
        <v>Renewable</v>
      </c>
      <c r="F314">
        <v>49244</v>
      </c>
      <c r="G314">
        <v>18175</v>
      </c>
      <c r="H314">
        <v>213537</v>
      </c>
      <c r="I314">
        <v>5426</v>
      </c>
      <c r="J314" s="8">
        <f>Table1[[#This Row],[Revenue (Crore ₹)]]/Table1[[#This Row],[Employees]]</f>
        <v>39.354404718024327</v>
      </c>
      <c r="K314">
        <v>10.85</v>
      </c>
      <c r="L314">
        <v>1.66</v>
      </c>
      <c r="M314">
        <v>13618</v>
      </c>
      <c r="N314">
        <v>199919</v>
      </c>
      <c r="O314">
        <v>25442</v>
      </c>
      <c r="P314">
        <v>79.010000000000005</v>
      </c>
    </row>
    <row r="315" spans="1:16" x14ac:dyDescent="0.3">
      <c r="A315">
        <v>2024</v>
      </c>
      <c r="B315" t="s">
        <v>29</v>
      </c>
      <c r="C315" t="s">
        <v>21</v>
      </c>
      <c r="D315" t="s">
        <v>22</v>
      </c>
      <c r="E315" t="str">
        <f>IF(OR(Table1[[#This Row],[Energy Type]]="Solar",Table1[[#This Row],[Energy Type]]="Wind"),"Renewable","Non-Renewable")</f>
        <v>Non-Renewable</v>
      </c>
      <c r="F315">
        <v>116379</v>
      </c>
      <c r="G315">
        <v>50890</v>
      </c>
      <c r="H315">
        <v>57866</v>
      </c>
      <c r="I315">
        <v>9202</v>
      </c>
      <c r="J315" s="8">
        <f>Table1[[#This Row],[Revenue (Crore ₹)]]/Table1[[#This Row],[Employees]]</f>
        <v>6.288415561834384</v>
      </c>
      <c r="K315">
        <v>21.72</v>
      </c>
      <c r="L315">
        <v>9.93</v>
      </c>
      <c r="M315">
        <v>44992</v>
      </c>
      <c r="N315">
        <v>12874</v>
      </c>
      <c r="O315">
        <v>246343</v>
      </c>
      <c r="P315">
        <v>51.09</v>
      </c>
    </row>
    <row r="316" spans="1:16" x14ac:dyDescent="0.3">
      <c r="A316">
        <v>2023</v>
      </c>
      <c r="B316" t="s">
        <v>29</v>
      </c>
      <c r="C316" t="s">
        <v>28</v>
      </c>
      <c r="D316" t="s">
        <v>20</v>
      </c>
      <c r="E316" t="str">
        <f>IF(OR(Table1[[#This Row],[Energy Type]]="Solar",Table1[[#This Row],[Energy Type]]="Wind"),"Renewable","Non-Renewable")</f>
        <v>Non-Renewable</v>
      </c>
      <c r="F316">
        <v>69835</v>
      </c>
      <c r="G316">
        <v>4402</v>
      </c>
      <c r="H316">
        <v>258069</v>
      </c>
      <c r="I316">
        <v>7190</v>
      </c>
      <c r="J316" s="8">
        <f>Table1[[#This Row],[Revenue (Crore ₹)]]/Table1[[#This Row],[Employees]]</f>
        <v>35.892767732962447</v>
      </c>
      <c r="K316">
        <v>7.5</v>
      </c>
      <c r="L316">
        <v>2.34</v>
      </c>
      <c r="M316">
        <v>14610</v>
      </c>
      <c r="N316">
        <v>243459</v>
      </c>
      <c r="O316">
        <v>101059</v>
      </c>
      <c r="P316">
        <v>58.77</v>
      </c>
    </row>
    <row r="317" spans="1:16" x14ac:dyDescent="0.3">
      <c r="A317">
        <v>2025</v>
      </c>
      <c r="B317" t="s">
        <v>29</v>
      </c>
      <c r="C317" t="s">
        <v>28</v>
      </c>
      <c r="D317" t="s">
        <v>20</v>
      </c>
      <c r="E317" t="str">
        <f>IF(OR(Table1[[#This Row],[Energy Type]]="Solar",Table1[[#This Row],[Energy Type]]="Wind"),"Renewable","Non-Renewable")</f>
        <v>Non-Renewable</v>
      </c>
      <c r="F317">
        <v>111940</v>
      </c>
      <c r="G317">
        <v>50802</v>
      </c>
      <c r="H317">
        <v>14730</v>
      </c>
      <c r="I317">
        <v>7518</v>
      </c>
      <c r="J317" s="8">
        <f>Table1[[#This Row],[Revenue (Crore ₹)]]/Table1[[#This Row],[Employees]]</f>
        <v>1.9592976855546689</v>
      </c>
      <c r="K317">
        <v>21.46</v>
      </c>
      <c r="L317">
        <v>9.56</v>
      </c>
      <c r="M317">
        <v>28737</v>
      </c>
      <c r="N317">
        <v>-14007</v>
      </c>
      <c r="O317">
        <v>134546</v>
      </c>
      <c r="P317">
        <v>76.900000000000006</v>
      </c>
    </row>
    <row r="318" spans="1:16" x14ac:dyDescent="0.3">
      <c r="A318">
        <v>2023</v>
      </c>
      <c r="B318" t="s">
        <v>29</v>
      </c>
      <c r="C318" t="s">
        <v>34</v>
      </c>
      <c r="D318" t="s">
        <v>25</v>
      </c>
      <c r="E318" t="str">
        <f>IF(OR(Table1[[#This Row],[Energy Type]]="Solar",Table1[[#This Row],[Energy Type]]="Wind"),"Renewable","Non-Renewable")</f>
        <v>Renewable</v>
      </c>
      <c r="F318">
        <v>149528</v>
      </c>
      <c r="G318">
        <v>116265</v>
      </c>
      <c r="H318">
        <v>294247</v>
      </c>
      <c r="I318">
        <v>3569</v>
      </c>
      <c r="J318" s="8">
        <f>Table1[[#This Row],[Revenue (Crore ₹)]]/Table1[[#This Row],[Employees]]</f>
        <v>82.445222751470993</v>
      </c>
      <c r="K318">
        <v>20.89</v>
      </c>
      <c r="L318">
        <v>3.28</v>
      </c>
      <c r="M318">
        <v>27025</v>
      </c>
      <c r="N318">
        <v>267222</v>
      </c>
      <c r="O318">
        <v>173184</v>
      </c>
      <c r="P318">
        <v>54.3</v>
      </c>
    </row>
    <row r="319" spans="1:16" x14ac:dyDescent="0.3">
      <c r="A319">
        <v>2023</v>
      </c>
      <c r="B319" t="s">
        <v>27</v>
      </c>
      <c r="C319" t="s">
        <v>33</v>
      </c>
      <c r="D319" t="s">
        <v>16</v>
      </c>
      <c r="E319" t="str">
        <f>IF(OR(Table1[[#This Row],[Energy Type]]="Solar",Table1[[#This Row],[Energy Type]]="Wind"),"Renewable","Non-Renewable")</f>
        <v>Non-Renewable</v>
      </c>
      <c r="F319">
        <v>69350</v>
      </c>
      <c r="G319">
        <v>38461</v>
      </c>
      <c r="H319">
        <v>76616</v>
      </c>
      <c r="I319">
        <v>6003</v>
      </c>
      <c r="J319" s="8">
        <f>Table1[[#This Row],[Revenue (Crore ₹)]]/Table1[[#This Row],[Employees]]</f>
        <v>12.762951857404632</v>
      </c>
      <c r="K319">
        <v>10.62</v>
      </c>
      <c r="L319">
        <v>4.34</v>
      </c>
      <c r="M319">
        <v>35217</v>
      </c>
      <c r="N319">
        <v>41399</v>
      </c>
      <c r="O319">
        <v>132309</v>
      </c>
      <c r="P319">
        <v>70.98</v>
      </c>
    </row>
    <row r="320" spans="1:16" x14ac:dyDescent="0.3">
      <c r="A320">
        <v>2020</v>
      </c>
      <c r="B320" t="s">
        <v>23</v>
      </c>
      <c r="C320" t="s">
        <v>15</v>
      </c>
      <c r="D320" t="s">
        <v>16</v>
      </c>
      <c r="E320" t="str">
        <f>IF(OR(Table1[[#This Row],[Energy Type]]="Solar",Table1[[#This Row],[Energy Type]]="Wind"),"Renewable","Non-Renewable")</f>
        <v>Non-Renewable</v>
      </c>
      <c r="F320">
        <v>112989</v>
      </c>
      <c r="G320">
        <v>55288</v>
      </c>
      <c r="H320">
        <v>53501</v>
      </c>
      <c r="I320">
        <v>2136</v>
      </c>
      <c r="J320" s="8">
        <f>Table1[[#This Row],[Revenue (Crore ₹)]]/Table1[[#This Row],[Employees]]</f>
        <v>25.047284644194757</v>
      </c>
      <c r="K320">
        <v>22</v>
      </c>
      <c r="L320">
        <v>13.38</v>
      </c>
      <c r="M320">
        <v>26741</v>
      </c>
      <c r="N320">
        <v>26760</v>
      </c>
      <c r="O320">
        <v>21408</v>
      </c>
      <c r="P320">
        <v>69.23</v>
      </c>
    </row>
    <row r="321" spans="1:16" x14ac:dyDescent="0.3">
      <c r="A321">
        <v>2022</v>
      </c>
      <c r="B321" t="s">
        <v>19</v>
      </c>
      <c r="C321" t="s">
        <v>21</v>
      </c>
      <c r="D321" t="s">
        <v>16</v>
      </c>
      <c r="E321" t="str">
        <f>IF(OR(Table1[[#This Row],[Energy Type]]="Solar",Table1[[#This Row],[Energy Type]]="Wind"),"Renewable","Non-Renewable")</f>
        <v>Non-Renewable</v>
      </c>
      <c r="F321">
        <v>82236</v>
      </c>
      <c r="G321">
        <v>21452</v>
      </c>
      <c r="H321">
        <v>81446</v>
      </c>
      <c r="I321">
        <v>4246</v>
      </c>
      <c r="J321" s="8">
        <f>Table1[[#This Row],[Revenue (Crore ₹)]]/Table1[[#This Row],[Employees]]</f>
        <v>19.181818181818183</v>
      </c>
      <c r="K321">
        <v>21.81</v>
      </c>
      <c r="L321">
        <v>5.07</v>
      </c>
      <c r="M321">
        <v>40421</v>
      </c>
      <c r="N321">
        <v>41025</v>
      </c>
      <c r="O321">
        <v>185089</v>
      </c>
      <c r="P321">
        <v>65.430000000000007</v>
      </c>
    </row>
    <row r="322" spans="1:16" x14ac:dyDescent="0.3">
      <c r="A322">
        <v>2020</v>
      </c>
      <c r="B322" t="s">
        <v>30</v>
      </c>
      <c r="C322" t="s">
        <v>34</v>
      </c>
      <c r="D322" t="s">
        <v>16</v>
      </c>
      <c r="E322" t="str">
        <f>IF(OR(Table1[[#This Row],[Energy Type]]="Solar",Table1[[#This Row],[Energy Type]]="Wind"),"Renewable","Non-Renewable")</f>
        <v>Non-Renewable</v>
      </c>
      <c r="F322">
        <v>50129</v>
      </c>
      <c r="G322">
        <v>10917</v>
      </c>
      <c r="H322">
        <v>253328</v>
      </c>
      <c r="I322">
        <v>7385</v>
      </c>
      <c r="J322" s="8">
        <f>Table1[[#This Row],[Revenue (Crore ₹)]]/Table1[[#This Row],[Employees]]</f>
        <v>34.303046716316857</v>
      </c>
      <c r="K322">
        <v>11.53</v>
      </c>
      <c r="L322">
        <v>12.81</v>
      </c>
      <c r="M322">
        <v>49773</v>
      </c>
      <c r="N322">
        <v>203555</v>
      </c>
      <c r="O322">
        <v>193159</v>
      </c>
      <c r="P322">
        <v>52.84</v>
      </c>
    </row>
    <row r="323" spans="1:16" x14ac:dyDescent="0.3">
      <c r="A323">
        <v>2023</v>
      </c>
      <c r="B323" t="s">
        <v>23</v>
      </c>
      <c r="C323" t="s">
        <v>34</v>
      </c>
      <c r="D323" t="s">
        <v>32</v>
      </c>
      <c r="E323" t="str">
        <f>IF(OR(Table1[[#This Row],[Energy Type]]="Solar",Table1[[#This Row],[Energy Type]]="Wind"),"Renewable","Non-Renewable")</f>
        <v>Renewable</v>
      </c>
      <c r="F323">
        <v>189949</v>
      </c>
      <c r="G323">
        <v>166356</v>
      </c>
      <c r="H323">
        <v>262790</v>
      </c>
      <c r="I323">
        <v>2032</v>
      </c>
      <c r="J323" s="8">
        <f>Table1[[#This Row],[Revenue (Crore ₹)]]/Table1[[#This Row],[Employees]]</f>
        <v>129.32578740157481</v>
      </c>
      <c r="K323">
        <v>14.16</v>
      </c>
      <c r="L323">
        <v>12.71</v>
      </c>
      <c r="M323">
        <v>36143</v>
      </c>
      <c r="N323">
        <v>226647</v>
      </c>
      <c r="O323">
        <v>17631</v>
      </c>
      <c r="P323">
        <v>55.85</v>
      </c>
    </row>
    <row r="324" spans="1:16" x14ac:dyDescent="0.3">
      <c r="A324">
        <v>2020</v>
      </c>
      <c r="B324" t="s">
        <v>29</v>
      </c>
      <c r="C324" t="s">
        <v>21</v>
      </c>
      <c r="D324" t="s">
        <v>25</v>
      </c>
      <c r="E324" t="str">
        <f>IF(OR(Table1[[#This Row],[Energy Type]]="Solar",Table1[[#This Row],[Energy Type]]="Wind"),"Renewable","Non-Renewable")</f>
        <v>Renewable</v>
      </c>
      <c r="F324">
        <v>103338</v>
      </c>
      <c r="G324">
        <v>35730</v>
      </c>
      <c r="H324">
        <v>87392</v>
      </c>
      <c r="I324">
        <v>6771</v>
      </c>
      <c r="J324" s="8">
        <f>Table1[[#This Row],[Revenue (Crore ₹)]]/Table1[[#This Row],[Employees]]</f>
        <v>12.906808447792054</v>
      </c>
      <c r="K324">
        <v>22.94</v>
      </c>
      <c r="L324">
        <v>7.87</v>
      </c>
      <c r="M324">
        <v>49723</v>
      </c>
      <c r="N324">
        <v>37669</v>
      </c>
      <c r="O324">
        <v>40112</v>
      </c>
      <c r="P324">
        <v>43.97</v>
      </c>
    </row>
    <row r="325" spans="1:16" x14ac:dyDescent="0.3">
      <c r="A325">
        <v>2020</v>
      </c>
      <c r="B325" t="s">
        <v>30</v>
      </c>
      <c r="C325" t="s">
        <v>26</v>
      </c>
      <c r="D325" t="s">
        <v>16</v>
      </c>
      <c r="E325" t="str">
        <f>IF(OR(Table1[[#This Row],[Energy Type]]="Solar",Table1[[#This Row],[Energy Type]]="Wind"),"Renewable","Non-Renewable")</f>
        <v>Non-Renewable</v>
      </c>
      <c r="F325">
        <v>126340</v>
      </c>
      <c r="G325">
        <v>42180</v>
      </c>
      <c r="H325">
        <v>53057</v>
      </c>
      <c r="I325">
        <v>5562</v>
      </c>
      <c r="J325" s="8">
        <f>Table1[[#This Row],[Revenue (Crore ₹)]]/Table1[[#This Row],[Employees]]</f>
        <v>9.5391945343401652</v>
      </c>
      <c r="K325">
        <v>16.510000000000002</v>
      </c>
      <c r="L325">
        <v>13.92</v>
      </c>
      <c r="M325">
        <v>46417</v>
      </c>
      <c r="N325">
        <v>6640</v>
      </c>
      <c r="O325">
        <v>71238</v>
      </c>
      <c r="P325">
        <v>78.03</v>
      </c>
    </row>
    <row r="326" spans="1:16" x14ac:dyDescent="0.3">
      <c r="A326">
        <v>2022</v>
      </c>
      <c r="B326" t="s">
        <v>19</v>
      </c>
      <c r="C326" t="s">
        <v>26</v>
      </c>
      <c r="D326" t="s">
        <v>25</v>
      </c>
      <c r="E326" t="str">
        <f>IF(OR(Table1[[#This Row],[Energy Type]]="Solar",Table1[[#This Row],[Energy Type]]="Wind"),"Renewable","Non-Renewable")</f>
        <v>Renewable</v>
      </c>
      <c r="F326">
        <v>107937</v>
      </c>
      <c r="G326">
        <v>100680</v>
      </c>
      <c r="H326">
        <v>69133</v>
      </c>
      <c r="I326">
        <v>8680</v>
      </c>
      <c r="J326" s="8">
        <f>Table1[[#This Row],[Revenue (Crore ₹)]]/Table1[[#This Row],[Employees]]</f>
        <v>7.9646313364055299</v>
      </c>
      <c r="K326">
        <v>16.64</v>
      </c>
      <c r="L326">
        <v>12.74</v>
      </c>
      <c r="M326">
        <v>34328</v>
      </c>
      <c r="N326">
        <v>34805</v>
      </c>
      <c r="O326">
        <v>10473</v>
      </c>
      <c r="P326">
        <v>34.89</v>
      </c>
    </row>
    <row r="327" spans="1:16" x14ac:dyDescent="0.3">
      <c r="A327">
        <v>2023</v>
      </c>
      <c r="B327" t="s">
        <v>27</v>
      </c>
      <c r="C327" t="s">
        <v>21</v>
      </c>
      <c r="D327" t="s">
        <v>22</v>
      </c>
      <c r="E327" t="str">
        <f>IF(OR(Table1[[#This Row],[Energy Type]]="Solar",Table1[[#This Row],[Energy Type]]="Wind"),"Renewable","Non-Renewable")</f>
        <v>Non-Renewable</v>
      </c>
      <c r="F327">
        <v>155110</v>
      </c>
      <c r="G327">
        <v>42162</v>
      </c>
      <c r="H327">
        <v>212461</v>
      </c>
      <c r="I327">
        <v>7156</v>
      </c>
      <c r="J327" s="8">
        <f>Table1[[#This Row],[Revenue (Crore ₹)]]/Table1[[#This Row],[Employees]]</f>
        <v>29.689910564561206</v>
      </c>
      <c r="K327">
        <v>8.31</v>
      </c>
      <c r="L327">
        <v>13.8</v>
      </c>
      <c r="M327">
        <v>9985</v>
      </c>
      <c r="N327">
        <v>202476</v>
      </c>
      <c r="O327">
        <v>16978</v>
      </c>
      <c r="P327">
        <v>65.48</v>
      </c>
    </row>
    <row r="328" spans="1:16" x14ac:dyDescent="0.3">
      <c r="A328">
        <v>2021</v>
      </c>
      <c r="B328" t="s">
        <v>30</v>
      </c>
      <c r="C328" t="s">
        <v>18</v>
      </c>
      <c r="D328" t="s">
        <v>32</v>
      </c>
      <c r="E328" t="str">
        <f>IF(OR(Table1[[#This Row],[Energy Type]]="Solar",Table1[[#This Row],[Energy Type]]="Wind"),"Renewable","Non-Renewable")</f>
        <v>Renewable</v>
      </c>
      <c r="F328">
        <v>96473</v>
      </c>
      <c r="G328">
        <v>79278</v>
      </c>
      <c r="H328">
        <v>41507</v>
      </c>
      <c r="I328">
        <v>4444</v>
      </c>
      <c r="J328" s="8">
        <f>Table1[[#This Row],[Revenue (Crore ₹)]]/Table1[[#This Row],[Employees]]</f>
        <v>9.3400090009000909</v>
      </c>
      <c r="K328">
        <v>24.78</v>
      </c>
      <c r="L328">
        <v>12.04</v>
      </c>
      <c r="M328">
        <v>37581</v>
      </c>
      <c r="N328">
        <v>3926</v>
      </c>
      <c r="O328">
        <v>71378</v>
      </c>
      <c r="P328">
        <v>47.93</v>
      </c>
    </row>
    <row r="329" spans="1:16" x14ac:dyDescent="0.3">
      <c r="A329">
        <v>2021</v>
      </c>
      <c r="B329" t="s">
        <v>31</v>
      </c>
      <c r="C329" t="s">
        <v>21</v>
      </c>
      <c r="D329" t="s">
        <v>32</v>
      </c>
      <c r="E329" t="str">
        <f>IF(OR(Table1[[#This Row],[Energy Type]]="Solar",Table1[[#This Row],[Energy Type]]="Wind"),"Renewable","Non-Renewable")</f>
        <v>Renewable</v>
      </c>
      <c r="F329">
        <v>107115</v>
      </c>
      <c r="G329">
        <v>24557</v>
      </c>
      <c r="H329">
        <v>245992</v>
      </c>
      <c r="I329">
        <v>6368</v>
      </c>
      <c r="J329" s="8">
        <f>Table1[[#This Row],[Revenue (Crore ₹)]]/Table1[[#This Row],[Employees]]</f>
        <v>38.629396984924625</v>
      </c>
      <c r="K329">
        <v>16.079999999999998</v>
      </c>
      <c r="L329">
        <v>10.65</v>
      </c>
      <c r="M329">
        <v>42102</v>
      </c>
      <c r="N329">
        <v>203890</v>
      </c>
      <c r="O329">
        <v>117153</v>
      </c>
      <c r="P329">
        <v>24.82</v>
      </c>
    </row>
    <row r="330" spans="1:16" x14ac:dyDescent="0.3">
      <c r="A330">
        <v>2024</v>
      </c>
      <c r="B330" t="s">
        <v>19</v>
      </c>
      <c r="C330" t="s">
        <v>18</v>
      </c>
      <c r="D330" t="s">
        <v>25</v>
      </c>
      <c r="E330" t="str">
        <f>IF(OR(Table1[[#This Row],[Energy Type]]="Solar",Table1[[#This Row],[Energy Type]]="Wind"),"Renewable","Non-Renewable")</f>
        <v>Renewable</v>
      </c>
      <c r="F330">
        <v>45012</v>
      </c>
      <c r="G330">
        <v>15212</v>
      </c>
      <c r="H330">
        <v>292545</v>
      </c>
      <c r="I330">
        <v>3698</v>
      </c>
      <c r="J330" s="8">
        <f>Table1[[#This Row],[Revenue (Crore ₹)]]/Table1[[#This Row],[Employees]]</f>
        <v>79.108977825851809</v>
      </c>
      <c r="K330">
        <v>6.46</v>
      </c>
      <c r="L330">
        <v>5.25</v>
      </c>
      <c r="M330">
        <v>15413</v>
      </c>
      <c r="N330">
        <v>277132</v>
      </c>
      <c r="O330">
        <v>137387</v>
      </c>
      <c r="P330">
        <v>15.07</v>
      </c>
    </row>
    <row r="331" spans="1:16" x14ac:dyDescent="0.3">
      <c r="A331">
        <v>2022</v>
      </c>
      <c r="B331" t="s">
        <v>30</v>
      </c>
      <c r="C331" t="s">
        <v>21</v>
      </c>
      <c r="D331" t="s">
        <v>32</v>
      </c>
      <c r="E331" t="str">
        <f>IF(OR(Table1[[#This Row],[Energy Type]]="Solar",Table1[[#This Row],[Energy Type]]="Wind"),"Renewable","Non-Renewable")</f>
        <v>Renewable</v>
      </c>
      <c r="F331">
        <v>136890</v>
      </c>
      <c r="G331">
        <v>128567</v>
      </c>
      <c r="H331">
        <v>40989</v>
      </c>
      <c r="I331">
        <v>2817</v>
      </c>
      <c r="J331" s="8">
        <f>Table1[[#This Row],[Revenue (Crore ₹)]]/Table1[[#This Row],[Employees]]</f>
        <v>14.550585729499467</v>
      </c>
      <c r="K331">
        <v>22.89</v>
      </c>
      <c r="L331">
        <v>7.11</v>
      </c>
      <c r="M331">
        <v>18325</v>
      </c>
      <c r="N331">
        <v>22664</v>
      </c>
      <c r="O331">
        <v>43650</v>
      </c>
      <c r="P331">
        <v>18.41</v>
      </c>
    </row>
    <row r="332" spans="1:16" x14ac:dyDescent="0.3">
      <c r="A332">
        <v>2022</v>
      </c>
      <c r="B332" t="s">
        <v>29</v>
      </c>
      <c r="C332" t="s">
        <v>18</v>
      </c>
      <c r="D332" t="s">
        <v>25</v>
      </c>
      <c r="E332" t="str">
        <f>IF(OR(Table1[[#This Row],[Energy Type]]="Solar",Table1[[#This Row],[Energy Type]]="Wind"),"Renewable","Non-Renewable")</f>
        <v>Renewable</v>
      </c>
      <c r="F332">
        <v>197692</v>
      </c>
      <c r="G332">
        <v>142993</v>
      </c>
      <c r="H332">
        <v>276091</v>
      </c>
      <c r="I332">
        <v>4564</v>
      </c>
      <c r="J332" s="8">
        <f>Table1[[#This Row],[Revenue (Crore ₹)]]/Table1[[#This Row],[Employees]]</f>
        <v>60.493207712532865</v>
      </c>
      <c r="K332">
        <v>7.73</v>
      </c>
      <c r="L332">
        <v>12.99</v>
      </c>
      <c r="M332">
        <v>16313</v>
      </c>
      <c r="N332">
        <v>259778</v>
      </c>
      <c r="O332">
        <v>91043</v>
      </c>
      <c r="P332">
        <v>63.05</v>
      </c>
    </row>
    <row r="333" spans="1:16" x14ac:dyDescent="0.3">
      <c r="A333">
        <v>2020</v>
      </c>
      <c r="B333" t="s">
        <v>29</v>
      </c>
      <c r="C333" t="s">
        <v>24</v>
      </c>
      <c r="D333" t="s">
        <v>16</v>
      </c>
      <c r="E333" t="str">
        <f>IF(OR(Table1[[#This Row],[Energy Type]]="Solar",Table1[[#This Row],[Energy Type]]="Wind"),"Renewable","Non-Renewable")</f>
        <v>Non-Renewable</v>
      </c>
      <c r="F333">
        <v>95550</v>
      </c>
      <c r="G333">
        <v>56664</v>
      </c>
      <c r="H333">
        <v>101870</v>
      </c>
      <c r="I333">
        <v>9147</v>
      </c>
      <c r="J333" s="8">
        <f>Table1[[#This Row],[Revenue (Crore ₹)]]/Table1[[#This Row],[Employees]]</f>
        <v>11.136984803760797</v>
      </c>
      <c r="K333">
        <v>6.64</v>
      </c>
      <c r="L333">
        <v>6.63</v>
      </c>
      <c r="M333">
        <v>8896</v>
      </c>
      <c r="N333">
        <v>92974</v>
      </c>
      <c r="O333">
        <v>10860</v>
      </c>
      <c r="P333">
        <v>73.8</v>
      </c>
    </row>
    <row r="334" spans="1:16" x14ac:dyDescent="0.3">
      <c r="A334">
        <v>2022</v>
      </c>
      <c r="B334" t="s">
        <v>31</v>
      </c>
      <c r="C334" t="s">
        <v>34</v>
      </c>
      <c r="D334" t="s">
        <v>20</v>
      </c>
      <c r="E334" t="str">
        <f>IF(OR(Table1[[#This Row],[Energy Type]]="Solar",Table1[[#This Row],[Energy Type]]="Wind"),"Renewable","Non-Renewable")</f>
        <v>Non-Renewable</v>
      </c>
      <c r="F334">
        <v>132286</v>
      </c>
      <c r="G334">
        <v>21312</v>
      </c>
      <c r="H334">
        <v>289765</v>
      </c>
      <c r="I334">
        <v>7059</v>
      </c>
      <c r="J334" s="8">
        <f>Table1[[#This Row],[Revenue (Crore ₹)]]/Table1[[#This Row],[Employees]]</f>
        <v>41.049015441280638</v>
      </c>
      <c r="K334">
        <v>3.86</v>
      </c>
      <c r="L334">
        <v>14.06</v>
      </c>
      <c r="M334">
        <v>34123</v>
      </c>
      <c r="N334">
        <v>255642</v>
      </c>
      <c r="O334">
        <v>66968</v>
      </c>
      <c r="P334">
        <v>72.86</v>
      </c>
    </row>
    <row r="335" spans="1:16" x14ac:dyDescent="0.3">
      <c r="A335">
        <v>2020</v>
      </c>
      <c r="B335" t="s">
        <v>17</v>
      </c>
      <c r="C335" t="s">
        <v>24</v>
      </c>
      <c r="D335" t="s">
        <v>25</v>
      </c>
      <c r="E335" t="str">
        <f>IF(OR(Table1[[#This Row],[Energy Type]]="Solar",Table1[[#This Row],[Energy Type]]="Wind"),"Renewable","Non-Renewable")</f>
        <v>Renewable</v>
      </c>
      <c r="F335">
        <v>96061</v>
      </c>
      <c r="G335">
        <v>84351</v>
      </c>
      <c r="H335">
        <v>26982</v>
      </c>
      <c r="I335">
        <v>1222</v>
      </c>
      <c r="J335" s="8">
        <f>Table1[[#This Row],[Revenue (Crore ₹)]]/Table1[[#This Row],[Employees]]</f>
        <v>22.080196399345336</v>
      </c>
      <c r="K335">
        <v>15.13</v>
      </c>
      <c r="L335">
        <v>7.98</v>
      </c>
      <c r="M335">
        <v>960</v>
      </c>
      <c r="N335">
        <v>26022</v>
      </c>
      <c r="O335">
        <v>83430</v>
      </c>
      <c r="P335">
        <v>47.18</v>
      </c>
    </row>
    <row r="336" spans="1:16" x14ac:dyDescent="0.3">
      <c r="A336">
        <v>2024</v>
      </c>
      <c r="B336" t="s">
        <v>14</v>
      </c>
      <c r="C336" t="s">
        <v>33</v>
      </c>
      <c r="D336" t="s">
        <v>22</v>
      </c>
      <c r="E336" t="str">
        <f>IF(OR(Table1[[#This Row],[Energy Type]]="Solar",Table1[[#This Row],[Energy Type]]="Wind"),"Renewable","Non-Renewable")</f>
        <v>Non-Renewable</v>
      </c>
      <c r="F336">
        <v>99430</v>
      </c>
      <c r="G336">
        <v>38256</v>
      </c>
      <c r="H336">
        <v>186742</v>
      </c>
      <c r="I336">
        <v>6749</v>
      </c>
      <c r="J336" s="8">
        <f>Table1[[#This Row],[Revenue (Crore ₹)]]/Table1[[#This Row],[Employees]]</f>
        <v>27.669580678619056</v>
      </c>
      <c r="K336">
        <v>11.49</v>
      </c>
      <c r="L336">
        <v>8.2200000000000006</v>
      </c>
      <c r="M336">
        <v>21351</v>
      </c>
      <c r="N336">
        <v>165391</v>
      </c>
      <c r="O336">
        <v>72500</v>
      </c>
      <c r="P336">
        <v>40.14</v>
      </c>
    </row>
    <row r="337" spans="1:16" x14ac:dyDescent="0.3">
      <c r="A337">
        <v>2024</v>
      </c>
      <c r="B337" t="s">
        <v>19</v>
      </c>
      <c r="C337" t="s">
        <v>33</v>
      </c>
      <c r="D337" t="s">
        <v>22</v>
      </c>
      <c r="E337" t="str">
        <f>IF(OR(Table1[[#This Row],[Energy Type]]="Solar",Table1[[#This Row],[Energy Type]]="Wind"),"Renewable","Non-Renewable")</f>
        <v>Non-Renewable</v>
      </c>
      <c r="F337">
        <v>120823</v>
      </c>
      <c r="G337">
        <v>37198</v>
      </c>
      <c r="H337">
        <v>221113</v>
      </c>
      <c r="I337">
        <v>5672</v>
      </c>
      <c r="J337" s="8">
        <f>Table1[[#This Row],[Revenue (Crore ₹)]]/Table1[[#This Row],[Employees]]</f>
        <v>38.983251057827928</v>
      </c>
      <c r="K337">
        <v>15.08</v>
      </c>
      <c r="L337">
        <v>14.22</v>
      </c>
      <c r="M337">
        <v>2253</v>
      </c>
      <c r="N337">
        <v>218860</v>
      </c>
      <c r="O337">
        <v>155093</v>
      </c>
      <c r="P337">
        <v>68.680000000000007</v>
      </c>
    </row>
    <row r="338" spans="1:16" x14ac:dyDescent="0.3">
      <c r="A338">
        <v>2020</v>
      </c>
      <c r="B338" t="s">
        <v>17</v>
      </c>
      <c r="C338" t="s">
        <v>21</v>
      </c>
      <c r="D338" t="s">
        <v>22</v>
      </c>
      <c r="E338" t="str">
        <f>IF(OR(Table1[[#This Row],[Energy Type]]="Solar",Table1[[#This Row],[Energy Type]]="Wind"),"Renewable","Non-Renewable")</f>
        <v>Non-Renewable</v>
      </c>
      <c r="F338">
        <v>136906</v>
      </c>
      <c r="G338">
        <v>110290</v>
      </c>
      <c r="H338">
        <v>268546</v>
      </c>
      <c r="I338">
        <v>1384</v>
      </c>
      <c r="J338" s="8">
        <f>Table1[[#This Row],[Revenue (Crore ₹)]]/Table1[[#This Row],[Employees]]</f>
        <v>194.03612716763007</v>
      </c>
      <c r="K338">
        <v>9.4700000000000006</v>
      </c>
      <c r="L338">
        <v>14.65</v>
      </c>
      <c r="M338">
        <v>9962</v>
      </c>
      <c r="N338">
        <v>258584</v>
      </c>
      <c r="O338">
        <v>116992</v>
      </c>
      <c r="P338">
        <v>31.17</v>
      </c>
    </row>
    <row r="339" spans="1:16" x14ac:dyDescent="0.3">
      <c r="A339">
        <v>2025</v>
      </c>
      <c r="B339" t="s">
        <v>17</v>
      </c>
      <c r="C339" t="s">
        <v>18</v>
      </c>
      <c r="D339" t="s">
        <v>32</v>
      </c>
      <c r="E339" t="str">
        <f>IF(OR(Table1[[#This Row],[Energy Type]]="Solar",Table1[[#This Row],[Energy Type]]="Wind"),"Renewable","Non-Renewable")</f>
        <v>Renewable</v>
      </c>
      <c r="F339">
        <v>76704</v>
      </c>
      <c r="G339">
        <v>68144</v>
      </c>
      <c r="H339">
        <v>187982</v>
      </c>
      <c r="I339">
        <v>1340</v>
      </c>
      <c r="J339" s="8">
        <f>Table1[[#This Row],[Revenue (Crore ₹)]]/Table1[[#This Row],[Employees]]</f>
        <v>140.28507462686568</v>
      </c>
      <c r="K339">
        <v>16.239999999999998</v>
      </c>
      <c r="L339">
        <v>13.47</v>
      </c>
      <c r="M339">
        <v>33475</v>
      </c>
      <c r="N339">
        <v>154507</v>
      </c>
      <c r="O339">
        <v>118906</v>
      </c>
      <c r="P339">
        <v>30.27</v>
      </c>
    </row>
    <row r="340" spans="1:16" x14ac:dyDescent="0.3">
      <c r="A340">
        <v>2022</v>
      </c>
      <c r="B340" t="s">
        <v>19</v>
      </c>
      <c r="C340" t="s">
        <v>18</v>
      </c>
      <c r="D340" t="s">
        <v>22</v>
      </c>
      <c r="E340" t="str">
        <f>IF(OR(Table1[[#This Row],[Energy Type]]="Solar",Table1[[#This Row],[Energy Type]]="Wind"),"Renewable","Non-Renewable")</f>
        <v>Non-Renewable</v>
      </c>
      <c r="F340">
        <v>71717</v>
      </c>
      <c r="G340">
        <v>57026</v>
      </c>
      <c r="H340">
        <v>296221</v>
      </c>
      <c r="I340">
        <v>1166</v>
      </c>
      <c r="J340" s="8">
        <f>Table1[[#This Row],[Revenue (Crore ₹)]]/Table1[[#This Row],[Employees]]</f>
        <v>254.04888507718695</v>
      </c>
      <c r="K340">
        <v>12.21</v>
      </c>
      <c r="L340">
        <v>9.39</v>
      </c>
      <c r="M340">
        <v>22159</v>
      </c>
      <c r="N340">
        <v>274062</v>
      </c>
      <c r="O340">
        <v>104261</v>
      </c>
      <c r="P340">
        <v>8.0299999999999994</v>
      </c>
    </row>
    <row r="341" spans="1:16" x14ac:dyDescent="0.3">
      <c r="A341">
        <v>2025</v>
      </c>
      <c r="B341" t="s">
        <v>29</v>
      </c>
      <c r="C341" t="s">
        <v>26</v>
      </c>
      <c r="D341" t="s">
        <v>16</v>
      </c>
      <c r="E341" t="str">
        <f>IF(OR(Table1[[#This Row],[Energy Type]]="Solar",Table1[[#This Row],[Energy Type]]="Wind"),"Renewable","Non-Renewable")</f>
        <v>Non-Renewable</v>
      </c>
      <c r="F341">
        <v>78966</v>
      </c>
      <c r="G341">
        <v>54263</v>
      </c>
      <c r="H341">
        <v>289347</v>
      </c>
      <c r="I341">
        <v>1811</v>
      </c>
      <c r="J341" s="8">
        <f>Table1[[#This Row],[Revenue (Crore ₹)]]/Table1[[#This Row],[Employees]]</f>
        <v>159.77194919933737</v>
      </c>
      <c r="K341">
        <v>9.75</v>
      </c>
      <c r="L341">
        <v>1.94</v>
      </c>
      <c r="M341">
        <v>1693</v>
      </c>
      <c r="N341">
        <v>287654</v>
      </c>
      <c r="O341">
        <v>202258</v>
      </c>
      <c r="P341">
        <v>13.03</v>
      </c>
    </row>
    <row r="342" spans="1:16" x14ac:dyDescent="0.3">
      <c r="A342">
        <v>2020</v>
      </c>
      <c r="B342" t="s">
        <v>31</v>
      </c>
      <c r="C342" t="s">
        <v>26</v>
      </c>
      <c r="D342" t="s">
        <v>22</v>
      </c>
      <c r="E342" t="str">
        <f>IF(OR(Table1[[#This Row],[Energy Type]]="Solar",Table1[[#This Row],[Energy Type]]="Wind"),"Renewable","Non-Renewable")</f>
        <v>Non-Renewable</v>
      </c>
      <c r="F342">
        <v>50187</v>
      </c>
      <c r="G342">
        <v>44120</v>
      </c>
      <c r="H342">
        <v>41736</v>
      </c>
      <c r="I342">
        <v>945</v>
      </c>
      <c r="J342" s="8">
        <f>Table1[[#This Row],[Revenue (Crore ₹)]]/Table1[[#This Row],[Employees]]</f>
        <v>44.165079365079364</v>
      </c>
      <c r="K342">
        <v>8.25</v>
      </c>
      <c r="L342">
        <v>9.5500000000000007</v>
      </c>
      <c r="M342">
        <v>25286</v>
      </c>
      <c r="N342">
        <v>16450</v>
      </c>
      <c r="O342">
        <v>212453</v>
      </c>
      <c r="P342">
        <v>10.98</v>
      </c>
    </row>
    <row r="343" spans="1:16" x14ac:dyDescent="0.3">
      <c r="A343">
        <v>2022</v>
      </c>
      <c r="B343" t="s">
        <v>27</v>
      </c>
      <c r="C343" t="s">
        <v>34</v>
      </c>
      <c r="D343" t="s">
        <v>22</v>
      </c>
      <c r="E343" t="str">
        <f>IF(OR(Table1[[#This Row],[Energy Type]]="Solar",Table1[[#This Row],[Energy Type]]="Wind"),"Renewable","Non-Renewable")</f>
        <v>Non-Renewable</v>
      </c>
      <c r="F343">
        <v>167100</v>
      </c>
      <c r="G343">
        <v>30387</v>
      </c>
      <c r="H343">
        <v>9345</v>
      </c>
      <c r="I343">
        <v>5332</v>
      </c>
      <c r="J343" s="8">
        <f>Table1[[#This Row],[Revenue (Crore ₹)]]/Table1[[#This Row],[Employees]]</f>
        <v>1.7526256564141036</v>
      </c>
      <c r="K343">
        <v>15.82</v>
      </c>
      <c r="L343">
        <v>9.32</v>
      </c>
      <c r="M343">
        <v>11442</v>
      </c>
      <c r="N343">
        <v>-2097</v>
      </c>
      <c r="O343">
        <v>255025</v>
      </c>
      <c r="P343">
        <v>72.19</v>
      </c>
    </row>
    <row r="344" spans="1:16" x14ac:dyDescent="0.3">
      <c r="A344">
        <v>2020</v>
      </c>
      <c r="B344" t="s">
        <v>19</v>
      </c>
      <c r="C344" t="s">
        <v>18</v>
      </c>
      <c r="D344" t="s">
        <v>25</v>
      </c>
      <c r="E344" t="str">
        <f>IF(OR(Table1[[#This Row],[Energy Type]]="Solar",Table1[[#This Row],[Energy Type]]="Wind"),"Renewable","Non-Renewable")</f>
        <v>Renewable</v>
      </c>
      <c r="F344">
        <v>151814</v>
      </c>
      <c r="G344">
        <v>74640</v>
      </c>
      <c r="H344">
        <v>194837</v>
      </c>
      <c r="I344">
        <v>7089</v>
      </c>
      <c r="J344" s="8">
        <f>Table1[[#This Row],[Revenue (Crore ₹)]]/Table1[[#This Row],[Employees]]</f>
        <v>27.48441247002398</v>
      </c>
      <c r="K344">
        <v>17.72</v>
      </c>
      <c r="L344">
        <v>3.43</v>
      </c>
      <c r="M344">
        <v>22115</v>
      </c>
      <c r="N344">
        <v>172722</v>
      </c>
      <c r="O344">
        <v>76545</v>
      </c>
      <c r="P344">
        <v>44.6</v>
      </c>
    </row>
    <row r="345" spans="1:16" x14ac:dyDescent="0.3">
      <c r="A345">
        <v>2021</v>
      </c>
      <c r="B345" t="s">
        <v>17</v>
      </c>
      <c r="C345" t="s">
        <v>15</v>
      </c>
      <c r="D345" t="s">
        <v>16</v>
      </c>
      <c r="E345" t="str">
        <f>IF(OR(Table1[[#This Row],[Energy Type]]="Solar",Table1[[#This Row],[Energy Type]]="Wind"),"Renewable","Non-Renewable")</f>
        <v>Non-Renewable</v>
      </c>
      <c r="F345">
        <v>99813</v>
      </c>
      <c r="G345">
        <v>94363</v>
      </c>
      <c r="H345">
        <v>69786</v>
      </c>
      <c r="I345">
        <v>2942</v>
      </c>
      <c r="J345" s="8">
        <f>Table1[[#This Row],[Revenue (Crore ₹)]]/Table1[[#This Row],[Employees]]</f>
        <v>23.720598232494901</v>
      </c>
      <c r="K345">
        <v>5.78</v>
      </c>
      <c r="L345">
        <v>10.91</v>
      </c>
      <c r="M345">
        <v>13779</v>
      </c>
      <c r="N345">
        <v>56007</v>
      </c>
      <c r="O345">
        <v>176112</v>
      </c>
      <c r="P345">
        <v>38.799999999999997</v>
      </c>
    </row>
    <row r="346" spans="1:16" x14ac:dyDescent="0.3">
      <c r="A346">
        <v>2020</v>
      </c>
      <c r="B346" t="s">
        <v>31</v>
      </c>
      <c r="C346" t="s">
        <v>15</v>
      </c>
      <c r="D346" t="s">
        <v>16</v>
      </c>
      <c r="E346" t="str">
        <f>IF(OR(Table1[[#This Row],[Energy Type]]="Solar",Table1[[#This Row],[Energy Type]]="Wind"),"Renewable","Non-Renewable")</f>
        <v>Non-Renewable</v>
      </c>
      <c r="F346">
        <v>152606</v>
      </c>
      <c r="G346">
        <v>121239</v>
      </c>
      <c r="H346">
        <v>43507</v>
      </c>
      <c r="I346">
        <v>9255</v>
      </c>
      <c r="J346" s="8">
        <f>Table1[[#This Row],[Revenue (Crore ₹)]]/Table1[[#This Row],[Employees]]</f>
        <v>4.7009184224743379</v>
      </c>
      <c r="K346">
        <v>12.53</v>
      </c>
      <c r="L346">
        <v>5.55</v>
      </c>
      <c r="M346">
        <v>44209</v>
      </c>
      <c r="N346">
        <v>-702</v>
      </c>
      <c r="O346">
        <v>153982</v>
      </c>
      <c r="P346">
        <v>51.11</v>
      </c>
    </row>
    <row r="347" spans="1:16" x14ac:dyDescent="0.3">
      <c r="A347">
        <v>2022</v>
      </c>
      <c r="B347" t="s">
        <v>23</v>
      </c>
      <c r="C347" t="s">
        <v>15</v>
      </c>
      <c r="D347" t="s">
        <v>20</v>
      </c>
      <c r="E347" t="str">
        <f>IF(OR(Table1[[#This Row],[Energy Type]]="Solar",Table1[[#This Row],[Energy Type]]="Wind"),"Renewable","Non-Renewable")</f>
        <v>Non-Renewable</v>
      </c>
      <c r="F347">
        <v>24143</v>
      </c>
      <c r="G347">
        <v>11272</v>
      </c>
      <c r="H347">
        <v>153323</v>
      </c>
      <c r="I347">
        <v>6373</v>
      </c>
      <c r="J347" s="8">
        <f>Table1[[#This Row],[Revenue (Crore ₹)]]/Table1[[#This Row],[Employees]]</f>
        <v>24.058214341754276</v>
      </c>
      <c r="K347">
        <v>24.78</v>
      </c>
      <c r="L347">
        <v>8.76</v>
      </c>
      <c r="M347">
        <v>7399</v>
      </c>
      <c r="N347">
        <v>145924</v>
      </c>
      <c r="O347">
        <v>123084</v>
      </c>
      <c r="P347">
        <v>33.31</v>
      </c>
    </row>
    <row r="348" spans="1:16" x14ac:dyDescent="0.3">
      <c r="A348">
        <v>2025</v>
      </c>
      <c r="B348" t="s">
        <v>17</v>
      </c>
      <c r="C348" t="s">
        <v>21</v>
      </c>
      <c r="D348" t="s">
        <v>16</v>
      </c>
      <c r="E348" t="str">
        <f>IF(OR(Table1[[#This Row],[Energy Type]]="Solar",Table1[[#This Row],[Energy Type]]="Wind"),"Renewable","Non-Renewable")</f>
        <v>Non-Renewable</v>
      </c>
      <c r="F348">
        <v>126572</v>
      </c>
      <c r="G348">
        <v>126453</v>
      </c>
      <c r="H348">
        <v>151729</v>
      </c>
      <c r="I348">
        <v>5506</v>
      </c>
      <c r="J348" s="8">
        <f>Table1[[#This Row],[Revenue (Crore ₹)]]/Table1[[#This Row],[Employees]]</f>
        <v>27.557028695968036</v>
      </c>
      <c r="K348">
        <v>19.75</v>
      </c>
      <c r="L348">
        <v>9.81</v>
      </c>
      <c r="M348">
        <v>37832</v>
      </c>
      <c r="N348">
        <v>113897</v>
      </c>
      <c r="O348">
        <v>161093</v>
      </c>
      <c r="P348">
        <v>19.63</v>
      </c>
    </row>
    <row r="349" spans="1:16" x14ac:dyDescent="0.3">
      <c r="A349">
        <v>2023</v>
      </c>
      <c r="B349" t="s">
        <v>31</v>
      </c>
      <c r="C349" t="s">
        <v>15</v>
      </c>
      <c r="D349" t="s">
        <v>22</v>
      </c>
      <c r="E349" t="str">
        <f>IF(OR(Table1[[#This Row],[Energy Type]]="Solar",Table1[[#This Row],[Energy Type]]="Wind"),"Renewable","Non-Renewable")</f>
        <v>Non-Renewable</v>
      </c>
      <c r="F349">
        <v>85171</v>
      </c>
      <c r="G349">
        <v>74027</v>
      </c>
      <c r="H349">
        <v>206493</v>
      </c>
      <c r="I349">
        <v>9261</v>
      </c>
      <c r="J349" s="8">
        <f>Table1[[#This Row],[Revenue (Crore ₹)]]/Table1[[#This Row],[Employees]]</f>
        <v>22.297052154195011</v>
      </c>
      <c r="K349">
        <v>18.89</v>
      </c>
      <c r="L349">
        <v>3.49</v>
      </c>
      <c r="M349">
        <v>35268</v>
      </c>
      <c r="N349">
        <v>171225</v>
      </c>
      <c r="O349">
        <v>34140</v>
      </c>
      <c r="P349">
        <v>29.56</v>
      </c>
    </row>
    <row r="350" spans="1:16" x14ac:dyDescent="0.3">
      <c r="A350">
        <v>2024</v>
      </c>
      <c r="B350" t="s">
        <v>19</v>
      </c>
      <c r="C350" t="s">
        <v>26</v>
      </c>
      <c r="D350" t="s">
        <v>16</v>
      </c>
      <c r="E350" t="str">
        <f>IF(OR(Table1[[#This Row],[Energy Type]]="Solar",Table1[[#This Row],[Energy Type]]="Wind"),"Renewable","Non-Renewable")</f>
        <v>Non-Renewable</v>
      </c>
      <c r="F350">
        <v>13279</v>
      </c>
      <c r="G350">
        <v>12966</v>
      </c>
      <c r="H350">
        <v>145082</v>
      </c>
      <c r="I350">
        <v>3867</v>
      </c>
      <c r="J350" s="8">
        <f>Table1[[#This Row],[Revenue (Crore ₹)]]/Table1[[#This Row],[Employees]]</f>
        <v>37.517972588569954</v>
      </c>
      <c r="K350">
        <v>20.56</v>
      </c>
      <c r="L350">
        <v>12.09</v>
      </c>
      <c r="M350">
        <v>42207</v>
      </c>
      <c r="N350">
        <v>102875</v>
      </c>
      <c r="O350">
        <v>281784</v>
      </c>
      <c r="P350">
        <v>25.67</v>
      </c>
    </row>
    <row r="351" spans="1:16" x14ac:dyDescent="0.3">
      <c r="A351">
        <v>2025</v>
      </c>
      <c r="B351" t="s">
        <v>29</v>
      </c>
      <c r="C351" t="s">
        <v>34</v>
      </c>
      <c r="D351" t="s">
        <v>25</v>
      </c>
      <c r="E351" t="str">
        <f>IF(OR(Table1[[#This Row],[Energy Type]]="Solar",Table1[[#This Row],[Energy Type]]="Wind"),"Renewable","Non-Renewable")</f>
        <v>Renewable</v>
      </c>
      <c r="F351">
        <v>28667</v>
      </c>
      <c r="G351">
        <v>5829</v>
      </c>
      <c r="H351">
        <v>152738</v>
      </c>
      <c r="I351">
        <v>8632</v>
      </c>
      <c r="J351" s="8">
        <f>Table1[[#This Row],[Revenue (Crore ₹)]]/Table1[[#This Row],[Employees]]</f>
        <v>17.694392956441149</v>
      </c>
      <c r="K351">
        <v>20.61</v>
      </c>
      <c r="L351">
        <v>14.92</v>
      </c>
      <c r="M351">
        <v>8279</v>
      </c>
      <c r="N351">
        <v>144459</v>
      </c>
      <c r="O351">
        <v>182179</v>
      </c>
      <c r="P351">
        <v>25.08</v>
      </c>
    </row>
    <row r="352" spans="1:16" x14ac:dyDescent="0.3">
      <c r="A352">
        <v>2021</v>
      </c>
      <c r="B352" t="s">
        <v>29</v>
      </c>
      <c r="C352" t="s">
        <v>15</v>
      </c>
      <c r="D352" t="s">
        <v>22</v>
      </c>
      <c r="E352" t="str">
        <f>IF(OR(Table1[[#This Row],[Energy Type]]="Solar",Table1[[#This Row],[Energy Type]]="Wind"),"Renewable","Non-Renewable")</f>
        <v>Non-Renewable</v>
      </c>
      <c r="F352">
        <v>188475</v>
      </c>
      <c r="G352">
        <v>137241</v>
      </c>
      <c r="H352">
        <v>18911</v>
      </c>
      <c r="I352">
        <v>7959</v>
      </c>
      <c r="J352" s="8">
        <f>Table1[[#This Row],[Revenue (Crore ₹)]]/Table1[[#This Row],[Employees]]</f>
        <v>2.3760522678728484</v>
      </c>
      <c r="K352">
        <v>9.6</v>
      </c>
      <c r="L352">
        <v>7.23</v>
      </c>
      <c r="M352">
        <v>5941</v>
      </c>
      <c r="N352">
        <v>12970</v>
      </c>
      <c r="O352">
        <v>40513</v>
      </c>
      <c r="P352">
        <v>57.75</v>
      </c>
    </row>
    <row r="353" spans="1:16" x14ac:dyDescent="0.3">
      <c r="A353">
        <v>2022</v>
      </c>
      <c r="B353" t="s">
        <v>27</v>
      </c>
      <c r="C353" t="s">
        <v>24</v>
      </c>
      <c r="D353" t="s">
        <v>16</v>
      </c>
      <c r="E353" t="str">
        <f>IF(OR(Table1[[#This Row],[Energy Type]]="Solar",Table1[[#This Row],[Energy Type]]="Wind"),"Renewable","Non-Renewable")</f>
        <v>Non-Renewable</v>
      </c>
      <c r="F353">
        <v>87360</v>
      </c>
      <c r="G353">
        <v>3664</v>
      </c>
      <c r="H353">
        <v>163167</v>
      </c>
      <c r="I353">
        <v>4931</v>
      </c>
      <c r="J353" s="8">
        <f>Table1[[#This Row],[Revenue (Crore ₹)]]/Table1[[#This Row],[Employees]]</f>
        <v>33.090042587710407</v>
      </c>
      <c r="K353">
        <v>9.39</v>
      </c>
      <c r="L353">
        <v>14.71</v>
      </c>
      <c r="M353">
        <v>49960</v>
      </c>
      <c r="N353">
        <v>113207</v>
      </c>
      <c r="O353">
        <v>91655</v>
      </c>
      <c r="P353">
        <v>56.79</v>
      </c>
    </row>
    <row r="354" spans="1:16" x14ac:dyDescent="0.3">
      <c r="A354">
        <v>2022</v>
      </c>
      <c r="B354" t="s">
        <v>19</v>
      </c>
      <c r="C354" t="s">
        <v>15</v>
      </c>
      <c r="D354" t="s">
        <v>25</v>
      </c>
      <c r="E354" t="str">
        <f>IF(OR(Table1[[#This Row],[Energy Type]]="Solar",Table1[[#This Row],[Energy Type]]="Wind"),"Renewable","Non-Renewable")</f>
        <v>Renewable</v>
      </c>
      <c r="F354">
        <v>116479</v>
      </c>
      <c r="G354">
        <v>98536</v>
      </c>
      <c r="H354">
        <v>132472</v>
      </c>
      <c r="I354">
        <v>1931</v>
      </c>
      <c r="J354" s="8">
        <f>Table1[[#This Row],[Revenue (Crore ₹)]]/Table1[[#This Row],[Employees]]</f>
        <v>68.602796478508552</v>
      </c>
      <c r="K354">
        <v>8.6999999999999993</v>
      </c>
      <c r="L354">
        <v>8.39</v>
      </c>
      <c r="M354">
        <v>20141</v>
      </c>
      <c r="N354">
        <v>112331</v>
      </c>
      <c r="O354">
        <v>293429</v>
      </c>
      <c r="P354">
        <v>65.02</v>
      </c>
    </row>
    <row r="355" spans="1:16" x14ac:dyDescent="0.3">
      <c r="A355">
        <v>2022</v>
      </c>
      <c r="B355" t="s">
        <v>29</v>
      </c>
      <c r="C355" t="s">
        <v>28</v>
      </c>
      <c r="D355" t="s">
        <v>25</v>
      </c>
      <c r="E355" t="str">
        <f>IF(OR(Table1[[#This Row],[Energy Type]]="Solar",Table1[[#This Row],[Energy Type]]="Wind"),"Renewable","Non-Renewable")</f>
        <v>Renewable</v>
      </c>
      <c r="F355">
        <v>106273</v>
      </c>
      <c r="G355">
        <v>67690</v>
      </c>
      <c r="H355">
        <v>108306</v>
      </c>
      <c r="I355">
        <v>4519</v>
      </c>
      <c r="J355" s="8">
        <f>Table1[[#This Row],[Revenue (Crore ₹)]]/Table1[[#This Row],[Employees]]</f>
        <v>23.966806815667184</v>
      </c>
      <c r="K355">
        <v>18.13</v>
      </c>
      <c r="L355">
        <v>9.6</v>
      </c>
      <c r="M355">
        <v>41287</v>
      </c>
      <c r="N355">
        <v>67019</v>
      </c>
      <c r="O355">
        <v>167847</v>
      </c>
      <c r="P355">
        <v>61.27</v>
      </c>
    </row>
    <row r="356" spans="1:16" x14ac:dyDescent="0.3">
      <c r="A356">
        <v>2020</v>
      </c>
      <c r="B356" t="s">
        <v>27</v>
      </c>
      <c r="C356" t="s">
        <v>18</v>
      </c>
      <c r="D356" t="s">
        <v>22</v>
      </c>
      <c r="E356" t="str">
        <f>IF(OR(Table1[[#This Row],[Energy Type]]="Solar",Table1[[#This Row],[Energy Type]]="Wind"),"Renewable","Non-Renewable")</f>
        <v>Non-Renewable</v>
      </c>
      <c r="F356">
        <v>58633</v>
      </c>
      <c r="G356">
        <v>22349</v>
      </c>
      <c r="H356">
        <v>154805</v>
      </c>
      <c r="I356">
        <v>1686</v>
      </c>
      <c r="J356" s="8">
        <f>Table1[[#This Row],[Revenue (Crore ₹)]]/Table1[[#This Row],[Employees]]</f>
        <v>91.817912218268091</v>
      </c>
      <c r="K356">
        <v>2.83</v>
      </c>
      <c r="L356">
        <v>14.68</v>
      </c>
      <c r="M356">
        <v>13750</v>
      </c>
      <c r="N356">
        <v>141055</v>
      </c>
      <c r="O356">
        <v>218238</v>
      </c>
      <c r="P356">
        <v>77.08</v>
      </c>
    </row>
    <row r="357" spans="1:16" x14ac:dyDescent="0.3">
      <c r="A357">
        <v>2025</v>
      </c>
      <c r="B357" t="s">
        <v>31</v>
      </c>
      <c r="C357" t="s">
        <v>21</v>
      </c>
      <c r="D357" t="s">
        <v>32</v>
      </c>
      <c r="E357" t="str">
        <f>IF(OR(Table1[[#This Row],[Energy Type]]="Solar",Table1[[#This Row],[Energy Type]]="Wind"),"Renewable","Non-Renewable")</f>
        <v>Renewable</v>
      </c>
      <c r="F357">
        <v>73291</v>
      </c>
      <c r="G357">
        <v>22461</v>
      </c>
      <c r="H357">
        <v>280065</v>
      </c>
      <c r="I357">
        <v>6653</v>
      </c>
      <c r="J357" s="8">
        <f>Table1[[#This Row],[Revenue (Crore ₹)]]/Table1[[#This Row],[Employees]]</f>
        <v>42.096046896137082</v>
      </c>
      <c r="K357">
        <v>6.39</v>
      </c>
      <c r="L357">
        <v>6.27</v>
      </c>
      <c r="M357">
        <v>36240</v>
      </c>
      <c r="N357">
        <v>243825</v>
      </c>
      <c r="O357">
        <v>257651</v>
      </c>
      <c r="P357">
        <v>19.68</v>
      </c>
    </row>
    <row r="358" spans="1:16" x14ac:dyDescent="0.3">
      <c r="A358">
        <v>2020</v>
      </c>
      <c r="B358" t="s">
        <v>19</v>
      </c>
      <c r="C358" t="s">
        <v>33</v>
      </c>
      <c r="D358" t="s">
        <v>22</v>
      </c>
      <c r="E358" t="str">
        <f>IF(OR(Table1[[#This Row],[Energy Type]]="Solar",Table1[[#This Row],[Energy Type]]="Wind"),"Renewable","Non-Renewable")</f>
        <v>Non-Renewable</v>
      </c>
      <c r="F358">
        <v>64783</v>
      </c>
      <c r="G358">
        <v>55192</v>
      </c>
      <c r="H358">
        <v>229865</v>
      </c>
      <c r="I358">
        <v>1736</v>
      </c>
      <c r="J358" s="8">
        <f>Table1[[#This Row],[Revenue (Crore ₹)]]/Table1[[#This Row],[Employees]]</f>
        <v>132.41071428571428</v>
      </c>
      <c r="K358">
        <v>7.86</v>
      </c>
      <c r="L358">
        <v>12.15</v>
      </c>
      <c r="M358">
        <v>2007</v>
      </c>
      <c r="N358">
        <v>227858</v>
      </c>
      <c r="O358">
        <v>109958</v>
      </c>
      <c r="P358">
        <v>54.31</v>
      </c>
    </row>
    <row r="359" spans="1:16" x14ac:dyDescent="0.3">
      <c r="A359">
        <v>2022</v>
      </c>
      <c r="B359" t="s">
        <v>19</v>
      </c>
      <c r="C359" t="s">
        <v>34</v>
      </c>
      <c r="D359" t="s">
        <v>22</v>
      </c>
      <c r="E359" t="str">
        <f>IF(OR(Table1[[#This Row],[Energy Type]]="Solar",Table1[[#This Row],[Energy Type]]="Wind"),"Renewable","Non-Renewable")</f>
        <v>Non-Renewable</v>
      </c>
      <c r="F359">
        <v>86822</v>
      </c>
      <c r="G359">
        <v>61130</v>
      </c>
      <c r="H359">
        <v>182449</v>
      </c>
      <c r="I359">
        <v>6449</v>
      </c>
      <c r="J359" s="8">
        <f>Table1[[#This Row],[Revenue (Crore ₹)]]/Table1[[#This Row],[Employees]]</f>
        <v>28.291052876414948</v>
      </c>
      <c r="K359">
        <v>22.66</v>
      </c>
      <c r="L359">
        <v>3.32</v>
      </c>
      <c r="M359">
        <v>49231</v>
      </c>
      <c r="N359">
        <v>133218</v>
      </c>
      <c r="O359">
        <v>295511</v>
      </c>
      <c r="P359">
        <v>18.559999999999999</v>
      </c>
    </row>
    <row r="360" spans="1:16" x14ac:dyDescent="0.3">
      <c r="A360">
        <v>2021</v>
      </c>
      <c r="B360" t="s">
        <v>29</v>
      </c>
      <c r="C360" t="s">
        <v>21</v>
      </c>
      <c r="D360" t="s">
        <v>20</v>
      </c>
      <c r="E360" t="str">
        <f>IF(OR(Table1[[#This Row],[Energy Type]]="Solar",Table1[[#This Row],[Energy Type]]="Wind"),"Renewable","Non-Renewable")</f>
        <v>Non-Renewable</v>
      </c>
      <c r="F360">
        <v>118247</v>
      </c>
      <c r="G360">
        <v>65994</v>
      </c>
      <c r="H360">
        <v>8369</v>
      </c>
      <c r="I360">
        <v>6546</v>
      </c>
      <c r="J360" s="8">
        <f>Table1[[#This Row],[Revenue (Crore ₹)]]/Table1[[#This Row],[Employees]]</f>
        <v>1.2784906813321113</v>
      </c>
      <c r="K360">
        <v>4.1900000000000004</v>
      </c>
      <c r="L360">
        <v>6.87</v>
      </c>
      <c r="M360">
        <v>630</v>
      </c>
      <c r="N360">
        <v>7739</v>
      </c>
      <c r="O360">
        <v>75845</v>
      </c>
      <c r="P360">
        <v>63.52</v>
      </c>
    </row>
    <row r="361" spans="1:16" x14ac:dyDescent="0.3">
      <c r="A361">
        <v>2020</v>
      </c>
      <c r="B361" t="s">
        <v>29</v>
      </c>
      <c r="C361" t="s">
        <v>18</v>
      </c>
      <c r="D361" t="s">
        <v>22</v>
      </c>
      <c r="E361" t="str">
        <f>IF(OR(Table1[[#This Row],[Energy Type]]="Solar",Table1[[#This Row],[Energy Type]]="Wind"),"Renewable","Non-Renewable")</f>
        <v>Non-Renewable</v>
      </c>
      <c r="F361">
        <v>188492</v>
      </c>
      <c r="G361">
        <v>180437</v>
      </c>
      <c r="H361">
        <v>101865</v>
      </c>
      <c r="I361">
        <v>3835</v>
      </c>
      <c r="J361" s="8">
        <f>Table1[[#This Row],[Revenue (Crore ₹)]]/Table1[[#This Row],[Employees]]</f>
        <v>26.561929595827902</v>
      </c>
      <c r="K361">
        <v>23.9</v>
      </c>
      <c r="L361">
        <v>10.95</v>
      </c>
      <c r="M361">
        <v>31583</v>
      </c>
      <c r="N361">
        <v>70282</v>
      </c>
      <c r="O361">
        <v>144892</v>
      </c>
      <c r="P361">
        <v>10.38</v>
      </c>
    </row>
    <row r="362" spans="1:16" x14ac:dyDescent="0.3">
      <c r="A362">
        <v>2021</v>
      </c>
      <c r="B362" t="s">
        <v>31</v>
      </c>
      <c r="C362" t="s">
        <v>24</v>
      </c>
      <c r="D362" t="s">
        <v>16</v>
      </c>
      <c r="E362" t="str">
        <f>IF(OR(Table1[[#This Row],[Energy Type]]="Solar",Table1[[#This Row],[Energy Type]]="Wind"),"Renewable","Non-Renewable")</f>
        <v>Non-Renewable</v>
      </c>
      <c r="F362">
        <v>123520</v>
      </c>
      <c r="G362">
        <v>3246</v>
      </c>
      <c r="H362">
        <v>10957</v>
      </c>
      <c r="I362">
        <v>6499</v>
      </c>
      <c r="J362" s="8">
        <f>Table1[[#This Row],[Revenue (Crore ₹)]]/Table1[[#This Row],[Employees]]</f>
        <v>1.6859516848745961</v>
      </c>
      <c r="K362">
        <v>19.190000000000001</v>
      </c>
      <c r="L362">
        <v>3.32</v>
      </c>
      <c r="M362">
        <v>293</v>
      </c>
      <c r="N362">
        <v>10664</v>
      </c>
      <c r="O362">
        <v>161095</v>
      </c>
      <c r="P362">
        <v>41.73</v>
      </c>
    </row>
    <row r="363" spans="1:16" x14ac:dyDescent="0.3">
      <c r="A363">
        <v>2025</v>
      </c>
      <c r="B363" t="s">
        <v>29</v>
      </c>
      <c r="C363" t="s">
        <v>21</v>
      </c>
      <c r="D363" t="s">
        <v>20</v>
      </c>
      <c r="E363" t="str">
        <f>IF(OR(Table1[[#This Row],[Energy Type]]="Solar",Table1[[#This Row],[Energy Type]]="Wind"),"Renewable","Non-Renewable")</f>
        <v>Non-Renewable</v>
      </c>
      <c r="F363">
        <v>29233</v>
      </c>
      <c r="G363">
        <v>10072</v>
      </c>
      <c r="H363">
        <v>209682</v>
      </c>
      <c r="I363">
        <v>4374</v>
      </c>
      <c r="J363" s="8">
        <f>Table1[[#This Row],[Revenue (Crore ₹)]]/Table1[[#This Row],[Employees]]</f>
        <v>47.938271604938272</v>
      </c>
      <c r="K363">
        <v>16.079999999999998</v>
      </c>
      <c r="L363">
        <v>4.28</v>
      </c>
      <c r="M363">
        <v>37516</v>
      </c>
      <c r="N363">
        <v>172166</v>
      </c>
      <c r="O363">
        <v>205964</v>
      </c>
      <c r="P363">
        <v>39.909999999999997</v>
      </c>
    </row>
    <row r="364" spans="1:16" x14ac:dyDescent="0.3">
      <c r="A364">
        <v>2023</v>
      </c>
      <c r="B364" t="s">
        <v>17</v>
      </c>
      <c r="C364" t="s">
        <v>26</v>
      </c>
      <c r="D364" t="s">
        <v>25</v>
      </c>
      <c r="E364" t="str">
        <f>IF(OR(Table1[[#This Row],[Energy Type]]="Solar",Table1[[#This Row],[Energy Type]]="Wind"),"Renewable","Non-Renewable")</f>
        <v>Renewable</v>
      </c>
      <c r="F364">
        <v>142620</v>
      </c>
      <c r="G364">
        <v>52413</v>
      </c>
      <c r="H364">
        <v>286906</v>
      </c>
      <c r="I364">
        <v>7110</v>
      </c>
      <c r="J364" s="8">
        <f>Table1[[#This Row],[Revenue (Crore ₹)]]/Table1[[#This Row],[Employees]]</f>
        <v>40.352461322081574</v>
      </c>
      <c r="K364">
        <v>10.8</v>
      </c>
      <c r="L364">
        <v>14.94</v>
      </c>
      <c r="M364">
        <v>30444</v>
      </c>
      <c r="N364">
        <v>256462</v>
      </c>
      <c r="O364">
        <v>103386</v>
      </c>
      <c r="P364">
        <v>17.37</v>
      </c>
    </row>
    <row r="365" spans="1:16" x14ac:dyDescent="0.3">
      <c r="A365">
        <v>2022</v>
      </c>
      <c r="B365" t="s">
        <v>29</v>
      </c>
      <c r="C365" t="s">
        <v>24</v>
      </c>
      <c r="D365" t="s">
        <v>16</v>
      </c>
      <c r="E365" t="str">
        <f>IF(OR(Table1[[#This Row],[Energy Type]]="Solar",Table1[[#This Row],[Energy Type]]="Wind"),"Renewable","Non-Renewable")</f>
        <v>Non-Renewable</v>
      </c>
      <c r="F365">
        <v>140511</v>
      </c>
      <c r="G365">
        <v>86327</v>
      </c>
      <c r="H365">
        <v>73622</v>
      </c>
      <c r="I365">
        <v>2720</v>
      </c>
      <c r="J365" s="8">
        <f>Table1[[#This Row],[Revenue (Crore ₹)]]/Table1[[#This Row],[Employees]]</f>
        <v>27.066911764705882</v>
      </c>
      <c r="K365">
        <v>2.3199999999999998</v>
      </c>
      <c r="L365">
        <v>11.11</v>
      </c>
      <c r="M365">
        <v>17642</v>
      </c>
      <c r="N365">
        <v>55980</v>
      </c>
      <c r="O365">
        <v>92737</v>
      </c>
      <c r="P365">
        <v>25.46</v>
      </c>
    </row>
    <row r="366" spans="1:16" x14ac:dyDescent="0.3">
      <c r="A366">
        <v>2024</v>
      </c>
      <c r="B366" t="s">
        <v>31</v>
      </c>
      <c r="C366" t="s">
        <v>18</v>
      </c>
      <c r="D366" t="s">
        <v>22</v>
      </c>
      <c r="E366" t="str">
        <f>IF(OR(Table1[[#This Row],[Energy Type]]="Solar",Table1[[#This Row],[Energy Type]]="Wind"),"Renewable","Non-Renewable")</f>
        <v>Non-Renewable</v>
      </c>
      <c r="F366">
        <v>171563</v>
      </c>
      <c r="G366">
        <v>150366</v>
      </c>
      <c r="H366">
        <v>116332</v>
      </c>
      <c r="I366">
        <v>8596</v>
      </c>
      <c r="J366" s="8">
        <f>Table1[[#This Row],[Revenue (Crore ₹)]]/Table1[[#This Row],[Employees]]</f>
        <v>13.533271288971616</v>
      </c>
      <c r="K366">
        <v>16.64</v>
      </c>
      <c r="L366">
        <v>6.75</v>
      </c>
      <c r="M366">
        <v>21618</v>
      </c>
      <c r="N366">
        <v>94714</v>
      </c>
      <c r="O366">
        <v>213626</v>
      </c>
      <c r="P366">
        <v>21.4</v>
      </c>
    </row>
    <row r="367" spans="1:16" x14ac:dyDescent="0.3">
      <c r="A367">
        <v>2025</v>
      </c>
      <c r="B367" t="s">
        <v>17</v>
      </c>
      <c r="C367" t="s">
        <v>15</v>
      </c>
      <c r="D367" t="s">
        <v>32</v>
      </c>
      <c r="E367" t="str">
        <f>IF(OR(Table1[[#This Row],[Energy Type]]="Solar",Table1[[#This Row],[Energy Type]]="Wind"),"Renewable","Non-Renewable")</f>
        <v>Renewable</v>
      </c>
      <c r="F367">
        <v>83748</v>
      </c>
      <c r="G367">
        <v>27460</v>
      </c>
      <c r="H367">
        <v>254313</v>
      </c>
      <c r="I367">
        <v>8765</v>
      </c>
      <c r="J367" s="8">
        <f>Table1[[#This Row],[Revenue (Crore ₹)]]/Table1[[#This Row],[Employees]]</f>
        <v>29.014603536794066</v>
      </c>
      <c r="K367">
        <v>7.37</v>
      </c>
      <c r="L367">
        <v>1.73</v>
      </c>
      <c r="M367">
        <v>17279</v>
      </c>
      <c r="N367">
        <v>237034</v>
      </c>
      <c r="O367">
        <v>208031</v>
      </c>
      <c r="P367">
        <v>35.79</v>
      </c>
    </row>
    <row r="368" spans="1:16" x14ac:dyDescent="0.3">
      <c r="A368">
        <v>2023</v>
      </c>
      <c r="B368" t="s">
        <v>19</v>
      </c>
      <c r="C368" t="s">
        <v>24</v>
      </c>
      <c r="D368" t="s">
        <v>20</v>
      </c>
      <c r="E368" t="str">
        <f>IF(OR(Table1[[#This Row],[Energy Type]]="Solar",Table1[[#This Row],[Energy Type]]="Wind"),"Renewable","Non-Renewable")</f>
        <v>Non-Renewable</v>
      </c>
      <c r="F368">
        <v>176673</v>
      </c>
      <c r="G368">
        <v>169684</v>
      </c>
      <c r="H368">
        <v>54265</v>
      </c>
      <c r="I368">
        <v>3861</v>
      </c>
      <c r="J368" s="8">
        <f>Table1[[#This Row],[Revenue (Crore ₹)]]/Table1[[#This Row],[Employees]]</f>
        <v>14.054649054649055</v>
      </c>
      <c r="K368">
        <v>15.57</v>
      </c>
      <c r="L368">
        <v>10.67</v>
      </c>
      <c r="M368">
        <v>35462</v>
      </c>
      <c r="N368">
        <v>18803</v>
      </c>
      <c r="O368">
        <v>201581</v>
      </c>
      <c r="P368">
        <v>15.33</v>
      </c>
    </row>
    <row r="369" spans="1:16" x14ac:dyDescent="0.3">
      <c r="A369">
        <v>2020</v>
      </c>
      <c r="B369" t="s">
        <v>17</v>
      </c>
      <c r="C369" t="s">
        <v>18</v>
      </c>
      <c r="D369" t="s">
        <v>32</v>
      </c>
      <c r="E369" t="str">
        <f>IF(OR(Table1[[#This Row],[Energy Type]]="Solar",Table1[[#This Row],[Energy Type]]="Wind"),"Renewable","Non-Renewable")</f>
        <v>Renewable</v>
      </c>
      <c r="F369">
        <v>76250</v>
      </c>
      <c r="G369">
        <v>32112</v>
      </c>
      <c r="H369">
        <v>9361</v>
      </c>
      <c r="I369">
        <v>8437</v>
      </c>
      <c r="J369" s="8">
        <f>Table1[[#This Row],[Revenue (Crore ₹)]]/Table1[[#This Row],[Employees]]</f>
        <v>1.1095176010430248</v>
      </c>
      <c r="K369">
        <v>5.07</v>
      </c>
      <c r="L369">
        <v>7.24</v>
      </c>
      <c r="M369">
        <v>11460</v>
      </c>
      <c r="N369">
        <v>-2099</v>
      </c>
      <c r="O369">
        <v>95558</v>
      </c>
      <c r="P369">
        <v>52.99</v>
      </c>
    </row>
    <row r="370" spans="1:16" x14ac:dyDescent="0.3">
      <c r="A370">
        <v>2022</v>
      </c>
      <c r="B370" t="s">
        <v>27</v>
      </c>
      <c r="C370" t="s">
        <v>34</v>
      </c>
      <c r="D370" t="s">
        <v>32</v>
      </c>
      <c r="E370" t="str">
        <f>IF(OR(Table1[[#This Row],[Energy Type]]="Solar",Table1[[#This Row],[Energy Type]]="Wind"),"Renewable","Non-Renewable")</f>
        <v>Renewable</v>
      </c>
      <c r="F370">
        <v>36072</v>
      </c>
      <c r="G370">
        <v>15732</v>
      </c>
      <c r="H370">
        <v>166951</v>
      </c>
      <c r="I370">
        <v>5010</v>
      </c>
      <c r="J370" s="8">
        <f>Table1[[#This Row],[Revenue (Crore ₹)]]/Table1[[#This Row],[Employees]]</f>
        <v>33.323552894211574</v>
      </c>
      <c r="K370">
        <v>17.57</v>
      </c>
      <c r="L370">
        <v>11.78</v>
      </c>
      <c r="M370">
        <v>46339</v>
      </c>
      <c r="N370">
        <v>120612</v>
      </c>
      <c r="O370">
        <v>202482</v>
      </c>
      <c r="P370">
        <v>68.36</v>
      </c>
    </row>
    <row r="371" spans="1:16" x14ac:dyDescent="0.3">
      <c r="A371">
        <v>2023</v>
      </c>
      <c r="B371" t="s">
        <v>19</v>
      </c>
      <c r="C371" t="s">
        <v>15</v>
      </c>
      <c r="D371" t="s">
        <v>16</v>
      </c>
      <c r="E371" t="str">
        <f>IF(OR(Table1[[#This Row],[Energy Type]]="Solar",Table1[[#This Row],[Energy Type]]="Wind"),"Renewable","Non-Renewable")</f>
        <v>Non-Renewable</v>
      </c>
      <c r="F371">
        <v>97602</v>
      </c>
      <c r="G371">
        <v>33399</v>
      </c>
      <c r="H371">
        <v>188909</v>
      </c>
      <c r="I371">
        <v>7571</v>
      </c>
      <c r="J371" s="8">
        <f>Table1[[#This Row],[Revenue (Crore ₹)]]/Table1[[#This Row],[Employees]]</f>
        <v>24.951657640998548</v>
      </c>
      <c r="K371">
        <v>22.15</v>
      </c>
      <c r="L371">
        <v>7.14</v>
      </c>
      <c r="M371">
        <v>23822</v>
      </c>
      <c r="N371">
        <v>165087</v>
      </c>
      <c r="O371">
        <v>295867</v>
      </c>
      <c r="P371">
        <v>67.680000000000007</v>
      </c>
    </row>
    <row r="372" spans="1:16" x14ac:dyDescent="0.3">
      <c r="A372">
        <v>2024</v>
      </c>
      <c r="B372" t="s">
        <v>29</v>
      </c>
      <c r="C372" t="s">
        <v>28</v>
      </c>
      <c r="D372" t="s">
        <v>25</v>
      </c>
      <c r="E372" t="str">
        <f>IF(OR(Table1[[#This Row],[Energy Type]]="Solar",Table1[[#This Row],[Energy Type]]="Wind"),"Renewable","Non-Renewable")</f>
        <v>Renewable</v>
      </c>
      <c r="F372">
        <v>155349</v>
      </c>
      <c r="G372">
        <v>123203</v>
      </c>
      <c r="H372">
        <v>74310</v>
      </c>
      <c r="I372">
        <v>1991</v>
      </c>
      <c r="J372" s="8">
        <f>Table1[[#This Row],[Revenue (Crore ₹)]]/Table1[[#This Row],[Employees]]</f>
        <v>37.322953289804119</v>
      </c>
      <c r="K372">
        <v>19.38</v>
      </c>
      <c r="L372">
        <v>3.88</v>
      </c>
      <c r="M372">
        <v>35189</v>
      </c>
      <c r="N372">
        <v>39121</v>
      </c>
      <c r="O372">
        <v>284322</v>
      </c>
      <c r="P372">
        <v>39.549999999999997</v>
      </c>
    </row>
    <row r="373" spans="1:16" x14ac:dyDescent="0.3">
      <c r="A373">
        <v>2020</v>
      </c>
      <c r="B373" t="s">
        <v>17</v>
      </c>
      <c r="C373" t="s">
        <v>26</v>
      </c>
      <c r="D373" t="s">
        <v>16</v>
      </c>
      <c r="E373" t="str">
        <f>IF(OR(Table1[[#This Row],[Energy Type]]="Solar",Table1[[#This Row],[Energy Type]]="Wind"),"Renewable","Non-Renewable")</f>
        <v>Non-Renewable</v>
      </c>
      <c r="F373">
        <v>94704</v>
      </c>
      <c r="G373">
        <v>76399</v>
      </c>
      <c r="H373">
        <v>109730</v>
      </c>
      <c r="I373">
        <v>7913</v>
      </c>
      <c r="J373" s="8">
        <f>Table1[[#This Row],[Revenue (Crore ₹)]]/Table1[[#This Row],[Employees]]</f>
        <v>13.867054214583597</v>
      </c>
      <c r="K373">
        <v>21.39</v>
      </c>
      <c r="L373">
        <v>12.67</v>
      </c>
      <c r="M373">
        <v>44996</v>
      </c>
      <c r="N373">
        <v>64734</v>
      </c>
      <c r="O373">
        <v>199938</v>
      </c>
      <c r="P373">
        <v>64.400000000000006</v>
      </c>
    </row>
    <row r="374" spans="1:16" x14ac:dyDescent="0.3">
      <c r="A374">
        <v>2023</v>
      </c>
      <c r="B374" t="s">
        <v>30</v>
      </c>
      <c r="C374" t="s">
        <v>28</v>
      </c>
      <c r="D374" t="s">
        <v>32</v>
      </c>
      <c r="E374" t="str">
        <f>IF(OR(Table1[[#This Row],[Energy Type]]="Solar",Table1[[#This Row],[Energy Type]]="Wind"),"Renewable","Non-Renewable")</f>
        <v>Renewable</v>
      </c>
      <c r="F374">
        <v>57729</v>
      </c>
      <c r="G374">
        <v>18476</v>
      </c>
      <c r="H374">
        <v>41055</v>
      </c>
      <c r="I374">
        <v>1824</v>
      </c>
      <c r="J374" s="8">
        <f>Table1[[#This Row],[Revenue (Crore ₹)]]/Table1[[#This Row],[Employees]]</f>
        <v>22.508223684210527</v>
      </c>
      <c r="K374">
        <v>9.42</v>
      </c>
      <c r="L374">
        <v>4.54</v>
      </c>
      <c r="M374">
        <v>39471</v>
      </c>
      <c r="N374">
        <v>1584</v>
      </c>
      <c r="O374">
        <v>281023</v>
      </c>
      <c r="P374">
        <v>29.98</v>
      </c>
    </row>
    <row r="375" spans="1:16" x14ac:dyDescent="0.3">
      <c r="A375">
        <v>2024</v>
      </c>
      <c r="B375" t="s">
        <v>29</v>
      </c>
      <c r="C375" t="s">
        <v>33</v>
      </c>
      <c r="D375" t="s">
        <v>25</v>
      </c>
      <c r="E375" t="str">
        <f>IF(OR(Table1[[#This Row],[Energy Type]]="Solar",Table1[[#This Row],[Energy Type]]="Wind"),"Renewable","Non-Renewable")</f>
        <v>Renewable</v>
      </c>
      <c r="F375">
        <v>10437</v>
      </c>
      <c r="G375">
        <v>7613</v>
      </c>
      <c r="H375">
        <v>86827</v>
      </c>
      <c r="I375">
        <v>2740</v>
      </c>
      <c r="J375" s="8">
        <f>Table1[[#This Row],[Revenue (Crore ₹)]]/Table1[[#This Row],[Employees]]</f>
        <v>31.688686131386863</v>
      </c>
      <c r="K375">
        <v>5.34</v>
      </c>
      <c r="L375">
        <v>4.45</v>
      </c>
      <c r="M375">
        <v>4088</v>
      </c>
      <c r="N375">
        <v>82739</v>
      </c>
      <c r="O375">
        <v>213870</v>
      </c>
      <c r="P375">
        <v>64.790000000000006</v>
      </c>
    </row>
    <row r="376" spans="1:16" x14ac:dyDescent="0.3">
      <c r="A376">
        <v>2023</v>
      </c>
      <c r="B376" t="s">
        <v>23</v>
      </c>
      <c r="C376" t="s">
        <v>18</v>
      </c>
      <c r="D376" t="s">
        <v>25</v>
      </c>
      <c r="E376" t="str">
        <f>IF(OR(Table1[[#This Row],[Energy Type]]="Solar",Table1[[#This Row],[Energy Type]]="Wind"),"Renewable","Non-Renewable")</f>
        <v>Renewable</v>
      </c>
      <c r="F376">
        <v>82430</v>
      </c>
      <c r="G376">
        <v>27042</v>
      </c>
      <c r="H376">
        <v>179556</v>
      </c>
      <c r="I376">
        <v>8651</v>
      </c>
      <c r="J376" s="8">
        <f>Table1[[#This Row],[Revenue (Crore ₹)]]/Table1[[#This Row],[Employees]]</f>
        <v>20.755519593110623</v>
      </c>
      <c r="K376">
        <v>22.39</v>
      </c>
      <c r="L376">
        <v>10.61</v>
      </c>
      <c r="M376">
        <v>32407</v>
      </c>
      <c r="N376">
        <v>147149</v>
      </c>
      <c r="O376">
        <v>289399</v>
      </c>
      <c r="P376">
        <v>39.49</v>
      </c>
    </row>
    <row r="377" spans="1:16" x14ac:dyDescent="0.3">
      <c r="A377">
        <v>2023</v>
      </c>
      <c r="B377" t="s">
        <v>27</v>
      </c>
      <c r="C377" t="s">
        <v>26</v>
      </c>
      <c r="D377" t="s">
        <v>16</v>
      </c>
      <c r="E377" t="str">
        <f>IF(OR(Table1[[#This Row],[Energy Type]]="Solar",Table1[[#This Row],[Energy Type]]="Wind"),"Renewable","Non-Renewable")</f>
        <v>Non-Renewable</v>
      </c>
      <c r="F377">
        <v>106705</v>
      </c>
      <c r="G377">
        <v>104351</v>
      </c>
      <c r="H377">
        <v>71833</v>
      </c>
      <c r="I377">
        <v>2882</v>
      </c>
      <c r="J377" s="8">
        <f>Table1[[#This Row],[Revenue (Crore ₹)]]/Table1[[#This Row],[Employees]]</f>
        <v>24.924705065926439</v>
      </c>
      <c r="K377">
        <v>13.28</v>
      </c>
      <c r="L377">
        <v>9.83</v>
      </c>
      <c r="M377">
        <v>2487</v>
      </c>
      <c r="N377">
        <v>69346</v>
      </c>
      <c r="O377">
        <v>191448</v>
      </c>
      <c r="P377">
        <v>76.63</v>
      </c>
    </row>
    <row r="378" spans="1:16" x14ac:dyDescent="0.3">
      <c r="A378">
        <v>2021</v>
      </c>
      <c r="B378" t="s">
        <v>29</v>
      </c>
      <c r="C378" t="s">
        <v>33</v>
      </c>
      <c r="D378" t="s">
        <v>16</v>
      </c>
      <c r="E378" t="str">
        <f>IF(OR(Table1[[#This Row],[Energy Type]]="Solar",Table1[[#This Row],[Energy Type]]="Wind"),"Renewable","Non-Renewable")</f>
        <v>Non-Renewable</v>
      </c>
      <c r="F378">
        <v>51715</v>
      </c>
      <c r="G378">
        <v>1888</v>
      </c>
      <c r="H378">
        <v>202441</v>
      </c>
      <c r="I378">
        <v>7743</v>
      </c>
      <c r="J378" s="8">
        <f>Table1[[#This Row],[Revenue (Crore ₹)]]/Table1[[#This Row],[Employees]]</f>
        <v>26.145034224460804</v>
      </c>
      <c r="K378">
        <v>19.059999999999999</v>
      </c>
      <c r="L378">
        <v>9.42</v>
      </c>
      <c r="M378">
        <v>7090</v>
      </c>
      <c r="N378">
        <v>195351</v>
      </c>
      <c r="O378">
        <v>102465</v>
      </c>
      <c r="P378">
        <v>63.65</v>
      </c>
    </row>
    <row r="379" spans="1:16" x14ac:dyDescent="0.3">
      <c r="A379">
        <v>2025</v>
      </c>
      <c r="B379" t="s">
        <v>17</v>
      </c>
      <c r="C379" t="s">
        <v>18</v>
      </c>
      <c r="D379" t="s">
        <v>20</v>
      </c>
      <c r="E379" t="str">
        <f>IF(OR(Table1[[#This Row],[Energy Type]]="Solar",Table1[[#This Row],[Energy Type]]="Wind"),"Renewable","Non-Renewable")</f>
        <v>Non-Renewable</v>
      </c>
      <c r="F379">
        <v>10170</v>
      </c>
      <c r="G379">
        <v>8585</v>
      </c>
      <c r="H379">
        <v>126286</v>
      </c>
      <c r="I379">
        <v>6977</v>
      </c>
      <c r="J379" s="8">
        <f>Table1[[#This Row],[Revenue (Crore ₹)]]/Table1[[#This Row],[Employees]]</f>
        <v>18.100329654579333</v>
      </c>
      <c r="K379">
        <v>10.64</v>
      </c>
      <c r="L379">
        <v>2.85</v>
      </c>
      <c r="M379">
        <v>47944</v>
      </c>
      <c r="N379">
        <v>78342</v>
      </c>
      <c r="O379">
        <v>276203</v>
      </c>
      <c r="P379">
        <v>72.06</v>
      </c>
    </row>
    <row r="380" spans="1:16" x14ac:dyDescent="0.3">
      <c r="A380">
        <v>2022</v>
      </c>
      <c r="B380" t="s">
        <v>19</v>
      </c>
      <c r="C380" t="s">
        <v>18</v>
      </c>
      <c r="D380" t="s">
        <v>20</v>
      </c>
      <c r="E380" t="str">
        <f>IF(OR(Table1[[#This Row],[Energy Type]]="Solar",Table1[[#This Row],[Energy Type]]="Wind"),"Renewable","Non-Renewable")</f>
        <v>Non-Renewable</v>
      </c>
      <c r="F380">
        <v>168216</v>
      </c>
      <c r="G380">
        <v>151485</v>
      </c>
      <c r="H380">
        <v>29357</v>
      </c>
      <c r="I380">
        <v>1254</v>
      </c>
      <c r="J380" s="8">
        <f>Table1[[#This Row],[Revenue (Crore ₹)]]/Table1[[#This Row],[Employees]]</f>
        <v>23.410685805422649</v>
      </c>
      <c r="K380">
        <v>12.69</v>
      </c>
      <c r="L380">
        <v>3.05</v>
      </c>
      <c r="M380">
        <v>26523</v>
      </c>
      <c r="N380">
        <v>2834</v>
      </c>
      <c r="O380">
        <v>273627</v>
      </c>
      <c r="P380">
        <v>74.55</v>
      </c>
    </row>
    <row r="381" spans="1:16" x14ac:dyDescent="0.3">
      <c r="A381">
        <v>2025</v>
      </c>
      <c r="B381" t="s">
        <v>19</v>
      </c>
      <c r="C381" t="s">
        <v>34</v>
      </c>
      <c r="D381" t="s">
        <v>25</v>
      </c>
      <c r="E381" t="str">
        <f>IF(OR(Table1[[#This Row],[Energy Type]]="Solar",Table1[[#This Row],[Energy Type]]="Wind"),"Renewable","Non-Renewable")</f>
        <v>Renewable</v>
      </c>
      <c r="F381">
        <v>151580</v>
      </c>
      <c r="G381">
        <v>36895</v>
      </c>
      <c r="H381">
        <v>8326</v>
      </c>
      <c r="I381">
        <v>9987</v>
      </c>
      <c r="J381" s="8">
        <f>Table1[[#This Row],[Revenue (Crore ₹)]]/Table1[[#This Row],[Employees]]</f>
        <v>0.83368378892560324</v>
      </c>
      <c r="K381">
        <v>3.6</v>
      </c>
      <c r="L381">
        <v>5.6</v>
      </c>
      <c r="M381">
        <v>46797</v>
      </c>
      <c r="N381">
        <v>-38471</v>
      </c>
      <c r="O381">
        <v>56403</v>
      </c>
      <c r="P381">
        <v>23.98</v>
      </c>
    </row>
    <row r="382" spans="1:16" x14ac:dyDescent="0.3">
      <c r="A382">
        <v>2021</v>
      </c>
      <c r="B382" t="s">
        <v>14</v>
      </c>
      <c r="C382" t="s">
        <v>33</v>
      </c>
      <c r="D382" t="s">
        <v>22</v>
      </c>
      <c r="E382" t="str">
        <f>IF(OR(Table1[[#This Row],[Energy Type]]="Solar",Table1[[#This Row],[Energy Type]]="Wind"),"Renewable","Non-Renewable")</f>
        <v>Non-Renewable</v>
      </c>
      <c r="F382">
        <v>125869</v>
      </c>
      <c r="G382">
        <v>36483</v>
      </c>
      <c r="H382">
        <v>110216</v>
      </c>
      <c r="I382">
        <v>916</v>
      </c>
      <c r="J382" s="8">
        <f>Table1[[#This Row],[Revenue (Crore ₹)]]/Table1[[#This Row],[Employees]]</f>
        <v>120.32314410480349</v>
      </c>
      <c r="K382">
        <v>5.38</v>
      </c>
      <c r="L382">
        <v>4.71</v>
      </c>
      <c r="M382">
        <v>33509</v>
      </c>
      <c r="N382">
        <v>76707</v>
      </c>
      <c r="O382">
        <v>20619</v>
      </c>
      <c r="P382">
        <v>9.27</v>
      </c>
    </row>
    <row r="383" spans="1:16" x14ac:dyDescent="0.3">
      <c r="A383">
        <v>2022</v>
      </c>
      <c r="B383" t="s">
        <v>30</v>
      </c>
      <c r="C383" t="s">
        <v>28</v>
      </c>
      <c r="D383" t="s">
        <v>32</v>
      </c>
      <c r="E383" t="str">
        <f>IF(OR(Table1[[#This Row],[Energy Type]]="Solar",Table1[[#This Row],[Energy Type]]="Wind"),"Renewable","Non-Renewable")</f>
        <v>Renewable</v>
      </c>
      <c r="F383">
        <v>197210</v>
      </c>
      <c r="G383">
        <v>70169</v>
      </c>
      <c r="H383">
        <v>60650</v>
      </c>
      <c r="I383">
        <v>4989</v>
      </c>
      <c r="J383" s="8">
        <f>Table1[[#This Row],[Revenue (Crore ₹)]]/Table1[[#This Row],[Employees]]</f>
        <v>12.15674483864502</v>
      </c>
      <c r="K383">
        <v>3.84</v>
      </c>
      <c r="L383">
        <v>14.64</v>
      </c>
      <c r="M383">
        <v>3184</v>
      </c>
      <c r="N383">
        <v>57466</v>
      </c>
      <c r="O383">
        <v>104939</v>
      </c>
      <c r="P383">
        <v>67.58</v>
      </c>
    </row>
    <row r="384" spans="1:16" x14ac:dyDescent="0.3">
      <c r="A384">
        <v>2023</v>
      </c>
      <c r="B384" t="s">
        <v>29</v>
      </c>
      <c r="C384" t="s">
        <v>18</v>
      </c>
      <c r="D384" t="s">
        <v>25</v>
      </c>
      <c r="E384" t="str">
        <f>IF(OR(Table1[[#This Row],[Energy Type]]="Solar",Table1[[#This Row],[Energy Type]]="Wind"),"Renewable","Non-Renewable")</f>
        <v>Renewable</v>
      </c>
      <c r="F384">
        <v>145766</v>
      </c>
      <c r="G384">
        <v>22786</v>
      </c>
      <c r="H384">
        <v>207764</v>
      </c>
      <c r="I384">
        <v>1705</v>
      </c>
      <c r="J384" s="8">
        <f>Table1[[#This Row],[Revenue (Crore ₹)]]/Table1[[#This Row],[Employees]]</f>
        <v>121.85571847507332</v>
      </c>
      <c r="K384">
        <v>4.97</v>
      </c>
      <c r="L384">
        <v>4.49</v>
      </c>
      <c r="M384">
        <v>48055</v>
      </c>
      <c r="N384">
        <v>159709</v>
      </c>
      <c r="O384">
        <v>158953</v>
      </c>
      <c r="P384">
        <v>64.63</v>
      </c>
    </row>
    <row r="385" spans="1:16" x14ac:dyDescent="0.3">
      <c r="A385">
        <v>2022</v>
      </c>
      <c r="B385" t="s">
        <v>29</v>
      </c>
      <c r="C385" t="s">
        <v>33</v>
      </c>
      <c r="D385" t="s">
        <v>25</v>
      </c>
      <c r="E385" t="str">
        <f>IF(OR(Table1[[#This Row],[Energy Type]]="Solar",Table1[[#This Row],[Energy Type]]="Wind"),"Renewable","Non-Renewable")</f>
        <v>Renewable</v>
      </c>
      <c r="F385">
        <v>5197</v>
      </c>
      <c r="G385">
        <v>2004</v>
      </c>
      <c r="H385">
        <v>245729</v>
      </c>
      <c r="I385">
        <v>7644</v>
      </c>
      <c r="J385" s="8">
        <f>Table1[[#This Row],[Revenue (Crore ₹)]]/Table1[[#This Row],[Employees]]</f>
        <v>32.146650968079541</v>
      </c>
      <c r="K385">
        <v>7.06</v>
      </c>
      <c r="L385">
        <v>10.52</v>
      </c>
      <c r="M385">
        <v>16154</v>
      </c>
      <c r="N385">
        <v>229575</v>
      </c>
      <c r="O385">
        <v>15253</v>
      </c>
      <c r="P385">
        <v>57.22</v>
      </c>
    </row>
    <row r="386" spans="1:16" x14ac:dyDescent="0.3">
      <c r="A386">
        <v>2023</v>
      </c>
      <c r="B386" t="s">
        <v>17</v>
      </c>
      <c r="C386" t="s">
        <v>33</v>
      </c>
      <c r="D386" t="s">
        <v>25</v>
      </c>
      <c r="E386" t="str">
        <f>IF(OR(Table1[[#This Row],[Energy Type]]="Solar",Table1[[#This Row],[Energy Type]]="Wind"),"Renewable","Non-Renewable")</f>
        <v>Renewable</v>
      </c>
      <c r="F386">
        <v>50049</v>
      </c>
      <c r="G386">
        <v>38805</v>
      </c>
      <c r="H386">
        <v>259333</v>
      </c>
      <c r="I386">
        <v>3724</v>
      </c>
      <c r="J386" s="8">
        <f>Table1[[#This Row],[Revenue (Crore ₹)]]/Table1[[#This Row],[Employees]]</f>
        <v>69.638292158968852</v>
      </c>
      <c r="K386">
        <v>9.7100000000000009</v>
      </c>
      <c r="L386">
        <v>3.22</v>
      </c>
      <c r="M386">
        <v>46088</v>
      </c>
      <c r="N386">
        <v>213245</v>
      </c>
      <c r="O386">
        <v>134079</v>
      </c>
      <c r="P386">
        <v>62.68</v>
      </c>
    </row>
    <row r="387" spans="1:16" x14ac:dyDescent="0.3">
      <c r="A387">
        <v>2020</v>
      </c>
      <c r="B387" t="s">
        <v>29</v>
      </c>
      <c r="C387" t="s">
        <v>28</v>
      </c>
      <c r="D387" t="s">
        <v>32</v>
      </c>
      <c r="E387" t="str">
        <f>IF(OR(Table1[[#This Row],[Energy Type]]="Solar",Table1[[#This Row],[Energy Type]]="Wind"),"Renewable","Non-Renewable")</f>
        <v>Renewable</v>
      </c>
      <c r="F387">
        <v>171290</v>
      </c>
      <c r="G387">
        <v>68759</v>
      </c>
      <c r="H387">
        <v>101379</v>
      </c>
      <c r="I387">
        <v>1420</v>
      </c>
      <c r="J387" s="8">
        <f>Table1[[#This Row],[Revenue (Crore ₹)]]/Table1[[#This Row],[Employees]]</f>
        <v>71.39366197183098</v>
      </c>
      <c r="K387">
        <v>18.73</v>
      </c>
      <c r="L387">
        <v>12.24</v>
      </c>
      <c r="M387">
        <v>30580</v>
      </c>
      <c r="N387">
        <v>70799</v>
      </c>
      <c r="O387">
        <v>116434</v>
      </c>
      <c r="P387">
        <v>31.6</v>
      </c>
    </row>
    <row r="388" spans="1:16" x14ac:dyDescent="0.3">
      <c r="A388">
        <v>2023</v>
      </c>
      <c r="B388" t="s">
        <v>30</v>
      </c>
      <c r="C388" t="s">
        <v>15</v>
      </c>
      <c r="D388" t="s">
        <v>25</v>
      </c>
      <c r="E388" t="str">
        <f>IF(OR(Table1[[#This Row],[Energy Type]]="Solar",Table1[[#This Row],[Energy Type]]="Wind"),"Renewable","Non-Renewable")</f>
        <v>Renewable</v>
      </c>
      <c r="F388">
        <v>81525</v>
      </c>
      <c r="G388">
        <v>57212</v>
      </c>
      <c r="H388">
        <v>124417</v>
      </c>
      <c r="I388">
        <v>574</v>
      </c>
      <c r="J388" s="8">
        <f>Table1[[#This Row],[Revenue (Crore ₹)]]/Table1[[#This Row],[Employees]]</f>
        <v>216.75435540069685</v>
      </c>
      <c r="K388">
        <v>22.73</v>
      </c>
      <c r="L388">
        <v>5</v>
      </c>
      <c r="M388">
        <v>27590</v>
      </c>
      <c r="N388">
        <v>96827</v>
      </c>
      <c r="O388">
        <v>166272</v>
      </c>
      <c r="P388">
        <v>45.46</v>
      </c>
    </row>
    <row r="389" spans="1:16" x14ac:dyDescent="0.3">
      <c r="A389">
        <v>2025</v>
      </c>
      <c r="B389" t="s">
        <v>14</v>
      </c>
      <c r="C389" t="s">
        <v>28</v>
      </c>
      <c r="D389" t="s">
        <v>20</v>
      </c>
      <c r="E389" t="str">
        <f>IF(OR(Table1[[#This Row],[Energy Type]]="Solar",Table1[[#This Row],[Energy Type]]="Wind"),"Renewable","Non-Renewable")</f>
        <v>Non-Renewable</v>
      </c>
      <c r="F389">
        <v>136860</v>
      </c>
      <c r="G389">
        <v>95670</v>
      </c>
      <c r="H389">
        <v>245846</v>
      </c>
      <c r="I389">
        <v>9138</v>
      </c>
      <c r="J389" s="8">
        <f>Table1[[#This Row],[Revenue (Crore ₹)]]/Table1[[#This Row],[Employees]]</f>
        <v>26.903698840008754</v>
      </c>
      <c r="K389">
        <v>11.49</v>
      </c>
      <c r="L389">
        <v>6.77</v>
      </c>
      <c r="M389">
        <v>29434</v>
      </c>
      <c r="N389">
        <v>216412</v>
      </c>
      <c r="O389">
        <v>220058</v>
      </c>
      <c r="P389">
        <v>17.010000000000002</v>
      </c>
    </row>
    <row r="390" spans="1:16" x14ac:dyDescent="0.3">
      <c r="A390">
        <v>2020</v>
      </c>
      <c r="B390" t="s">
        <v>31</v>
      </c>
      <c r="C390" t="s">
        <v>26</v>
      </c>
      <c r="D390" t="s">
        <v>25</v>
      </c>
      <c r="E390" t="str">
        <f>IF(OR(Table1[[#This Row],[Energy Type]]="Solar",Table1[[#This Row],[Energy Type]]="Wind"),"Renewable","Non-Renewable")</f>
        <v>Renewable</v>
      </c>
      <c r="F390">
        <v>176742</v>
      </c>
      <c r="G390">
        <v>59418</v>
      </c>
      <c r="H390">
        <v>234290</v>
      </c>
      <c r="I390">
        <v>694</v>
      </c>
      <c r="J390" s="8">
        <f>Table1[[#This Row],[Revenue (Crore ₹)]]/Table1[[#This Row],[Employees]]</f>
        <v>337.5936599423631</v>
      </c>
      <c r="K390">
        <v>16.760000000000002</v>
      </c>
      <c r="L390">
        <v>4.5199999999999996</v>
      </c>
      <c r="M390">
        <v>23124</v>
      </c>
      <c r="N390">
        <v>211166</v>
      </c>
      <c r="O390">
        <v>110809</v>
      </c>
      <c r="P390">
        <v>53.61</v>
      </c>
    </row>
    <row r="391" spans="1:16" x14ac:dyDescent="0.3">
      <c r="A391">
        <v>2020</v>
      </c>
      <c r="B391" t="s">
        <v>27</v>
      </c>
      <c r="C391" t="s">
        <v>34</v>
      </c>
      <c r="D391" t="s">
        <v>20</v>
      </c>
      <c r="E391" t="str">
        <f>IF(OR(Table1[[#This Row],[Energy Type]]="Solar",Table1[[#This Row],[Energy Type]]="Wind"),"Renewable","Non-Renewable")</f>
        <v>Non-Renewable</v>
      </c>
      <c r="F391">
        <v>88161</v>
      </c>
      <c r="G391">
        <v>78698</v>
      </c>
      <c r="H391">
        <v>139064</v>
      </c>
      <c r="I391">
        <v>7537</v>
      </c>
      <c r="J391" s="8">
        <f>Table1[[#This Row],[Revenue (Crore ₹)]]/Table1[[#This Row],[Employees]]</f>
        <v>18.450842510282605</v>
      </c>
      <c r="K391">
        <v>19.82</v>
      </c>
      <c r="L391">
        <v>2.63</v>
      </c>
      <c r="M391">
        <v>18397</v>
      </c>
      <c r="N391">
        <v>120667</v>
      </c>
      <c r="O391">
        <v>100087</v>
      </c>
      <c r="P391">
        <v>14.12</v>
      </c>
    </row>
    <row r="392" spans="1:16" x14ac:dyDescent="0.3">
      <c r="A392">
        <v>2023</v>
      </c>
      <c r="B392" t="s">
        <v>19</v>
      </c>
      <c r="C392" t="s">
        <v>21</v>
      </c>
      <c r="D392" t="s">
        <v>16</v>
      </c>
      <c r="E392" t="str">
        <f>IF(OR(Table1[[#This Row],[Energy Type]]="Solar",Table1[[#This Row],[Energy Type]]="Wind"),"Renewable","Non-Renewable")</f>
        <v>Non-Renewable</v>
      </c>
      <c r="F392">
        <v>166991</v>
      </c>
      <c r="G392">
        <v>35344</v>
      </c>
      <c r="H392">
        <v>26368</v>
      </c>
      <c r="I392">
        <v>3017</v>
      </c>
      <c r="J392" s="8">
        <f>Table1[[#This Row],[Revenue (Crore ₹)]]/Table1[[#This Row],[Employees]]</f>
        <v>8.7398077560490552</v>
      </c>
      <c r="K392">
        <v>17.95</v>
      </c>
      <c r="L392">
        <v>4.99</v>
      </c>
      <c r="M392">
        <v>24112</v>
      </c>
      <c r="N392">
        <v>2256</v>
      </c>
      <c r="O392">
        <v>77057</v>
      </c>
      <c r="P392">
        <v>73.31</v>
      </c>
    </row>
    <row r="393" spans="1:16" x14ac:dyDescent="0.3">
      <c r="A393">
        <v>2020</v>
      </c>
      <c r="B393" t="s">
        <v>31</v>
      </c>
      <c r="C393" t="s">
        <v>18</v>
      </c>
      <c r="D393" t="s">
        <v>25</v>
      </c>
      <c r="E393" t="str">
        <f>IF(OR(Table1[[#This Row],[Energy Type]]="Solar",Table1[[#This Row],[Energy Type]]="Wind"),"Renewable","Non-Renewable")</f>
        <v>Renewable</v>
      </c>
      <c r="F393">
        <v>172548</v>
      </c>
      <c r="G393">
        <v>23435</v>
      </c>
      <c r="H393">
        <v>205903</v>
      </c>
      <c r="I393">
        <v>707</v>
      </c>
      <c r="J393" s="8">
        <f>Table1[[#This Row],[Revenue (Crore ₹)]]/Table1[[#This Row],[Employees]]</f>
        <v>291.23479490806221</v>
      </c>
      <c r="K393">
        <v>14.08</v>
      </c>
      <c r="L393">
        <v>9.92</v>
      </c>
      <c r="M393">
        <v>11258</v>
      </c>
      <c r="N393">
        <v>194645</v>
      </c>
      <c r="O393">
        <v>29142</v>
      </c>
      <c r="P393">
        <v>46.84</v>
      </c>
    </row>
    <row r="394" spans="1:16" x14ac:dyDescent="0.3">
      <c r="A394">
        <v>2022</v>
      </c>
      <c r="B394" t="s">
        <v>14</v>
      </c>
      <c r="C394" t="s">
        <v>18</v>
      </c>
      <c r="D394" t="s">
        <v>22</v>
      </c>
      <c r="E394" t="str">
        <f>IF(OR(Table1[[#This Row],[Energy Type]]="Solar",Table1[[#This Row],[Energy Type]]="Wind"),"Renewable","Non-Renewable")</f>
        <v>Non-Renewable</v>
      </c>
      <c r="F394">
        <v>35909</v>
      </c>
      <c r="G394">
        <v>26469</v>
      </c>
      <c r="H394">
        <v>110231</v>
      </c>
      <c r="I394">
        <v>7718</v>
      </c>
      <c r="J394" s="8">
        <f>Table1[[#This Row],[Revenue (Crore ₹)]]/Table1[[#This Row],[Employees]]</f>
        <v>14.282327027727391</v>
      </c>
      <c r="K394">
        <v>8.7100000000000009</v>
      </c>
      <c r="L394">
        <v>8.49</v>
      </c>
      <c r="M394">
        <v>20305</v>
      </c>
      <c r="N394">
        <v>89926</v>
      </c>
      <c r="O394">
        <v>125144</v>
      </c>
      <c r="P394">
        <v>64.77</v>
      </c>
    </row>
    <row r="395" spans="1:16" x14ac:dyDescent="0.3">
      <c r="A395">
        <v>2022</v>
      </c>
      <c r="B395" t="s">
        <v>23</v>
      </c>
      <c r="C395" t="s">
        <v>24</v>
      </c>
      <c r="D395" t="s">
        <v>25</v>
      </c>
      <c r="E395" t="str">
        <f>IF(OR(Table1[[#This Row],[Energy Type]]="Solar",Table1[[#This Row],[Energy Type]]="Wind"),"Renewable","Non-Renewable")</f>
        <v>Renewable</v>
      </c>
      <c r="F395">
        <v>79754</v>
      </c>
      <c r="G395">
        <v>78064</v>
      </c>
      <c r="H395">
        <v>257406</v>
      </c>
      <c r="I395">
        <v>9039</v>
      </c>
      <c r="J395" s="8">
        <f>Table1[[#This Row],[Revenue (Crore ₹)]]/Table1[[#This Row],[Employees]]</f>
        <v>28.477265184201791</v>
      </c>
      <c r="K395">
        <v>2.62</v>
      </c>
      <c r="L395">
        <v>8.17</v>
      </c>
      <c r="M395">
        <v>48716</v>
      </c>
      <c r="N395">
        <v>208690</v>
      </c>
      <c r="O395">
        <v>239367</v>
      </c>
      <c r="P395">
        <v>26.81</v>
      </c>
    </row>
    <row r="396" spans="1:16" x14ac:dyDescent="0.3">
      <c r="A396">
        <v>2023</v>
      </c>
      <c r="B396" t="s">
        <v>23</v>
      </c>
      <c r="C396" t="s">
        <v>18</v>
      </c>
      <c r="D396" t="s">
        <v>20</v>
      </c>
      <c r="E396" t="str">
        <f>IF(OR(Table1[[#This Row],[Energy Type]]="Solar",Table1[[#This Row],[Energy Type]]="Wind"),"Renewable","Non-Renewable")</f>
        <v>Non-Renewable</v>
      </c>
      <c r="F396">
        <v>81170</v>
      </c>
      <c r="G396">
        <v>14027</v>
      </c>
      <c r="H396">
        <v>275220</v>
      </c>
      <c r="I396">
        <v>868</v>
      </c>
      <c r="J396" s="8">
        <f>Table1[[#This Row],[Revenue (Crore ₹)]]/Table1[[#This Row],[Employees]]</f>
        <v>317.07373271889401</v>
      </c>
      <c r="K396">
        <v>11.96</v>
      </c>
      <c r="L396">
        <v>14.19</v>
      </c>
      <c r="M396">
        <v>30067</v>
      </c>
      <c r="N396">
        <v>245153</v>
      </c>
      <c r="O396">
        <v>295980</v>
      </c>
      <c r="P396">
        <v>59.11</v>
      </c>
    </row>
    <row r="397" spans="1:16" x14ac:dyDescent="0.3">
      <c r="A397">
        <v>2020</v>
      </c>
      <c r="B397" t="s">
        <v>17</v>
      </c>
      <c r="C397" t="s">
        <v>33</v>
      </c>
      <c r="D397" t="s">
        <v>32</v>
      </c>
      <c r="E397" t="str">
        <f>IF(OR(Table1[[#This Row],[Energy Type]]="Solar",Table1[[#This Row],[Energy Type]]="Wind"),"Renewable","Non-Renewable")</f>
        <v>Renewable</v>
      </c>
      <c r="F397">
        <v>25166</v>
      </c>
      <c r="G397">
        <v>2623</v>
      </c>
      <c r="H397">
        <v>298867</v>
      </c>
      <c r="I397">
        <v>6062</v>
      </c>
      <c r="J397" s="8">
        <f>Table1[[#This Row],[Revenue (Crore ₹)]]/Table1[[#This Row],[Employees]]</f>
        <v>49.301715605410756</v>
      </c>
      <c r="K397">
        <v>24.34</v>
      </c>
      <c r="L397">
        <v>10.98</v>
      </c>
      <c r="M397">
        <v>3838</v>
      </c>
      <c r="N397">
        <v>295029</v>
      </c>
      <c r="O397">
        <v>167574</v>
      </c>
      <c r="P397">
        <v>70.59</v>
      </c>
    </row>
    <row r="398" spans="1:16" x14ac:dyDescent="0.3">
      <c r="A398">
        <v>2025</v>
      </c>
      <c r="B398" t="s">
        <v>14</v>
      </c>
      <c r="C398" t="s">
        <v>28</v>
      </c>
      <c r="D398" t="s">
        <v>32</v>
      </c>
      <c r="E398" t="str">
        <f>IF(OR(Table1[[#This Row],[Energy Type]]="Solar",Table1[[#This Row],[Energy Type]]="Wind"),"Renewable","Non-Renewable")</f>
        <v>Renewable</v>
      </c>
      <c r="F398">
        <v>180395</v>
      </c>
      <c r="G398">
        <v>52387</v>
      </c>
      <c r="H398">
        <v>112931</v>
      </c>
      <c r="I398">
        <v>7325</v>
      </c>
      <c r="J398" s="8">
        <f>Table1[[#This Row],[Revenue (Crore ₹)]]/Table1[[#This Row],[Employees]]</f>
        <v>15.417201365187713</v>
      </c>
      <c r="K398">
        <v>24.86</v>
      </c>
      <c r="L398">
        <v>1.91</v>
      </c>
      <c r="M398">
        <v>13762</v>
      </c>
      <c r="N398">
        <v>99169</v>
      </c>
      <c r="O398">
        <v>202521</v>
      </c>
      <c r="P398">
        <v>7.87</v>
      </c>
    </row>
    <row r="399" spans="1:16" x14ac:dyDescent="0.3">
      <c r="A399">
        <v>2021</v>
      </c>
      <c r="B399" t="s">
        <v>17</v>
      </c>
      <c r="C399" t="s">
        <v>34</v>
      </c>
      <c r="D399" t="s">
        <v>22</v>
      </c>
      <c r="E399" t="str">
        <f>IF(OR(Table1[[#This Row],[Energy Type]]="Solar",Table1[[#This Row],[Energy Type]]="Wind"),"Renewable","Non-Renewable")</f>
        <v>Non-Renewable</v>
      </c>
      <c r="F399">
        <v>71463</v>
      </c>
      <c r="G399">
        <v>11521</v>
      </c>
      <c r="H399">
        <v>218094</v>
      </c>
      <c r="I399">
        <v>5831</v>
      </c>
      <c r="J399" s="8">
        <f>Table1[[#This Row],[Revenue (Crore ₹)]]/Table1[[#This Row],[Employees]]</f>
        <v>37.40250385868633</v>
      </c>
      <c r="K399">
        <v>24.78</v>
      </c>
      <c r="L399">
        <v>3.57</v>
      </c>
      <c r="M399">
        <v>9631</v>
      </c>
      <c r="N399">
        <v>208463</v>
      </c>
      <c r="O399">
        <v>108035</v>
      </c>
      <c r="P399">
        <v>78.92</v>
      </c>
    </row>
    <row r="400" spans="1:16" x14ac:dyDescent="0.3">
      <c r="A400">
        <v>2022</v>
      </c>
      <c r="B400" t="s">
        <v>14</v>
      </c>
      <c r="C400" t="s">
        <v>33</v>
      </c>
      <c r="D400" t="s">
        <v>32</v>
      </c>
      <c r="E400" t="str">
        <f>IF(OR(Table1[[#This Row],[Energy Type]]="Solar",Table1[[#This Row],[Energy Type]]="Wind"),"Renewable","Non-Renewable")</f>
        <v>Renewable</v>
      </c>
      <c r="F400">
        <v>65332</v>
      </c>
      <c r="G400">
        <v>56195</v>
      </c>
      <c r="H400">
        <v>11281</v>
      </c>
      <c r="I400">
        <v>4556</v>
      </c>
      <c r="J400" s="8">
        <f>Table1[[#This Row],[Revenue (Crore ₹)]]/Table1[[#This Row],[Employees]]</f>
        <v>2.4760755048287972</v>
      </c>
      <c r="K400">
        <v>10.87</v>
      </c>
      <c r="L400">
        <v>5.82</v>
      </c>
      <c r="M400">
        <v>6483</v>
      </c>
      <c r="N400">
        <v>4798</v>
      </c>
      <c r="O400">
        <v>264114</v>
      </c>
      <c r="P400">
        <v>14.34</v>
      </c>
    </row>
    <row r="401" spans="1:16" x14ac:dyDescent="0.3">
      <c r="A401">
        <v>2023</v>
      </c>
      <c r="B401" t="s">
        <v>30</v>
      </c>
      <c r="C401" t="s">
        <v>18</v>
      </c>
      <c r="D401" t="s">
        <v>25</v>
      </c>
      <c r="E401" t="str">
        <f>IF(OR(Table1[[#This Row],[Energy Type]]="Solar",Table1[[#This Row],[Energy Type]]="Wind"),"Renewable","Non-Renewable")</f>
        <v>Renewable</v>
      </c>
      <c r="F401">
        <v>155809</v>
      </c>
      <c r="G401">
        <v>6744</v>
      </c>
      <c r="H401">
        <v>26037</v>
      </c>
      <c r="I401">
        <v>4073</v>
      </c>
      <c r="J401" s="8">
        <f>Table1[[#This Row],[Revenue (Crore ₹)]]/Table1[[#This Row],[Employees]]</f>
        <v>6.392585317947459</v>
      </c>
      <c r="K401">
        <v>20.69</v>
      </c>
      <c r="L401">
        <v>2.83</v>
      </c>
      <c r="M401">
        <v>45248</v>
      </c>
      <c r="N401">
        <v>-19211</v>
      </c>
      <c r="O401">
        <v>225678</v>
      </c>
      <c r="P401">
        <v>77.77</v>
      </c>
    </row>
    <row r="402" spans="1:16" x14ac:dyDescent="0.3">
      <c r="A402">
        <v>2022</v>
      </c>
      <c r="B402" t="s">
        <v>14</v>
      </c>
      <c r="C402" t="s">
        <v>15</v>
      </c>
      <c r="D402" t="s">
        <v>20</v>
      </c>
      <c r="E402" t="str">
        <f>IF(OR(Table1[[#This Row],[Energy Type]]="Solar",Table1[[#This Row],[Energy Type]]="Wind"),"Renewable","Non-Renewable")</f>
        <v>Non-Renewable</v>
      </c>
      <c r="F402">
        <v>197723</v>
      </c>
      <c r="G402">
        <v>164415</v>
      </c>
      <c r="H402">
        <v>179051</v>
      </c>
      <c r="I402">
        <v>8682</v>
      </c>
      <c r="J402" s="8">
        <f>Table1[[#This Row],[Revenue (Crore ₹)]]/Table1[[#This Row],[Employees]]</f>
        <v>20.623243492282885</v>
      </c>
      <c r="K402">
        <v>19.559999999999999</v>
      </c>
      <c r="L402">
        <v>8.56</v>
      </c>
      <c r="M402">
        <v>7719</v>
      </c>
      <c r="N402">
        <v>171332</v>
      </c>
      <c r="O402">
        <v>92510</v>
      </c>
      <c r="P402">
        <v>19.02</v>
      </c>
    </row>
    <row r="403" spans="1:16" x14ac:dyDescent="0.3">
      <c r="A403">
        <v>2023</v>
      </c>
      <c r="B403" t="s">
        <v>29</v>
      </c>
      <c r="C403" t="s">
        <v>21</v>
      </c>
      <c r="D403" t="s">
        <v>16</v>
      </c>
      <c r="E403" t="str">
        <f>IF(OR(Table1[[#This Row],[Energy Type]]="Solar",Table1[[#This Row],[Energy Type]]="Wind"),"Renewable","Non-Renewable")</f>
        <v>Non-Renewable</v>
      </c>
      <c r="F403">
        <v>95814</v>
      </c>
      <c r="G403">
        <v>46846</v>
      </c>
      <c r="H403">
        <v>204075</v>
      </c>
      <c r="I403">
        <v>1548</v>
      </c>
      <c r="J403" s="8">
        <f>Table1[[#This Row],[Revenue (Crore ₹)]]/Table1[[#This Row],[Employees]]</f>
        <v>131.83139534883722</v>
      </c>
      <c r="K403">
        <v>4.3899999999999997</v>
      </c>
      <c r="L403">
        <v>5.69</v>
      </c>
      <c r="M403">
        <v>4102</v>
      </c>
      <c r="N403">
        <v>199973</v>
      </c>
      <c r="O403">
        <v>146605</v>
      </c>
      <c r="P403">
        <v>72.069999999999993</v>
      </c>
    </row>
    <row r="404" spans="1:16" x14ac:dyDescent="0.3">
      <c r="A404">
        <v>2022</v>
      </c>
      <c r="B404" t="s">
        <v>30</v>
      </c>
      <c r="C404" t="s">
        <v>33</v>
      </c>
      <c r="D404" t="s">
        <v>25</v>
      </c>
      <c r="E404" t="str">
        <f>IF(OR(Table1[[#This Row],[Energy Type]]="Solar",Table1[[#This Row],[Energy Type]]="Wind"),"Renewable","Non-Renewable")</f>
        <v>Renewable</v>
      </c>
      <c r="F404">
        <v>132594</v>
      </c>
      <c r="G404">
        <v>23897</v>
      </c>
      <c r="H404">
        <v>91911</v>
      </c>
      <c r="I404">
        <v>2384</v>
      </c>
      <c r="J404" s="8">
        <f>Table1[[#This Row],[Revenue (Crore ₹)]]/Table1[[#This Row],[Employees]]</f>
        <v>38.553271812080538</v>
      </c>
      <c r="K404">
        <v>3.44</v>
      </c>
      <c r="L404">
        <v>12.98</v>
      </c>
      <c r="M404">
        <v>22555</v>
      </c>
      <c r="N404">
        <v>69356</v>
      </c>
      <c r="O404">
        <v>175795</v>
      </c>
      <c r="P404">
        <v>60.24</v>
      </c>
    </row>
    <row r="405" spans="1:16" x14ac:dyDescent="0.3">
      <c r="A405">
        <v>2021</v>
      </c>
      <c r="B405" t="s">
        <v>23</v>
      </c>
      <c r="C405" t="s">
        <v>26</v>
      </c>
      <c r="D405" t="s">
        <v>25</v>
      </c>
      <c r="E405" t="str">
        <f>IF(OR(Table1[[#This Row],[Energy Type]]="Solar",Table1[[#This Row],[Energy Type]]="Wind"),"Renewable","Non-Renewable")</f>
        <v>Renewable</v>
      </c>
      <c r="F405">
        <v>137629</v>
      </c>
      <c r="G405">
        <v>75094</v>
      </c>
      <c r="H405">
        <v>42756</v>
      </c>
      <c r="I405">
        <v>642</v>
      </c>
      <c r="J405" s="8">
        <f>Table1[[#This Row],[Revenue (Crore ₹)]]/Table1[[#This Row],[Employees]]</f>
        <v>66.598130841121488</v>
      </c>
      <c r="K405">
        <v>4.1900000000000004</v>
      </c>
      <c r="L405">
        <v>2.2599999999999998</v>
      </c>
      <c r="M405">
        <v>23905</v>
      </c>
      <c r="N405">
        <v>18851</v>
      </c>
      <c r="O405">
        <v>289304</v>
      </c>
      <c r="P405">
        <v>70.89</v>
      </c>
    </row>
    <row r="406" spans="1:16" x14ac:dyDescent="0.3">
      <c r="A406">
        <v>2025</v>
      </c>
      <c r="B406" t="s">
        <v>30</v>
      </c>
      <c r="C406" t="s">
        <v>28</v>
      </c>
      <c r="D406" t="s">
        <v>16</v>
      </c>
      <c r="E406" t="str">
        <f>IF(OR(Table1[[#This Row],[Energy Type]]="Solar",Table1[[#This Row],[Energy Type]]="Wind"),"Renewable","Non-Renewable")</f>
        <v>Non-Renewable</v>
      </c>
      <c r="F406">
        <v>74544</v>
      </c>
      <c r="G406">
        <v>53213</v>
      </c>
      <c r="H406">
        <v>150467</v>
      </c>
      <c r="I406">
        <v>3847</v>
      </c>
      <c r="J406" s="8">
        <f>Table1[[#This Row],[Revenue (Crore ₹)]]/Table1[[#This Row],[Employees]]</f>
        <v>39.112815180660256</v>
      </c>
      <c r="K406">
        <v>19.3</v>
      </c>
      <c r="L406">
        <v>10.8</v>
      </c>
      <c r="M406">
        <v>39614</v>
      </c>
      <c r="N406">
        <v>110853</v>
      </c>
      <c r="O406">
        <v>219298</v>
      </c>
      <c r="P406">
        <v>78.42</v>
      </c>
    </row>
    <row r="407" spans="1:16" x14ac:dyDescent="0.3">
      <c r="A407">
        <v>2025</v>
      </c>
      <c r="B407" t="s">
        <v>14</v>
      </c>
      <c r="C407" t="s">
        <v>33</v>
      </c>
      <c r="D407" t="s">
        <v>25</v>
      </c>
      <c r="E407" t="str">
        <f>IF(OR(Table1[[#This Row],[Energy Type]]="Solar",Table1[[#This Row],[Energy Type]]="Wind"),"Renewable","Non-Renewable")</f>
        <v>Renewable</v>
      </c>
      <c r="F407">
        <v>8276</v>
      </c>
      <c r="G407">
        <v>4366</v>
      </c>
      <c r="H407">
        <v>99169</v>
      </c>
      <c r="I407">
        <v>6987</v>
      </c>
      <c r="J407" s="8">
        <f>Table1[[#This Row],[Revenue (Crore ₹)]]/Table1[[#This Row],[Employees]]</f>
        <v>14.193359095463002</v>
      </c>
      <c r="K407">
        <v>2.16</v>
      </c>
      <c r="L407">
        <v>2.64</v>
      </c>
      <c r="M407">
        <v>4996</v>
      </c>
      <c r="N407">
        <v>94173</v>
      </c>
      <c r="O407">
        <v>106272</v>
      </c>
      <c r="P407">
        <v>5.84</v>
      </c>
    </row>
    <row r="408" spans="1:16" x14ac:dyDescent="0.3">
      <c r="A408">
        <v>2025</v>
      </c>
      <c r="B408" t="s">
        <v>29</v>
      </c>
      <c r="C408" t="s">
        <v>15</v>
      </c>
      <c r="D408" t="s">
        <v>32</v>
      </c>
      <c r="E408" t="str">
        <f>IF(OR(Table1[[#This Row],[Energy Type]]="Solar",Table1[[#This Row],[Energy Type]]="Wind"),"Renewable","Non-Renewable")</f>
        <v>Renewable</v>
      </c>
      <c r="F408">
        <v>78158</v>
      </c>
      <c r="G408">
        <v>14259</v>
      </c>
      <c r="H408">
        <v>32673</v>
      </c>
      <c r="I408">
        <v>6365</v>
      </c>
      <c r="J408" s="8">
        <f>Table1[[#This Row],[Revenue (Crore ₹)]]/Table1[[#This Row],[Employees]]</f>
        <v>5.133228593872742</v>
      </c>
      <c r="K408">
        <v>14.7</v>
      </c>
      <c r="L408">
        <v>12.25</v>
      </c>
      <c r="M408">
        <v>19708</v>
      </c>
      <c r="N408">
        <v>12965</v>
      </c>
      <c r="O408">
        <v>293339</v>
      </c>
      <c r="P408">
        <v>40.630000000000003</v>
      </c>
    </row>
    <row r="409" spans="1:16" x14ac:dyDescent="0.3">
      <c r="A409">
        <v>2024</v>
      </c>
      <c r="B409" t="s">
        <v>29</v>
      </c>
      <c r="C409" t="s">
        <v>28</v>
      </c>
      <c r="D409" t="s">
        <v>16</v>
      </c>
      <c r="E409" t="str">
        <f>IF(OR(Table1[[#This Row],[Energy Type]]="Solar",Table1[[#This Row],[Energy Type]]="Wind"),"Renewable","Non-Renewable")</f>
        <v>Non-Renewable</v>
      </c>
      <c r="F409">
        <v>184482</v>
      </c>
      <c r="G409">
        <v>125223</v>
      </c>
      <c r="H409">
        <v>224972</v>
      </c>
      <c r="I409">
        <v>2396</v>
      </c>
      <c r="J409" s="8">
        <f>Table1[[#This Row],[Revenue (Crore ₹)]]/Table1[[#This Row],[Employees]]</f>
        <v>93.894824707846411</v>
      </c>
      <c r="K409">
        <v>16.559999999999999</v>
      </c>
      <c r="L409">
        <v>5.65</v>
      </c>
      <c r="M409">
        <v>14541</v>
      </c>
      <c r="N409">
        <v>210431</v>
      </c>
      <c r="O409">
        <v>281744</v>
      </c>
      <c r="P409">
        <v>71.72</v>
      </c>
    </row>
    <row r="410" spans="1:16" x14ac:dyDescent="0.3">
      <c r="A410">
        <v>2024</v>
      </c>
      <c r="B410" t="s">
        <v>30</v>
      </c>
      <c r="C410" t="s">
        <v>26</v>
      </c>
      <c r="D410" t="s">
        <v>32</v>
      </c>
      <c r="E410" t="str">
        <f>IF(OR(Table1[[#This Row],[Energy Type]]="Solar",Table1[[#This Row],[Energy Type]]="Wind"),"Renewable","Non-Renewable")</f>
        <v>Renewable</v>
      </c>
      <c r="F410">
        <v>154284</v>
      </c>
      <c r="G410">
        <v>64900</v>
      </c>
      <c r="H410">
        <v>105083</v>
      </c>
      <c r="I410">
        <v>3955</v>
      </c>
      <c r="J410" s="8">
        <f>Table1[[#This Row],[Revenue (Crore ₹)]]/Table1[[#This Row],[Employees]]</f>
        <v>26.569658659924148</v>
      </c>
      <c r="K410">
        <v>23.27</v>
      </c>
      <c r="L410">
        <v>4.47</v>
      </c>
      <c r="M410">
        <v>27936</v>
      </c>
      <c r="N410">
        <v>77147</v>
      </c>
      <c r="O410">
        <v>118426</v>
      </c>
      <c r="P410">
        <v>70.41</v>
      </c>
    </row>
    <row r="411" spans="1:16" x14ac:dyDescent="0.3">
      <c r="A411">
        <v>2025</v>
      </c>
      <c r="B411" t="s">
        <v>23</v>
      </c>
      <c r="C411" t="s">
        <v>18</v>
      </c>
      <c r="D411" t="s">
        <v>32</v>
      </c>
      <c r="E411" t="str">
        <f>IF(OR(Table1[[#This Row],[Energy Type]]="Solar",Table1[[#This Row],[Energy Type]]="Wind"),"Renewable","Non-Renewable")</f>
        <v>Renewable</v>
      </c>
      <c r="F411">
        <v>191795</v>
      </c>
      <c r="G411">
        <v>153794</v>
      </c>
      <c r="H411">
        <v>259539</v>
      </c>
      <c r="I411">
        <v>2973</v>
      </c>
      <c r="J411" s="8">
        <f>Table1[[#This Row],[Revenue (Crore ₹)]]/Table1[[#This Row],[Employees]]</f>
        <v>87.298688193743686</v>
      </c>
      <c r="K411">
        <v>15.62</v>
      </c>
      <c r="L411">
        <v>6.36</v>
      </c>
      <c r="M411">
        <v>24384</v>
      </c>
      <c r="N411">
        <v>235155</v>
      </c>
      <c r="O411">
        <v>259533</v>
      </c>
      <c r="P411">
        <v>63.04</v>
      </c>
    </row>
    <row r="412" spans="1:16" x14ac:dyDescent="0.3">
      <c r="A412">
        <v>2020</v>
      </c>
      <c r="B412" t="s">
        <v>14</v>
      </c>
      <c r="C412" t="s">
        <v>21</v>
      </c>
      <c r="D412" t="s">
        <v>22</v>
      </c>
      <c r="E412" t="str">
        <f>IF(OR(Table1[[#This Row],[Energy Type]]="Solar",Table1[[#This Row],[Energy Type]]="Wind"),"Renewable","Non-Renewable")</f>
        <v>Non-Renewable</v>
      </c>
      <c r="F412">
        <v>135146</v>
      </c>
      <c r="G412">
        <v>73217</v>
      </c>
      <c r="H412">
        <v>89358</v>
      </c>
      <c r="I412">
        <v>3758</v>
      </c>
      <c r="J412" s="8">
        <f>Table1[[#This Row],[Revenue (Crore ₹)]]/Table1[[#This Row],[Employees]]</f>
        <v>23.778073443320917</v>
      </c>
      <c r="K412">
        <v>14.07</v>
      </c>
      <c r="L412">
        <v>5.47</v>
      </c>
      <c r="M412">
        <v>11331</v>
      </c>
      <c r="N412">
        <v>78027</v>
      </c>
      <c r="O412">
        <v>78577</v>
      </c>
      <c r="P412">
        <v>70.09</v>
      </c>
    </row>
    <row r="413" spans="1:16" x14ac:dyDescent="0.3">
      <c r="A413">
        <v>2025</v>
      </c>
      <c r="B413" t="s">
        <v>29</v>
      </c>
      <c r="C413" t="s">
        <v>24</v>
      </c>
      <c r="D413" t="s">
        <v>20</v>
      </c>
      <c r="E413" t="str">
        <f>IF(OR(Table1[[#This Row],[Energy Type]]="Solar",Table1[[#This Row],[Energy Type]]="Wind"),"Renewable","Non-Renewable")</f>
        <v>Non-Renewable</v>
      </c>
      <c r="F413">
        <v>80205</v>
      </c>
      <c r="G413">
        <v>43585</v>
      </c>
      <c r="H413">
        <v>219093</v>
      </c>
      <c r="I413">
        <v>8012</v>
      </c>
      <c r="J413" s="8">
        <f>Table1[[#This Row],[Revenue (Crore ₹)]]/Table1[[#This Row],[Employees]]</f>
        <v>27.345606590114826</v>
      </c>
      <c r="K413">
        <v>22.93</v>
      </c>
      <c r="L413">
        <v>2.58</v>
      </c>
      <c r="M413">
        <v>8620</v>
      </c>
      <c r="N413">
        <v>210473</v>
      </c>
      <c r="O413">
        <v>129404</v>
      </c>
      <c r="P413">
        <v>17.04</v>
      </c>
    </row>
    <row r="414" spans="1:16" x14ac:dyDescent="0.3">
      <c r="A414">
        <v>2021</v>
      </c>
      <c r="B414" t="s">
        <v>14</v>
      </c>
      <c r="C414" t="s">
        <v>24</v>
      </c>
      <c r="D414" t="s">
        <v>16</v>
      </c>
      <c r="E414" t="str">
        <f>IF(OR(Table1[[#This Row],[Energy Type]]="Solar",Table1[[#This Row],[Energy Type]]="Wind"),"Renewable","Non-Renewable")</f>
        <v>Non-Renewable</v>
      </c>
      <c r="F414">
        <v>26653</v>
      </c>
      <c r="G414">
        <v>9218</v>
      </c>
      <c r="H414">
        <v>215362</v>
      </c>
      <c r="I414">
        <v>9582</v>
      </c>
      <c r="J414" s="8">
        <f>Table1[[#This Row],[Revenue (Crore ₹)]]/Table1[[#This Row],[Employees]]</f>
        <v>22.47568357336673</v>
      </c>
      <c r="K414">
        <v>5.03</v>
      </c>
      <c r="L414">
        <v>1.43</v>
      </c>
      <c r="M414">
        <v>45353</v>
      </c>
      <c r="N414">
        <v>170009</v>
      </c>
      <c r="O414">
        <v>248798</v>
      </c>
      <c r="P414">
        <v>65.66</v>
      </c>
    </row>
    <row r="415" spans="1:16" x14ac:dyDescent="0.3">
      <c r="A415">
        <v>2024</v>
      </c>
      <c r="B415" t="s">
        <v>29</v>
      </c>
      <c r="C415" t="s">
        <v>28</v>
      </c>
      <c r="D415" t="s">
        <v>20</v>
      </c>
      <c r="E415" t="str">
        <f>IF(OR(Table1[[#This Row],[Energy Type]]="Solar",Table1[[#This Row],[Energy Type]]="Wind"),"Renewable","Non-Renewable")</f>
        <v>Non-Renewable</v>
      </c>
      <c r="F415">
        <v>175019</v>
      </c>
      <c r="G415">
        <v>112018</v>
      </c>
      <c r="H415">
        <v>172402</v>
      </c>
      <c r="I415">
        <v>3721</v>
      </c>
      <c r="J415" s="8">
        <f>Table1[[#This Row],[Revenue (Crore ₹)]]/Table1[[#This Row],[Employees]]</f>
        <v>46.332168771835526</v>
      </c>
      <c r="K415">
        <v>17.53</v>
      </c>
      <c r="L415">
        <v>2.21</v>
      </c>
      <c r="M415">
        <v>11977</v>
      </c>
      <c r="N415">
        <v>160425</v>
      </c>
      <c r="O415">
        <v>216628</v>
      </c>
      <c r="P415">
        <v>26.83</v>
      </c>
    </row>
    <row r="416" spans="1:16" x14ac:dyDescent="0.3">
      <c r="A416">
        <v>2020</v>
      </c>
      <c r="B416" t="s">
        <v>29</v>
      </c>
      <c r="C416" t="s">
        <v>33</v>
      </c>
      <c r="D416" t="s">
        <v>22</v>
      </c>
      <c r="E416" t="str">
        <f>IF(OR(Table1[[#This Row],[Energy Type]]="Solar",Table1[[#This Row],[Energy Type]]="Wind"),"Renewable","Non-Renewable")</f>
        <v>Non-Renewable</v>
      </c>
      <c r="F416">
        <v>155013</v>
      </c>
      <c r="G416">
        <v>55037</v>
      </c>
      <c r="H416">
        <v>62127</v>
      </c>
      <c r="I416">
        <v>8275</v>
      </c>
      <c r="J416" s="8">
        <f>Table1[[#This Row],[Revenue (Crore ₹)]]/Table1[[#This Row],[Employees]]</f>
        <v>7.5077945619335349</v>
      </c>
      <c r="K416">
        <v>13.39</v>
      </c>
      <c r="L416">
        <v>8.14</v>
      </c>
      <c r="M416">
        <v>27585</v>
      </c>
      <c r="N416">
        <v>34542</v>
      </c>
      <c r="O416">
        <v>124131</v>
      </c>
      <c r="P416">
        <v>53.36</v>
      </c>
    </row>
    <row r="417" spans="1:16" x14ac:dyDescent="0.3">
      <c r="A417">
        <v>2023</v>
      </c>
      <c r="B417" t="s">
        <v>31</v>
      </c>
      <c r="C417" t="s">
        <v>24</v>
      </c>
      <c r="D417" t="s">
        <v>22</v>
      </c>
      <c r="E417" t="str">
        <f>IF(OR(Table1[[#This Row],[Energy Type]]="Solar",Table1[[#This Row],[Energy Type]]="Wind"),"Renewable","Non-Renewable")</f>
        <v>Non-Renewable</v>
      </c>
      <c r="F417">
        <v>99734</v>
      </c>
      <c r="G417">
        <v>8368</v>
      </c>
      <c r="H417">
        <v>21353</v>
      </c>
      <c r="I417">
        <v>6330</v>
      </c>
      <c r="J417" s="8">
        <f>Table1[[#This Row],[Revenue (Crore ₹)]]/Table1[[#This Row],[Employees]]</f>
        <v>3.373301737756714</v>
      </c>
      <c r="K417">
        <v>14.45</v>
      </c>
      <c r="L417">
        <v>9.0500000000000007</v>
      </c>
      <c r="M417">
        <v>18231</v>
      </c>
      <c r="N417">
        <v>3122</v>
      </c>
      <c r="O417">
        <v>70516</v>
      </c>
      <c r="P417">
        <v>34.979999999999997</v>
      </c>
    </row>
    <row r="418" spans="1:16" x14ac:dyDescent="0.3">
      <c r="A418">
        <v>2023</v>
      </c>
      <c r="B418" t="s">
        <v>14</v>
      </c>
      <c r="C418" t="s">
        <v>26</v>
      </c>
      <c r="D418" t="s">
        <v>16</v>
      </c>
      <c r="E418" t="str">
        <f>IF(OR(Table1[[#This Row],[Energy Type]]="Solar",Table1[[#This Row],[Energy Type]]="Wind"),"Renewable","Non-Renewable")</f>
        <v>Non-Renewable</v>
      </c>
      <c r="F418">
        <v>169121</v>
      </c>
      <c r="G418">
        <v>25432</v>
      </c>
      <c r="H418">
        <v>124159</v>
      </c>
      <c r="I418">
        <v>5174</v>
      </c>
      <c r="J418" s="8">
        <f>Table1[[#This Row],[Revenue (Crore ₹)]]/Table1[[#This Row],[Employees]]</f>
        <v>23.996714340935448</v>
      </c>
      <c r="K418">
        <v>4.8899999999999997</v>
      </c>
      <c r="L418">
        <v>5.5</v>
      </c>
      <c r="M418">
        <v>15372</v>
      </c>
      <c r="N418">
        <v>108787</v>
      </c>
      <c r="O418">
        <v>119697</v>
      </c>
      <c r="P418">
        <v>76.739999999999995</v>
      </c>
    </row>
    <row r="419" spans="1:16" x14ac:dyDescent="0.3">
      <c r="A419">
        <v>2022</v>
      </c>
      <c r="B419" t="s">
        <v>17</v>
      </c>
      <c r="C419" t="s">
        <v>24</v>
      </c>
      <c r="D419" t="s">
        <v>22</v>
      </c>
      <c r="E419" t="str">
        <f>IF(OR(Table1[[#This Row],[Energy Type]]="Solar",Table1[[#This Row],[Energy Type]]="Wind"),"Renewable","Non-Renewable")</f>
        <v>Non-Renewable</v>
      </c>
      <c r="F419">
        <v>98891</v>
      </c>
      <c r="G419">
        <v>75832</v>
      </c>
      <c r="H419">
        <v>31285</v>
      </c>
      <c r="I419">
        <v>1135</v>
      </c>
      <c r="J419" s="8">
        <f>Table1[[#This Row],[Revenue (Crore ₹)]]/Table1[[#This Row],[Employees]]</f>
        <v>27.56387665198238</v>
      </c>
      <c r="K419">
        <v>24.01</v>
      </c>
      <c r="L419">
        <v>7.43</v>
      </c>
      <c r="M419">
        <v>45929</v>
      </c>
      <c r="N419">
        <v>-14644</v>
      </c>
      <c r="O419">
        <v>100603</v>
      </c>
      <c r="P419">
        <v>61.44</v>
      </c>
    </row>
    <row r="420" spans="1:16" x14ac:dyDescent="0.3">
      <c r="A420">
        <v>2023</v>
      </c>
      <c r="B420" t="s">
        <v>14</v>
      </c>
      <c r="C420" t="s">
        <v>15</v>
      </c>
      <c r="D420" t="s">
        <v>32</v>
      </c>
      <c r="E420" t="str">
        <f>IF(OR(Table1[[#This Row],[Energy Type]]="Solar",Table1[[#This Row],[Energy Type]]="Wind"),"Renewable","Non-Renewable")</f>
        <v>Renewable</v>
      </c>
      <c r="F420">
        <v>180667</v>
      </c>
      <c r="G420">
        <v>84047</v>
      </c>
      <c r="H420">
        <v>151642</v>
      </c>
      <c r="I420">
        <v>5418</v>
      </c>
      <c r="J420" s="8">
        <f>Table1[[#This Row],[Revenue (Crore ₹)]]/Table1[[#This Row],[Employees]]</f>
        <v>27.988556662975267</v>
      </c>
      <c r="K420">
        <v>11.68</v>
      </c>
      <c r="L420">
        <v>2.76</v>
      </c>
      <c r="M420">
        <v>28007</v>
      </c>
      <c r="N420">
        <v>123635</v>
      </c>
      <c r="O420">
        <v>222962</v>
      </c>
      <c r="P420">
        <v>73.64</v>
      </c>
    </row>
    <row r="421" spans="1:16" x14ac:dyDescent="0.3">
      <c r="A421">
        <v>2023</v>
      </c>
      <c r="B421" t="s">
        <v>17</v>
      </c>
      <c r="C421" t="s">
        <v>28</v>
      </c>
      <c r="D421" t="s">
        <v>32</v>
      </c>
      <c r="E421" t="str">
        <f>IF(OR(Table1[[#This Row],[Energy Type]]="Solar",Table1[[#This Row],[Energy Type]]="Wind"),"Renewable","Non-Renewable")</f>
        <v>Renewable</v>
      </c>
      <c r="F421">
        <v>140390</v>
      </c>
      <c r="G421">
        <v>43723</v>
      </c>
      <c r="H421">
        <v>298983</v>
      </c>
      <c r="I421">
        <v>8741</v>
      </c>
      <c r="J421" s="8">
        <f>Table1[[#This Row],[Revenue (Crore ₹)]]/Table1[[#This Row],[Employees]]</f>
        <v>34.204667658162684</v>
      </c>
      <c r="K421">
        <v>18.02</v>
      </c>
      <c r="L421">
        <v>1.87</v>
      </c>
      <c r="M421">
        <v>29618</v>
      </c>
      <c r="N421">
        <v>269365</v>
      </c>
      <c r="O421">
        <v>67985</v>
      </c>
      <c r="P421">
        <v>65.510000000000005</v>
      </c>
    </row>
    <row r="422" spans="1:16" x14ac:dyDescent="0.3">
      <c r="A422">
        <v>2025</v>
      </c>
      <c r="B422" t="s">
        <v>31</v>
      </c>
      <c r="C422" t="s">
        <v>24</v>
      </c>
      <c r="D422" t="s">
        <v>20</v>
      </c>
      <c r="E422" t="str">
        <f>IF(OR(Table1[[#This Row],[Energy Type]]="Solar",Table1[[#This Row],[Energy Type]]="Wind"),"Renewable","Non-Renewable")</f>
        <v>Non-Renewable</v>
      </c>
      <c r="F422">
        <v>191829</v>
      </c>
      <c r="G422">
        <v>78612</v>
      </c>
      <c r="H422">
        <v>83993</v>
      </c>
      <c r="I422">
        <v>4287</v>
      </c>
      <c r="J422" s="8">
        <f>Table1[[#This Row],[Revenue (Crore ₹)]]/Table1[[#This Row],[Employees]]</f>
        <v>19.592488919990668</v>
      </c>
      <c r="K422">
        <v>5.61</v>
      </c>
      <c r="L422">
        <v>4.6399999999999997</v>
      </c>
      <c r="M422">
        <v>11637</v>
      </c>
      <c r="N422">
        <v>72356</v>
      </c>
      <c r="O422">
        <v>55904</v>
      </c>
      <c r="P422">
        <v>74.3</v>
      </c>
    </row>
    <row r="423" spans="1:16" x14ac:dyDescent="0.3">
      <c r="A423">
        <v>2021</v>
      </c>
      <c r="B423" t="s">
        <v>29</v>
      </c>
      <c r="C423" t="s">
        <v>21</v>
      </c>
      <c r="D423" t="s">
        <v>22</v>
      </c>
      <c r="E423" t="str">
        <f>IF(OR(Table1[[#This Row],[Energy Type]]="Solar",Table1[[#This Row],[Energy Type]]="Wind"),"Renewable","Non-Renewable")</f>
        <v>Non-Renewable</v>
      </c>
      <c r="F423">
        <v>188315</v>
      </c>
      <c r="G423">
        <v>164968</v>
      </c>
      <c r="H423">
        <v>220582</v>
      </c>
      <c r="I423">
        <v>7396</v>
      </c>
      <c r="J423" s="8">
        <f>Table1[[#This Row],[Revenue (Crore ₹)]]/Table1[[#This Row],[Employees]]</f>
        <v>29.824499729583557</v>
      </c>
      <c r="K423">
        <v>18.78</v>
      </c>
      <c r="L423">
        <v>14.8</v>
      </c>
      <c r="M423">
        <v>26485</v>
      </c>
      <c r="N423">
        <v>194097</v>
      </c>
      <c r="O423">
        <v>151442</v>
      </c>
      <c r="P423">
        <v>73.739999999999995</v>
      </c>
    </row>
    <row r="424" spans="1:16" x14ac:dyDescent="0.3">
      <c r="A424">
        <v>2025</v>
      </c>
      <c r="B424" t="s">
        <v>19</v>
      </c>
      <c r="C424" t="s">
        <v>26</v>
      </c>
      <c r="D424" t="s">
        <v>25</v>
      </c>
      <c r="E424" t="str">
        <f>IF(OR(Table1[[#This Row],[Energy Type]]="Solar",Table1[[#This Row],[Energy Type]]="Wind"),"Renewable","Non-Renewable")</f>
        <v>Renewable</v>
      </c>
      <c r="F424">
        <v>68863</v>
      </c>
      <c r="G424">
        <v>43310</v>
      </c>
      <c r="H424">
        <v>286321</v>
      </c>
      <c r="I424">
        <v>3688</v>
      </c>
      <c r="J424" s="8">
        <f>Table1[[#This Row],[Revenue (Crore ₹)]]/Table1[[#This Row],[Employees]]</f>
        <v>77.635845986984819</v>
      </c>
      <c r="K424">
        <v>6.72</v>
      </c>
      <c r="L424">
        <v>13.02</v>
      </c>
      <c r="M424">
        <v>3981</v>
      </c>
      <c r="N424">
        <v>282340</v>
      </c>
      <c r="O424">
        <v>205286</v>
      </c>
      <c r="P424">
        <v>45.5</v>
      </c>
    </row>
    <row r="425" spans="1:16" x14ac:dyDescent="0.3">
      <c r="A425">
        <v>2020</v>
      </c>
      <c r="B425" t="s">
        <v>19</v>
      </c>
      <c r="C425" t="s">
        <v>24</v>
      </c>
      <c r="D425" t="s">
        <v>32</v>
      </c>
      <c r="E425" t="str">
        <f>IF(OR(Table1[[#This Row],[Energy Type]]="Solar",Table1[[#This Row],[Energy Type]]="Wind"),"Renewable","Non-Renewable")</f>
        <v>Renewable</v>
      </c>
      <c r="F425">
        <v>160387</v>
      </c>
      <c r="G425">
        <v>110979</v>
      </c>
      <c r="H425">
        <v>18993</v>
      </c>
      <c r="I425">
        <v>9669</v>
      </c>
      <c r="J425" s="8">
        <f>Table1[[#This Row],[Revenue (Crore ₹)]]/Table1[[#This Row],[Employees]]</f>
        <v>1.9643189574930189</v>
      </c>
      <c r="K425">
        <v>24.73</v>
      </c>
      <c r="L425">
        <v>5.2</v>
      </c>
      <c r="M425">
        <v>45104</v>
      </c>
      <c r="N425">
        <v>-26111</v>
      </c>
      <c r="O425">
        <v>151933</v>
      </c>
      <c r="P425">
        <v>76.790000000000006</v>
      </c>
    </row>
    <row r="426" spans="1:16" x14ac:dyDescent="0.3">
      <c r="A426">
        <v>2025</v>
      </c>
      <c r="B426" t="s">
        <v>17</v>
      </c>
      <c r="C426" t="s">
        <v>24</v>
      </c>
      <c r="D426" t="s">
        <v>22</v>
      </c>
      <c r="E426" t="str">
        <f>IF(OR(Table1[[#This Row],[Energy Type]]="Solar",Table1[[#This Row],[Energy Type]]="Wind"),"Renewable","Non-Renewable")</f>
        <v>Non-Renewable</v>
      </c>
      <c r="F426">
        <v>80296</v>
      </c>
      <c r="G426">
        <v>6309</v>
      </c>
      <c r="H426">
        <v>203456</v>
      </c>
      <c r="I426">
        <v>1987</v>
      </c>
      <c r="J426" s="8">
        <f>Table1[[#This Row],[Revenue (Crore ₹)]]/Table1[[#This Row],[Employees]]</f>
        <v>102.3935581278309</v>
      </c>
      <c r="K426">
        <v>9.57</v>
      </c>
      <c r="L426">
        <v>13.47</v>
      </c>
      <c r="M426">
        <v>46604</v>
      </c>
      <c r="N426">
        <v>156852</v>
      </c>
      <c r="O426">
        <v>202820</v>
      </c>
      <c r="P426">
        <v>55.17</v>
      </c>
    </row>
    <row r="427" spans="1:16" x14ac:dyDescent="0.3">
      <c r="A427">
        <v>2021</v>
      </c>
      <c r="B427" t="s">
        <v>29</v>
      </c>
      <c r="C427" t="s">
        <v>33</v>
      </c>
      <c r="D427" t="s">
        <v>16</v>
      </c>
      <c r="E427" t="str">
        <f>IF(OR(Table1[[#This Row],[Energy Type]]="Solar",Table1[[#This Row],[Energy Type]]="Wind"),"Renewable","Non-Renewable")</f>
        <v>Non-Renewable</v>
      </c>
      <c r="F427">
        <v>130574</v>
      </c>
      <c r="G427">
        <v>107910</v>
      </c>
      <c r="H427">
        <v>73091</v>
      </c>
      <c r="I427">
        <v>1843</v>
      </c>
      <c r="J427" s="8">
        <f>Table1[[#This Row],[Revenue (Crore ₹)]]/Table1[[#This Row],[Employees]]</f>
        <v>39.658708627238198</v>
      </c>
      <c r="K427">
        <v>9.81</v>
      </c>
      <c r="L427">
        <v>2.73</v>
      </c>
      <c r="M427">
        <v>46030</v>
      </c>
      <c r="N427">
        <v>27061</v>
      </c>
      <c r="O427">
        <v>212438</v>
      </c>
      <c r="P427">
        <v>61.22</v>
      </c>
    </row>
    <row r="428" spans="1:16" x14ac:dyDescent="0.3">
      <c r="A428">
        <v>2022</v>
      </c>
      <c r="B428" t="s">
        <v>19</v>
      </c>
      <c r="C428" t="s">
        <v>18</v>
      </c>
      <c r="D428" t="s">
        <v>25</v>
      </c>
      <c r="E428" t="str">
        <f>IF(OR(Table1[[#This Row],[Energy Type]]="Solar",Table1[[#This Row],[Energy Type]]="Wind"),"Renewable","Non-Renewable")</f>
        <v>Renewable</v>
      </c>
      <c r="F428">
        <v>42804</v>
      </c>
      <c r="G428">
        <v>33184</v>
      </c>
      <c r="H428">
        <v>111079</v>
      </c>
      <c r="I428">
        <v>5669</v>
      </c>
      <c r="J428" s="8">
        <f>Table1[[#This Row],[Revenue (Crore ₹)]]/Table1[[#This Row],[Employees]]</f>
        <v>19.594108308343625</v>
      </c>
      <c r="K428">
        <v>2.99</v>
      </c>
      <c r="L428">
        <v>13.55</v>
      </c>
      <c r="M428">
        <v>18502</v>
      </c>
      <c r="N428">
        <v>92577</v>
      </c>
      <c r="O428">
        <v>120821</v>
      </c>
      <c r="P428">
        <v>52.21</v>
      </c>
    </row>
    <row r="429" spans="1:16" x14ac:dyDescent="0.3">
      <c r="A429">
        <v>2021</v>
      </c>
      <c r="B429" t="s">
        <v>17</v>
      </c>
      <c r="C429" t="s">
        <v>26</v>
      </c>
      <c r="D429" t="s">
        <v>32</v>
      </c>
      <c r="E429" t="str">
        <f>IF(OR(Table1[[#This Row],[Energy Type]]="Solar",Table1[[#This Row],[Energy Type]]="Wind"),"Renewable","Non-Renewable")</f>
        <v>Renewable</v>
      </c>
      <c r="F429">
        <v>106666</v>
      </c>
      <c r="G429">
        <v>103096</v>
      </c>
      <c r="H429">
        <v>21719</v>
      </c>
      <c r="I429">
        <v>5420</v>
      </c>
      <c r="J429" s="8">
        <f>Table1[[#This Row],[Revenue (Crore ₹)]]/Table1[[#This Row],[Employees]]</f>
        <v>4.0071955719557195</v>
      </c>
      <c r="K429">
        <v>15.84</v>
      </c>
      <c r="L429">
        <v>6.23</v>
      </c>
      <c r="M429">
        <v>18005</v>
      </c>
      <c r="N429">
        <v>3714</v>
      </c>
      <c r="O429">
        <v>286464</v>
      </c>
      <c r="P429">
        <v>34.549999999999997</v>
      </c>
    </row>
    <row r="430" spans="1:16" x14ac:dyDescent="0.3">
      <c r="A430">
        <v>2024</v>
      </c>
      <c r="B430" t="s">
        <v>27</v>
      </c>
      <c r="C430" t="s">
        <v>34</v>
      </c>
      <c r="D430" t="s">
        <v>25</v>
      </c>
      <c r="E430" t="str">
        <f>IF(OR(Table1[[#This Row],[Energy Type]]="Solar",Table1[[#This Row],[Energy Type]]="Wind"),"Renewable","Non-Renewable")</f>
        <v>Renewable</v>
      </c>
      <c r="F430">
        <v>137034</v>
      </c>
      <c r="G430">
        <v>50588</v>
      </c>
      <c r="H430">
        <v>135391</v>
      </c>
      <c r="I430">
        <v>7112</v>
      </c>
      <c r="J430" s="8">
        <f>Table1[[#This Row],[Revenue (Crore ₹)]]/Table1[[#This Row],[Employees]]</f>
        <v>19.036979752530932</v>
      </c>
      <c r="K430">
        <v>6.7</v>
      </c>
      <c r="L430">
        <v>2.2200000000000002</v>
      </c>
      <c r="M430">
        <v>21473</v>
      </c>
      <c r="N430">
        <v>113918</v>
      </c>
      <c r="O430">
        <v>53022</v>
      </c>
      <c r="P430">
        <v>6.11</v>
      </c>
    </row>
    <row r="431" spans="1:16" x14ac:dyDescent="0.3">
      <c r="A431">
        <v>2023</v>
      </c>
      <c r="B431" t="s">
        <v>29</v>
      </c>
      <c r="C431" t="s">
        <v>15</v>
      </c>
      <c r="D431" t="s">
        <v>16</v>
      </c>
      <c r="E431" t="str">
        <f>IF(OR(Table1[[#This Row],[Energy Type]]="Solar",Table1[[#This Row],[Energy Type]]="Wind"),"Renewable","Non-Renewable")</f>
        <v>Non-Renewable</v>
      </c>
      <c r="F431">
        <v>47158</v>
      </c>
      <c r="G431">
        <v>43745</v>
      </c>
      <c r="H431">
        <v>250880</v>
      </c>
      <c r="I431">
        <v>9595</v>
      </c>
      <c r="J431" s="8">
        <f>Table1[[#This Row],[Revenue (Crore ₹)]]/Table1[[#This Row],[Employees]]</f>
        <v>26.146951537258989</v>
      </c>
      <c r="K431">
        <v>8.61</v>
      </c>
      <c r="L431">
        <v>13.23</v>
      </c>
      <c r="M431">
        <v>2147</v>
      </c>
      <c r="N431">
        <v>248733</v>
      </c>
      <c r="O431">
        <v>273805</v>
      </c>
      <c r="P431">
        <v>59.83</v>
      </c>
    </row>
    <row r="432" spans="1:16" x14ac:dyDescent="0.3">
      <c r="A432">
        <v>2023</v>
      </c>
      <c r="B432" t="s">
        <v>29</v>
      </c>
      <c r="C432" t="s">
        <v>24</v>
      </c>
      <c r="D432" t="s">
        <v>25</v>
      </c>
      <c r="E432" t="str">
        <f>IF(OR(Table1[[#This Row],[Energy Type]]="Solar",Table1[[#This Row],[Energy Type]]="Wind"),"Renewable","Non-Renewable")</f>
        <v>Renewable</v>
      </c>
      <c r="F432">
        <v>132719</v>
      </c>
      <c r="G432">
        <v>37410</v>
      </c>
      <c r="H432">
        <v>290969</v>
      </c>
      <c r="I432">
        <v>4427</v>
      </c>
      <c r="J432" s="8">
        <f>Table1[[#This Row],[Revenue (Crore ₹)]]/Table1[[#This Row],[Employees]]</f>
        <v>65.725999548226795</v>
      </c>
      <c r="K432">
        <v>6.81</v>
      </c>
      <c r="L432">
        <v>3.17</v>
      </c>
      <c r="M432">
        <v>37095</v>
      </c>
      <c r="N432">
        <v>253874</v>
      </c>
      <c r="O432">
        <v>97555</v>
      </c>
      <c r="P432">
        <v>18.170000000000002</v>
      </c>
    </row>
    <row r="433" spans="1:16" x14ac:dyDescent="0.3">
      <c r="A433">
        <v>2021</v>
      </c>
      <c r="B433" t="s">
        <v>14</v>
      </c>
      <c r="C433" t="s">
        <v>28</v>
      </c>
      <c r="D433" t="s">
        <v>32</v>
      </c>
      <c r="E433" t="str">
        <f>IF(OR(Table1[[#This Row],[Energy Type]]="Solar",Table1[[#This Row],[Energy Type]]="Wind"),"Renewable","Non-Renewable")</f>
        <v>Renewable</v>
      </c>
      <c r="F433">
        <v>134075</v>
      </c>
      <c r="G433">
        <v>89898</v>
      </c>
      <c r="H433">
        <v>149989</v>
      </c>
      <c r="I433">
        <v>1671</v>
      </c>
      <c r="J433" s="8">
        <f>Table1[[#This Row],[Revenue (Crore ₹)]]/Table1[[#This Row],[Employees]]</f>
        <v>89.760023937761815</v>
      </c>
      <c r="K433">
        <v>8.01</v>
      </c>
      <c r="L433">
        <v>2.92</v>
      </c>
      <c r="M433">
        <v>24495</v>
      </c>
      <c r="N433">
        <v>125494</v>
      </c>
      <c r="O433">
        <v>85370</v>
      </c>
      <c r="P433">
        <v>28.59</v>
      </c>
    </row>
    <row r="434" spans="1:16" x14ac:dyDescent="0.3">
      <c r="A434">
        <v>2020</v>
      </c>
      <c r="B434" t="s">
        <v>29</v>
      </c>
      <c r="C434" t="s">
        <v>28</v>
      </c>
      <c r="D434" t="s">
        <v>22</v>
      </c>
      <c r="E434" t="str">
        <f>IF(OR(Table1[[#This Row],[Energy Type]]="Solar",Table1[[#This Row],[Energy Type]]="Wind"),"Renewable","Non-Renewable")</f>
        <v>Non-Renewable</v>
      </c>
      <c r="F434">
        <v>54449</v>
      </c>
      <c r="G434">
        <v>21115</v>
      </c>
      <c r="H434">
        <v>124570</v>
      </c>
      <c r="I434">
        <v>5873</v>
      </c>
      <c r="J434" s="8">
        <f>Table1[[#This Row],[Revenue (Crore ₹)]]/Table1[[#This Row],[Employees]]</f>
        <v>21.210624893580793</v>
      </c>
      <c r="K434">
        <v>7.31</v>
      </c>
      <c r="L434">
        <v>4.8499999999999996</v>
      </c>
      <c r="M434">
        <v>7079</v>
      </c>
      <c r="N434">
        <v>117491</v>
      </c>
      <c r="O434">
        <v>285333</v>
      </c>
      <c r="P434">
        <v>36.1</v>
      </c>
    </row>
    <row r="435" spans="1:16" x14ac:dyDescent="0.3">
      <c r="A435">
        <v>2021</v>
      </c>
      <c r="B435" t="s">
        <v>30</v>
      </c>
      <c r="C435" t="s">
        <v>21</v>
      </c>
      <c r="D435" t="s">
        <v>20</v>
      </c>
      <c r="E435" t="str">
        <f>IF(OR(Table1[[#This Row],[Energy Type]]="Solar",Table1[[#This Row],[Energy Type]]="Wind"),"Renewable","Non-Renewable")</f>
        <v>Non-Renewable</v>
      </c>
      <c r="F435">
        <v>56091</v>
      </c>
      <c r="G435">
        <v>54317</v>
      </c>
      <c r="H435">
        <v>98333</v>
      </c>
      <c r="I435">
        <v>3248</v>
      </c>
      <c r="J435" s="8">
        <f>Table1[[#This Row],[Revenue (Crore ₹)]]/Table1[[#This Row],[Employees]]</f>
        <v>30.27493842364532</v>
      </c>
      <c r="K435">
        <v>21.68</v>
      </c>
      <c r="L435">
        <v>14.48</v>
      </c>
      <c r="M435">
        <v>45302</v>
      </c>
      <c r="N435">
        <v>53031</v>
      </c>
      <c r="O435">
        <v>69326</v>
      </c>
      <c r="P435">
        <v>19.59</v>
      </c>
    </row>
    <row r="436" spans="1:16" x14ac:dyDescent="0.3">
      <c r="A436">
        <v>2020</v>
      </c>
      <c r="B436" t="s">
        <v>19</v>
      </c>
      <c r="C436" t="s">
        <v>15</v>
      </c>
      <c r="D436" t="s">
        <v>25</v>
      </c>
      <c r="E436" t="str">
        <f>IF(OR(Table1[[#This Row],[Energy Type]]="Solar",Table1[[#This Row],[Energy Type]]="Wind"),"Renewable","Non-Renewable")</f>
        <v>Renewable</v>
      </c>
      <c r="F436">
        <v>60365</v>
      </c>
      <c r="G436">
        <v>33740</v>
      </c>
      <c r="H436">
        <v>29084</v>
      </c>
      <c r="I436">
        <v>722</v>
      </c>
      <c r="J436" s="8">
        <f>Table1[[#This Row],[Revenue (Crore ₹)]]/Table1[[#This Row],[Employees]]</f>
        <v>40.282548476454295</v>
      </c>
      <c r="K436">
        <v>13.7</v>
      </c>
      <c r="L436">
        <v>14.83</v>
      </c>
      <c r="M436">
        <v>1609</v>
      </c>
      <c r="N436">
        <v>27475</v>
      </c>
      <c r="O436">
        <v>259825</v>
      </c>
      <c r="P436">
        <v>21.5</v>
      </c>
    </row>
    <row r="437" spans="1:16" x14ac:dyDescent="0.3">
      <c r="A437">
        <v>2022</v>
      </c>
      <c r="B437" t="s">
        <v>19</v>
      </c>
      <c r="C437" t="s">
        <v>28</v>
      </c>
      <c r="D437" t="s">
        <v>25</v>
      </c>
      <c r="E437" t="str">
        <f>IF(OR(Table1[[#This Row],[Energy Type]]="Solar",Table1[[#This Row],[Energy Type]]="Wind"),"Renewable","Non-Renewable")</f>
        <v>Renewable</v>
      </c>
      <c r="F437">
        <v>199565</v>
      </c>
      <c r="G437">
        <v>28526</v>
      </c>
      <c r="H437">
        <v>250161</v>
      </c>
      <c r="I437">
        <v>2229</v>
      </c>
      <c r="J437" s="8">
        <f>Table1[[#This Row],[Revenue (Crore ₹)]]/Table1[[#This Row],[Employees]]</f>
        <v>112.23014804845222</v>
      </c>
      <c r="K437">
        <v>7.42</v>
      </c>
      <c r="L437">
        <v>9.4499999999999993</v>
      </c>
      <c r="M437">
        <v>45590</v>
      </c>
      <c r="N437">
        <v>204571</v>
      </c>
      <c r="O437">
        <v>107943</v>
      </c>
      <c r="P437">
        <v>11.96</v>
      </c>
    </row>
    <row r="438" spans="1:16" x14ac:dyDescent="0.3">
      <c r="A438">
        <v>2023</v>
      </c>
      <c r="B438" t="s">
        <v>30</v>
      </c>
      <c r="C438" t="s">
        <v>33</v>
      </c>
      <c r="D438" t="s">
        <v>20</v>
      </c>
      <c r="E438" t="str">
        <f>IF(OR(Table1[[#This Row],[Energy Type]]="Solar",Table1[[#This Row],[Energy Type]]="Wind"),"Renewable","Non-Renewable")</f>
        <v>Non-Renewable</v>
      </c>
      <c r="F438">
        <v>49503</v>
      </c>
      <c r="G438">
        <v>43574</v>
      </c>
      <c r="H438">
        <v>172051</v>
      </c>
      <c r="I438">
        <v>3196</v>
      </c>
      <c r="J438" s="8">
        <f>Table1[[#This Row],[Revenue (Crore ₹)]]/Table1[[#This Row],[Employees]]</f>
        <v>53.833229036295371</v>
      </c>
      <c r="K438">
        <v>18.670000000000002</v>
      </c>
      <c r="L438">
        <v>3.24</v>
      </c>
      <c r="M438">
        <v>22133</v>
      </c>
      <c r="N438">
        <v>149918</v>
      </c>
      <c r="O438">
        <v>265630</v>
      </c>
      <c r="P438">
        <v>19.149999999999999</v>
      </c>
    </row>
    <row r="439" spans="1:16" x14ac:dyDescent="0.3">
      <c r="A439">
        <v>2024</v>
      </c>
      <c r="B439" t="s">
        <v>19</v>
      </c>
      <c r="C439" t="s">
        <v>15</v>
      </c>
      <c r="D439" t="s">
        <v>16</v>
      </c>
      <c r="E439" t="str">
        <f>IF(OR(Table1[[#This Row],[Energy Type]]="Solar",Table1[[#This Row],[Energy Type]]="Wind"),"Renewable","Non-Renewable")</f>
        <v>Non-Renewable</v>
      </c>
      <c r="F439">
        <v>127294</v>
      </c>
      <c r="G439">
        <v>12526</v>
      </c>
      <c r="H439">
        <v>56843</v>
      </c>
      <c r="I439">
        <v>901</v>
      </c>
      <c r="J439" s="8">
        <f>Table1[[#This Row],[Revenue (Crore ₹)]]/Table1[[#This Row],[Employees]]</f>
        <v>63.088790233074363</v>
      </c>
      <c r="K439">
        <v>6.29</v>
      </c>
      <c r="L439">
        <v>2.8</v>
      </c>
      <c r="M439">
        <v>8948</v>
      </c>
      <c r="N439">
        <v>47895</v>
      </c>
      <c r="O439">
        <v>87236</v>
      </c>
      <c r="P439">
        <v>70.62</v>
      </c>
    </row>
    <row r="440" spans="1:16" x14ac:dyDescent="0.3">
      <c r="A440">
        <v>2025</v>
      </c>
      <c r="B440" t="s">
        <v>19</v>
      </c>
      <c r="C440" t="s">
        <v>21</v>
      </c>
      <c r="D440" t="s">
        <v>16</v>
      </c>
      <c r="E440" t="str">
        <f>IF(OR(Table1[[#This Row],[Energy Type]]="Solar",Table1[[#This Row],[Energy Type]]="Wind"),"Renewable","Non-Renewable")</f>
        <v>Non-Renewable</v>
      </c>
      <c r="F440">
        <v>63592</v>
      </c>
      <c r="G440">
        <v>37265</v>
      </c>
      <c r="H440">
        <v>151809</v>
      </c>
      <c r="I440">
        <v>4481</v>
      </c>
      <c r="J440" s="8">
        <f>Table1[[#This Row],[Revenue (Crore ₹)]]/Table1[[#This Row],[Employees]]</f>
        <v>33.878375362642267</v>
      </c>
      <c r="K440">
        <v>6</v>
      </c>
      <c r="L440">
        <v>14.92</v>
      </c>
      <c r="M440">
        <v>46980</v>
      </c>
      <c r="N440">
        <v>104829</v>
      </c>
      <c r="O440">
        <v>14219</v>
      </c>
      <c r="P440">
        <v>20.76</v>
      </c>
    </row>
    <row r="441" spans="1:16" x14ac:dyDescent="0.3">
      <c r="A441">
        <v>2021</v>
      </c>
      <c r="B441" t="s">
        <v>23</v>
      </c>
      <c r="C441" t="s">
        <v>34</v>
      </c>
      <c r="D441" t="s">
        <v>20</v>
      </c>
      <c r="E441" t="str">
        <f>IF(OR(Table1[[#This Row],[Energy Type]]="Solar",Table1[[#This Row],[Energy Type]]="Wind"),"Renewable","Non-Renewable")</f>
        <v>Non-Renewable</v>
      </c>
      <c r="F441">
        <v>145896</v>
      </c>
      <c r="G441">
        <v>98207</v>
      </c>
      <c r="H441">
        <v>216179</v>
      </c>
      <c r="I441">
        <v>3518</v>
      </c>
      <c r="J441" s="8">
        <f>Table1[[#This Row],[Revenue (Crore ₹)]]/Table1[[#This Row],[Employees]]</f>
        <v>61.449403069926092</v>
      </c>
      <c r="K441">
        <v>4.3099999999999996</v>
      </c>
      <c r="L441">
        <v>14.78</v>
      </c>
      <c r="M441">
        <v>49901</v>
      </c>
      <c r="N441">
        <v>166278</v>
      </c>
      <c r="O441">
        <v>246024</v>
      </c>
      <c r="P441">
        <v>69.069999999999993</v>
      </c>
    </row>
    <row r="442" spans="1:16" x14ac:dyDescent="0.3">
      <c r="A442">
        <v>2022</v>
      </c>
      <c r="B442" t="s">
        <v>14</v>
      </c>
      <c r="C442" t="s">
        <v>24</v>
      </c>
      <c r="D442" t="s">
        <v>16</v>
      </c>
      <c r="E442" t="str">
        <f>IF(OR(Table1[[#This Row],[Energy Type]]="Solar",Table1[[#This Row],[Energy Type]]="Wind"),"Renewable","Non-Renewable")</f>
        <v>Non-Renewable</v>
      </c>
      <c r="F442">
        <v>112498</v>
      </c>
      <c r="G442">
        <v>21397</v>
      </c>
      <c r="H442">
        <v>254391</v>
      </c>
      <c r="I442">
        <v>9673</v>
      </c>
      <c r="J442" s="8">
        <f>Table1[[#This Row],[Revenue (Crore ₹)]]/Table1[[#This Row],[Employees]]</f>
        <v>26.299079913160345</v>
      </c>
      <c r="K442">
        <v>10.91</v>
      </c>
      <c r="L442">
        <v>10.48</v>
      </c>
      <c r="M442">
        <v>39130</v>
      </c>
      <c r="N442">
        <v>215261</v>
      </c>
      <c r="O442">
        <v>265995</v>
      </c>
      <c r="P442">
        <v>40.14</v>
      </c>
    </row>
    <row r="443" spans="1:16" x14ac:dyDescent="0.3">
      <c r="A443">
        <v>2020</v>
      </c>
      <c r="B443" t="s">
        <v>29</v>
      </c>
      <c r="C443" t="s">
        <v>21</v>
      </c>
      <c r="D443" t="s">
        <v>32</v>
      </c>
      <c r="E443" t="str">
        <f>IF(OR(Table1[[#This Row],[Energy Type]]="Solar",Table1[[#This Row],[Energy Type]]="Wind"),"Renewable","Non-Renewable")</f>
        <v>Renewable</v>
      </c>
      <c r="F443">
        <v>100305</v>
      </c>
      <c r="G443">
        <v>50548</v>
      </c>
      <c r="H443">
        <v>275548</v>
      </c>
      <c r="I443">
        <v>6114</v>
      </c>
      <c r="J443" s="8">
        <f>Table1[[#This Row],[Revenue (Crore ₹)]]/Table1[[#This Row],[Employees]]</f>
        <v>45.068367680732742</v>
      </c>
      <c r="K443">
        <v>22.38</v>
      </c>
      <c r="L443">
        <v>11.68</v>
      </c>
      <c r="M443">
        <v>188</v>
      </c>
      <c r="N443">
        <v>275360</v>
      </c>
      <c r="O443">
        <v>204456</v>
      </c>
      <c r="P443">
        <v>38.14</v>
      </c>
    </row>
    <row r="444" spans="1:16" x14ac:dyDescent="0.3">
      <c r="A444">
        <v>2022</v>
      </c>
      <c r="B444" t="s">
        <v>29</v>
      </c>
      <c r="C444" t="s">
        <v>34</v>
      </c>
      <c r="D444" t="s">
        <v>32</v>
      </c>
      <c r="E444" t="str">
        <f>IF(OR(Table1[[#This Row],[Energy Type]]="Solar",Table1[[#This Row],[Energy Type]]="Wind"),"Renewable","Non-Renewable")</f>
        <v>Renewable</v>
      </c>
      <c r="F444">
        <v>189544</v>
      </c>
      <c r="G444">
        <v>103677</v>
      </c>
      <c r="H444">
        <v>200743</v>
      </c>
      <c r="I444">
        <v>8598</v>
      </c>
      <c r="J444" s="8">
        <f>Table1[[#This Row],[Revenue (Crore ₹)]]/Table1[[#This Row],[Employees]]</f>
        <v>23.347638985810654</v>
      </c>
      <c r="K444">
        <v>4.2300000000000004</v>
      </c>
      <c r="L444">
        <v>4.38</v>
      </c>
      <c r="M444">
        <v>6720</v>
      </c>
      <c r="N444">
        <v>194023</v>
      </c>
      <c r="O444">
        <v>60713</v>
      </c>
      <c r="P444">
        <v>43</v>
      </c>
    </row>
    <row r="445" spans="1:16" x14ac:dyDescent="0.3">
      <c r="A445">
        <v>2022</v>
      </c>
      <c r="B445" t="s">
        <v>14</v>
      </c>
      <c r="C445" t="s">
        <v>26</v>
      </c>
      <c r="D445" t="s">
        <v>25</v>
      </c>
      <c r="E445" t="str">
        <f>IF(OR(Table1[[#This Row],[Energy Type]]="Solar",Table1[[#This Row],[Energy Type]]="Wind"),"Renewable","Non-Renewable")</f>
        <v>Renewable</v>
      </c>
      <c r="F445">
        <v>36283</v>
      </c>
      <c r="G445">
        <v>35279</v>
      </c>
      <c r="H445">
        <v>184237</v>
      </c>
      <c r="I445">
        <v>4225</v>
      </c>
      <c r="J445" s="8">
        <f>Table1[[#This Row],[Revenue (Crore ₹)]]/Table1[[#This Row],[Employees]]</f>
        <v>43.606390532544381</v>
      </c>
      <c r="K445">
        <v>23.62</v>
      </c>
      <c r="L445">
        <v>10.43</v>
      </c>
      <c r="M445">
        <v>12340</v>
      </c>
      <c r="N445">
        <v>171897</v>
      </c>
      <c r="O445">
        <v>178983</v>
      </c>
      <c r="P445">
        <v>27.33</v>
      </c>
    </row>
    <row r="446" spans="1:16" x14ac:dyDescent="0.3">
      <c r="A446">
        <v>2023</v>
      </c>
      <c r="B446" t="s">
        <v>27</v>
      </c>
      <c r="C446" t="s">
        <v>18</v>
      </c>
      <c r="D446" t="s">
        <v>20</v>
      </c>
      <c r="E446" t="str">
        <f>IF(OR(Table1[[#This Row],[Energy Type]]="Solar",Table1[[#This Row],[Energy Type]]="Wind"),"Renewable","Non-Renewable")</f>
        <v>Non-Renewable</v>
      </c>
      <c r="F446">
        <v>197888</v>
      </c>
      <c r="G446">
        <v>39092</v>
      </c>
      <c r="H446">
        <v>31521</v>
      </c>
      <c r="I446">
        <v>6600</v>
      </c>
      <c r="J446" s="8">
        <f>Table1[[#This Row],[Revenue (Crore ₹)]]/Table1[[#This Row],[Employees]]</f>
        <v>4.7759090909090913</v>
      </c>
      <c r="K446">
        <v>6.21</v>
      </c>
      <c r="L446">
        <v>4.96</v>
      </c>
      <c r="M446">
        <v>17143</v>
      </c>
      <c r="N446">
        <v>14378</v>
      </c>
      <c r="O446">
        <v>52926</v>
      </c>
      <c r="P446">
        <v>16.670000000000002</v>
      </c>
    </row>
    <row r="447" spans="1:16" x14ac:dyDescent="0.3">
      <c r="A447">
        <v>2024</v>
      </c>
      <c r="B447" t="s">
        <v>19</v>
      </c>
      <c r="C447" t="s">
        <v>15</v>
      </c>
      <c r="D447" t="s">
        <v>25</v>
      </c>
      <c r="E447" t="str">
        <f>IF(OR(Table1[[#This Row],[Energy Type]]="Solar",Table1[[#This Row],[Energy Type]]="Wind"),"Renewable","Non-Renewable")</f>
        <v>Renewable</v>
      </c>
      <c r="F447">
        <v>165275</v>
      </c>
      <c r="G447">
        <v>80265</v>
      </c>
      <c r="H447">
        <v>46699</v>
      </c>
      <c r="I447">
        <v>8716</v>
      </c>
      <c r="J447" s="8">
        <f>Table1[[#This Row],[Revenue (Crore ₹)]]/Table1[[#This Row],[Employees]]</f>
        <v>5.3578476365305185</v>
      </c>
      <c r="K447">
        <v>18.829999999999998</v>
      </c>
      <c r="L447">
        <v>10.32</v>
      </c>
      <c r="M447">
        <v>25293</v>
      </c>
      <c r="N447">
        <v>21406</v>
      </c>
      <c r="O447">
        <v>38784</v>
      </c>
      <c r="P447">
        <v>18</v>
      </c>
    </row>
    <row r="448" spans="1:16" x14ac:dyDescent="0.3">
      <c r="A448">
        <v>2025</v>
      </c>
      <c r="B448" t="s">
        <v>17</v>
      </c>
      <c r="C448" t="s">
        <v>26</v>
      </c>
      <c r="D448" t="s">
        <v>20</v>
      </c>
      <c r="E448" t="str">
        <f>IF(OR(Table1[[#This Row],[Energy Type]]="Solar",Table1[[#This Row],[Energy Type]]="Wind"),"Renewable","Non-Renewable")</f>
        <v>Non-Renewable</v>
      </c>
      <c r="F448">
        <v>53771</v>
      </c>
      <c r="G448">
        <v>49569</v>
      </c>
      <c r="H448">
        <v>105559</v>
      </c>
      <c r="I448">
        <v>1302</v>
      </c>
      <c r="J448" s="8">
        <f>Table1[[#This Row],[Revenue (Crore ₹)]]/Table1[[#This Row],[Employees]]</f>
        <v>81.074500768049148</v>
      </c>
      <c r="K448">
        <v>23.03</v>
      </c>
      <c r="L448">
        <v>2.93</v>
      </c>
      <c r="M448">
        <v>40174</v>
      </c>
      <c r="N448">
        <v>65385</v>
      </c>
      <c r="O448">
        <v>278115</v>
      </c>
      <c r="P448">
        <v>72.400000000000006</v>
      </c>
    </row>
    <row r="449" spans="1:16" x14ac:dyDescent="0.3">
      <c r="A449">
        <v>2024</v>
      </c>
      <c r="B449" t="s">
        <v>17</v>
      </c>
      <c r="C449" t="s">
        <v>24</v>
      </c>
      <c r="D449" t="s">
        <v>22</v>
      </c>
      <c r="E449" t="str">
        <f>IF(OR(Table1[[#This Row],[Energy Type]]="Solar",Table1[[#This Row],[Energy Type]]="Wind"),"Renewable","Non-Renewable")</f>
        <v>Non-Renewable</v>
      </c>
      <c r="F449">
        <v>138695</v>
      </c>
      <c r="G449">
        <v>37639</v>
      </c>
      <c r="H449">
        <v>139780</v>
      </c>
      <c r="I449">
        <v>2932</v>
      </c>
      <c r="J449" s="8">
        <f>Table1[[#This Row],[Revenue (Crore ₹)]]/Table1[[#This Row],[Employees]]</f>
        <v>47.67394270122783</v>
      </c>
      <c r="K449">
        <v>12.16</v>
      </c>
      <c r="L449">
        <v>6.25</v>
      </c>
      <c r="M449">
        <v>16488</v>
      </c>
      <c r="N449">
        <v>123292</v>
      </c>
      <c r="O449">
        <v>286769</v>
      </c>
      <c r="P449">
        <v>62.13</v>
      </c>
    </row>
    <row r="450" spans="1:16" x14ac:dyDescent="0.3">
      <c r="A450">
        <v>2020</v>
      </c>
      <c r="B450" t="s">
        <v>29</v>
      </c>
      <c r="C450" t="s">
        <v>24</v>
      </c>
      <c r="D450" t="s">
        <v>25</v>
      </c>
      <c r="E450" t="str">
        <f>IF(OR(Table1[[#This Row],[Energy Type]]="Solar",Table1[[#This Row],[Energy Type]]="Wind"),"Renewable","Non-Renewable")</f>
        <v>Renewable</v>
      </c>
      <c r="F450">
        <v>22220</v>
      </c>
      <c r="G450">
        <v>7325</v>
      </c>
      <c r="H450">
        <v>19341</v>
      </c>
      <c r="I450">
        <v>2295</v>
      </c>
      <c r="J450" s="8">
        <f>Table1[[#This Row],[Revenue (Crore ₹)]]/Table1[[#This Row],[Employees]]</f>
        <v>8.4274509803921571</v>
      </c>
      <c r="K450">
        <v>16.309999999999999</v>
      </c>
      <c r="L450">
        <v>14.77</v>
      </c>
      <c r="M450">
        <v>30595</v>
      </c>
      <c r="N450">
        <v>-11254</v>
      </c>
      <c r="O450">
        <v>72157</v>
      </c>
      <c r="P450">
        <v>45.38</v>
      </c>
    </row>
    <row r="451" spans="1:16" x14ac:dyDescent="0.3">
      <c r="A451">
        <v>2024</v>
      </c>
      <c r="B451" t="s">
        <v>14</v>
      </c>
      <c r="C451" t="s">
        <v>15</v>
      </c>
      <c r="D451" t="s">
        <v>22</v>
      </c>
      <c r="E451" t="str">
        <f>IF(OR(Table1[[#This Row],[Energy Type]]="Solar",Table1[[#This Row],[Energy Type]]="Wind"),"Renewable","Non-Renewable")</f>
        <v>Non-Renewable</v>
      </c>
      <c r="F451">
        <v>181333</v>
      </c>
      <c r="G451">
        <v>100550</v>
      </c>
      <c r="H451">
        <v>296468</v>
      </c>
      <c r="I451">
        <v>594</v>
      </c>
      <c r="J451" s="8">
        <f>Table1[[#This Row],[Revenue (Crore ₹)]]/Table1[[#This Row],[Employees]]</f>
        <v>499.10437710437708</v>
      </c>
      <c r="K451">
        <v>12.16</v>
      </c>
      <c r="L451">
        <v>5.2</v>
      </c>
      <c r="M451">
        <v>37356</v>
      </c>
      <c r="N451">
        <v>259112</v>
      </c>
      <c r="O451">
        <v>178319</v>
      </c>
      <c r="P451">
        <v>28.38</v>
      </c>
    </row>
    <row r="452" spans="1:16" x14ac:dyDescent="0.3">
      <c r="A452">
        <v>2023</v>
      </c>
      <c r="B452" t="s">
        <v>23</v>
      </c>
      <c r="C452" t="s">
        <v>26</v>
      </c>
      <c r="D452" t="s">
        <v>16</v>
      </c>
      <c r="E452" t="str">
        <f>IF(OR(Table1[[#This Row],[Energy Type]]="Solar",Table1[[#This Row],[Energy Type]]="Wind"),"Renewable","Non-Renewable")</f>
        <v>Non-Renewable</v>
      </c>
      <c r="F452">
        <v>5993</v>
      </c>
      <c r="G452">
        <v>2038</v>
      </c>
      <c r="H452">
        <v>121261</v>
      </c>
      <c r="I452">
        <v>5003</v>
      </c>
      <c r="J452" s="8">
        <f>Table1[[#This Row],[Revenue (Crore ₹)]]/Table1[[#This Row],[Employees]]</f>
        <v>24.237657405556664</v>
      </c>
      <c r="K452">
        <v>12.9</v>
      </c>
      <c r="L452">
        <v>4.9000000000000004</v>
      </c>
      <c r="M452">
        <v>9519</v>
      </c>
      <c r="N452">
        <v>111742</v>
      </c>
      <c r="O452">
        <v>154830</v>
      </c>
      <c r="P452">
        <v>76.88</v>
      </c>
    </row>
    <row r="453" spans="1:16" x14ac:dyDescent="0.3">
      <c r="A453">
        <v>2023</v>
      </c>
      <c r="B453" t="s">
        <v>27</v>
      </c>
      <c r="C453" t="s">
        <v>28</v>
      </c>
      <c r="D453" t="s">
        <v>32</v>
      </c>
      <c r="E453" t="str">
        <f>IF(OR(Table1[[#This Row],[Energy Type]]="Solar",Table1[[#This Row],[Energy Type]]="Wind"),"Renewable","Non-Renewable")</f>
        <v>Renewable</v>
      </c>
      <c r="F453">
        <v>41092</v>
      </c>
      <c r="G453">
        <v>35374</v>
      </c>
      <c r="H453">
        <v>211014</v>
      </c>
      <c r="I453">
        <v>1703</v>
      </c>
      <c r="J453" s="8">
        <f>Table1[[#This Row],[Revenue (Crore ₹)]]/Table1[[#This Row],[Employees]]</f>
        <v>123.90722254844393</v>
      </c>
      <c r="K453">
        <v>16.96</v>
      </c>
      <c r="L453">
        <v>9.36</v>
      </c>
      <c r="M453">
        <v>27574</v>
      </c>
      <c r="N453">
        <v>183440</v>
      </c>
      <c r="O453">
        <v>237468</v>
      </c>
      <c r="P453">
        <v>10.84</v>
      </c>
    </row>
    <row r="454" spans="1:16" x14ac:dyDescent="0.3">
      <c r="A454">
        <v>2025</v>
      </c>
      <c r="B454" t="s">
        <v>31</v>
      </c>
      <c r="C454" t="s">
        <v>24</v>
      </c>
      <c r="D454" t="s">
        <v>16</v>
      </c>
      <c r="E454" t="str">
        <f>IF(OR(Table1[[#This Row],[Energy Type]]="Solar",Table1[[#This Row],[Energy Type]]="Wind"),"Renewable","Non-Renewable")</f>
        <v>Non-Renewable</v>
      </c>
      <c r="F454">
        <v>9957</v>
      </c>
      <c r="G454">
        <v>7299</v>
      </c>
      <c r="H454">
        <v>183612</v>
      </c>
      <c r="I454">
        <v>3887</v>
      </c>
      <c r="J454" s="8">
        <f>Table1[[#This Row],[Revenue (Crore ₹)]]/Table1[[#This Row],[Employees]]</f>
        <v>47.237458193979933</v>
      </c>
      <c r="K454">
        <v>23.87</v>
      </c>
      <c r="L454">
        <v>13.51</v>
      </c>
      <c r="M454">
        <v>14672</v>
      </c>
      <c r="N454">
        <v>168940</v>
      </c>
      <c r="O454">
        <v>93967</v>
      </c>
      <c r="P454">
        <v>20.62</v>
      </c>
    </row>
    <row r="455" spans="1:16" x14ac:dyDescent="0.3">
      <c r="A455">
        <v>2021</v>
      </c>
      <c r="B455" t="s">
        <v>17</v>
      </c>
      <c r="C455" t="s">
        <v>26</v>
      </c>
      <c r="D455" t="s">
        <v>20</v>
      </c>
      <c r="E455" t="str">
        <f>IF(OR(Table1[[#This Row],[Energy Type]]="Solar",Table1[[#This Row],[Energy Type]]="Wind"),"Renewable","Non-Renewable")</f>
        <v>Non-Renewable</v>
      </c>
      <c r="F455">
        <v>22057</v>
      </c>
      <c r="G455">
        <v>5492</v>
      </c>
      <c r="H455">
        <v>197723</v>
      </c>
      <c r="I455">
        <v>7594</v>
      </c>
      <c r="J455" s="8">
        <f>Table1[[#This Row],[Revenue (Crore ₹)]]/Table1[[#This Row],[Employees]]</f>
        <v>26.036739531208848</v>
      </c>
      <c r="K455">
        <v>3.82</v>
      </c>
      <c r="L455">
        <v>3.19</v>
      </c>
      <c r="M455">
        <v>42180</v>
      </c>
      <c r="N455">
        <v>155543</v>
      </c>
      <c r="O455">
        <v>247214</v>
      </c>
      <c r="P455">
        <v>69.739999999999995</v>
      </c>
    </row>
    <row r="456" spans="1:16" x14ac:dyDescent="0.3">
      <c r="A456">
        <v>2024</v>
      </c>
      <c r="B456" t="s">
        <v>17</v>
      </c>
      <c r="C456" t="s">
        <v>33</v>
      </c>
      <c r="D456" t="s">
        <v>20</v>
      </c>
      <c r="E456" t="str">
        <f>IF(OR(Table1[[#This Row],[Energy Type]]="Solar",Table1[[#This Row],[Energy Type]]="Wind"),"Renewable","Non-Renewable")</f>
        <v>Non-Renewable</v>
      </c>
      <c r="F456">
        <v>146580</v>
      </c>
      <c r="G456">
        <v>84187</v>
      </c>
      <c r="H456">
        <v>12936</v>
      </c>
      <c r="I456">
        <v>6284</v>
      </c>
      <c r="J456" s="8">
        <f>Table1[[#This Row],[Revenue (Crore ₹)]]/Table1[[#This Row],[Employees]]</f>
        <v>2.0585614258434117</v>
      </c>
      <c r="K456">
        <v>2.84</v>
      </c>
      <c r="L456">
        <v>11.99</v>
      </c>
      <c r="M456">
        <v>2693</v>
      </c>
      <c r="N456">
        <v>10243</v>
      </c>
      <c r="O456">
        <v>191931</v>
      </c>
      <c r="P456">
        <v>49.13</v>
      </c>
    </row>
    <row r="457" spans="1:16" x14ac:dyDescent="0.3">
      <c r="A457">
        <v>2020</v>
      </c>
      <c r="B457" t="s">
        <v>30</v>
      </c>
      <c r="C457" t="s">
        <v>34</v>
      </c>
      <c r="D457" t="s">
        <v>20</v>
      </c>
      <c r="E457" t="str">
        <f>IF(OR(Table1[[#This Row],[Energy Type]]="Solar",Table1[[#This Row],[Energy Type]]="Wind"),"Renewable","Non-Renewable")</f>
        <v>Non-Renewable</v>
      </c>
      <c r="F457">
        <v>13101</v>
      </c>
      <c r="G457">
        <v>10004</v>
      </c>
      <c r="H457">
        <v>112741</v>
      </c>
      <c r="I457">
        <v>6173</v>
      </c>
      <c r="J457" s="8">
        <f>Table1[[#This Row],[Revenue (Crore ₹)]]/Table1[[#This Row],[Employees]]</f>
        <v>18.263567147254172</v>
      </c>
      <c r="K457">
        <v>23.29</v>
      </c>
      <c r="L457">
        <v>9.85</v>
      </c>
      <c r="M457">
        <v>15201</v>
      </c>
      <c r="N457">
        <v>97540</v>
      </c>
      <c r="O457">
        <v>290921</v>
      </c>
      <c r="P457">
        <v>27.84</v>
      </c>
    </row>
    <row r="458" spans="1:16" x14ac:dyDescent="0.3">
      <c r="A458">
        <v>2024</v>
      </c>
      <c r="B458" t="s">
        <v>23</v>
      </c>
      <c r="C458" t="s">
        <v>34</v>
      </c>
      <c r="D458" t="s">
        <v>16</v>
      </c>
      <c r="E458" t="str">
        <f>IF(OR(Table1[[#This Row],[Energy Type]]="Solar",Table1[[#This Row],[Energy Type]]="Wind"),"Renewable","Non-Renewable")</f>
        <v>Non-Renewable</v>
      </c>
      <c r="F458">
        <v>196308</v>
      </c>
      <c r="G458">
        <v>98858</v>
      </c>
      <c r="H458">
        <v>39254</v>
      </c>
      <c r="I458">
        <v>7089</v>
      </c>
      <c r="J458" s="8">
        <f>Table1[[#This Row],[Revenue (Crore ₹)]]/Table1[[#This Row],[Employees]]</f>
        <v>5.5373113274086609</v>
      </c>
      <c r="K458">
        <v>21.48</v>
      </c>
      <c r="L458">
        <v>8.2100000000000009</v>
      </c>
      <c r="M458">
        <v>26626</v>
      </c>
      <c r="N458">
        <v>12628</v>
      </c>
      <c r="O458">
        <v>18087</v>
      </c>
      <c r="P458">
        <v>9.81</v>
      </c>
    </row>
    <row r="459" spans="1:16" x14ac:dyDescent="0.3">
      <c r="A459">
        <v>2025</v>
      </c>
      <c r="B459" t="s">
        <v>14</v>
      </c>
      <c r="C459" t="s">
        <v>28</v>
      </c>
      <c r="D459" t="s">
        <v>25</v>
      </c>
      <c r="E459" t="str">
        <f>IF(OR(Table1[[#This Row],[Energy Type]]="Solar",Table1[[#This Row],[Energy Type]]="Wind"),"Renewable","Non-Renewable")</f>
        <v>Renewable</v>
      </c>
      <c r="F459">
        <v>181949</v>
      </c>
      <c r="G459">
        <v>136051</v>
      </c>
      <c r="H459">
        <v>140491</v>
      </c>
      <c r="I459">
        <v>6337</v>
      </c>
      <c r="J459" s="8">
        <f>Table1[[#This Row],[Revenue (Crore ₹)]]/Table1[[#This Row],[Employees]]</f>
        <v>22.169954237020672</v>
      </c>
      <c r="K459">
        <v>17.02</v>
      </c>
      <c r="L459">
        <v>5.88</v>
      </c>
      <c r="M459">
        <v>35894</v>
      </c>
      <c r="N459">
        <v>104597</v>
      </c>
      <c r="O459">
        <v>169454</v>
      </c>
      <c r="P459">
        <v>5.31</v>
      </c>
    </row>
    <row r="460" spans="1:16" x14ac:dyDescent="0.3">
      <c r="A460">
        <v>2022</v>
      </c>
      <c r="B460" t="s">
        <v>17</v>
      </c>
      <c r="C460" t="s">
        <v>15</v>
      </c>
      <c r="D460" t="s">
        <v>25</v>
      </c>
      <c r="E460" t="str">
        <f>IF(OR(Table1[[#This Row],[Energy Type]]="Solar",Table1[[#This Row],[Energy Type]]="Wind"),"Renewable","Non-Renewable")</f>
        <v>Renewable</v>
      </c>
      <c r="F460">
        <v>115587</v>
      </c>
      <c r="G460">
        <v>99192</v>
      </c>
      <c r="H460">
        <v>254154</v>
      </c>
      <c r="I460">
        <v>9262</v>
      </c>
      <c r="J460" s="8">
        <f>Table1[[#This Row],[Revenue (Crore ₹)]]/Table1[[#This Row],[Employees]]</f>
        <v>27.44050960915569</v>
      </c>
      <c r="K460">
        <v>2.85</v>
      </c>
      <c r="L460">
        <v>1.66</v>
      </c>
      <c r="M460">
        <v>19170</v>
      </c>
      <c r="N460">
        <v>234984</v>
      </c>
      <c r="O460">
        <v>66676</v>
      </c>
      <c r="P460">
        <v>40.75</v>
      </c>
    </row>
    <row r="461" spans="1:16" x14ac:dyDescent="0.3">
      <c r="A461">
        <v>2020</v>
      </c>
      <c r="B461" t="s">
        <v>19</v>
      </c>
      <c r="C461" t="s">
        <v>34</v>
      </c>
      <c r="D461" t="s">
        <v>22</v>
      </c>
      <c r="E461" t="str">
        <f>IF(OR(Table1[[#This Row],[Energy Type]]="Solar",Table1[[#This Row],[Energy Type]]="Wind"),"Renewable","Non-Renewable")</f>
        <v>Non-Renewable</v>
      </c>
      <c r="F461">
        <v>14086</v>
      </c>
      <c r="G461">
        <v>11238</v>
      </c>
      <c r="H461">
        <v>115731</v>
      </c>
      <c r="I461">
        <v>1569</v>
      </c>
      <c r="J461" s="8">
        <f>Table1[[#This Row],[Revenue (Crore ₹)]]/Table1[[#This Row],[Employees]]</f>
        <v>73.760994263862329</v>
      </c>
      <c r="K461">
        <v>14.53</v>
      </c>
      <c r="L461">
        <v>5.0199999999999996</v>
      </c>
      <c r="M461">
        <v>39220</v>
      </c>
      <c r="N461">
        <v>76511</v>
      </c>
      <c r="O461">
        <v>265354</v>
      </c>
      <c r="P461">
        <v>76.55</v>
      </c>
    </row>
    <row r="462" spans="1:16" x14ac:dyDescent="0.3">
      <c r="A462">
        <v>2023</v>
      </c>
      <c r="B462" t="s">
        <v>19</v>
      </c>
      <c r="C462" t="s">
        <v>15</v>
      </c>
      <c r="D462" t="s">
        <v>22</v>
      </c>
      <c r="E462" t="str">
        <f>IF(OR(Table1[[#This Row],[Energy Type]]="Solar",Table1[[#This Row],[Energy Type]]="Wind"),"Renewable","Non-Renewable")</f>
        <v>Non-Renewable</v>
      </c>
      <c r="F462">
        <v>18244</v>
      </c>
      <c r="G462">
        <v>9103</v>
      </c>
      <c r="H462">
        <v>102347</v>
      </c>
      <c r="I462">
        <v>5786</v>
      </c>
      <c r="J462" s="8">
        <f>Table1[[#This Row],[Revenue (Crore ₹)]]/Table1[[#This Row],[Employees]]</f>
        <v>17.688731420670585</v>
      </c>
      <c r="K462">
        <v>13.64</v>
      </c>
      <c r="L462">
        <v>9.0399999999999991</v>
      </c>
      <c r="M462">
        <v>7791</v>
      </c>
      <c r="N462">
        <v>94556</v>
      </c>
      <c r="O462">
        <v>296060</v>
      </c>
      <c r="P462">
        <v>31.26</v>
      </c>
    </row>
    <row r="463" spans="1:16" x14ac:dyDescent="0.3">
      <c r="A463">
        <v>2020</v>
      </c>
      <c r="B463" t="s">
        <v>23</v>
      </c>
      <c r="C463" t="s">
        <v>15</v>
      </c>
      <c r="D463" t="s">
        <v>16</v>
      </c>
      <c r="E463" t="str">
        <f>IF(OR(Table1[[#This Row],[Energy Type]]="Solar",Table1[[#This Row],[Energy Type]]="Wind"),"Renewable","Non-Renewable")</f>
        <v>Non-Renewable</v>
      </c>
      <c r="F463">
        <v>128227</v>
      </c>
      <c r="G463">
        <v>23598</v>
      </c>
      <c r="H463">
        <v>85805</v>
      </c>
      <c r="I463">
        <v>2386</v>
      </c>
      <c r="J463" s="8">
        <f>Table1[[#This Row],[Revenue (Crore ₹)]]/Table1[[#This Row],[Employees]]</f>
        <v>35.961860854987428</v>
      </c>
      <c r="K463">
        <v>8.5299999999999994</v>
      </c>
      <c r="L463">
        <v>12.78</v>
      </c>
      <c r="M463">
        <v>18549</v>
      </c>
      <c r="N463">
        <v>67256</v>
      </c>
      <c r="O463">
        <v>77486</v>
      </c>
      <c r="P463">
        <v>52.52</v>
      </c>
    </row>
    <row r="464" spans="1:16" x14ac:dyDescent="0.3">
      <c r="A464">
        <v>2025</v>
      </c>
      <c r="B464" t="s">
        <v>23</v>
      </c>
      <c r="C464" t="s">
        <v>26</v>
      </c>
      <c r="D464" t="s">
        <v>20</v>
      </c>
      <c r="E464" t="str">
        <f>IF(OR(Table1[[#This Row],[Energy Type]]="Solar",Table1[[#This Row],[Energy Type]]="Wind"),"Renewable","Non-Renewable")</f>
        <v>Non-Renewable</v>
      </c>
      <c r="F464">
        <v>162804</v>
      </c>
      <c r="G464">
        <v>128016</v>
      </c>
      <c r="H464">
        <v>209055</v>
      </c>
      <c r="I464">
        <v>2447</v>
      </c>
      <c r="J464" s="8">
        <f>Table1[[#This Row],[Revenue (Crore ₹)]]/Table1[[#This Row],[Employees]]</f>
        <v>85.433183489987741</v>
      </c>
      <c r="K464">
        <v>10.7</v>
      </c>
      <c r="L464">
        <v>6.42</v>
      </c>
      <c r="M464">
        <v>46721</v>
      </c>
      <c r="N464">
        <v>162334</v>
      </c>
      <c r="O464">
        <v>93021</v>
      </c>
      <c r="P464">
        <v>44.41</v>
      </c>
    </row>
    <row r="465" spans="1:16" x14ac:dyDescent="0.3">
      <c r="A465">
        <v>2024</v>
      </c>
      <c r="B465" t="s">
        <v>19</v>
      </c>
      <c r="C465" t="s">
        <v>33</v>
      </c>
      <c r="D465" t="s">
        <v>32</v>
      </c>
      <c r="E465" t="str">
        <f>IF(OR(Table1[[#This Row],[Energy Type]]="Solar",Table1[[#This Row],[Energy Type]]="Wind"),"Renewable","Non-Renewable")</f>
        <v>Renewable</v>
      </c>
      <c r="F465">
        <v>195787</v>
      </c>
      <c r="G465">
        <v>132775</v>
      </c>
      <c r="H465">
        <v>214658</v>
      </c>
      <c r="I465">
        <v>3625</v>
      </c>
      <c r="J465" s="8">
        <f>Table1[[#This Row],[Revenue (Crore ₹)]]/Table1[[#This Row],[Employees]]</f>
        <v>59.216000000000001</v>
      </c>
      <c r="K465">
        <v>19.14</v>
      </c>
      <c r="L465">
        <v>6.2</v>
      </c>
      <c r="M465">
        <v>35381</v>
      </c>
      <c r="N465">
        <v>179277</v>
      </c>
      <c r="O465">
        <v>150230</v>
      </c>
      <c r="P465">
        <v>35.33</v>
      </c>
    </row>
    <row r="466" spans="1:16" x14ac:dyDescent="0.3">
      <c r="A466">
        <v>2024</v>
      </c>
      <c r="B466" t="s">
        <v>31</v>
      </c>
      <c r="C466" t="s">
        <v>21</v>
      </c>
      <c r="D466" t="s">
        <v>22</v>
      </c>
      <c r="E466" t="str">
        <f>IF(OR(Table1[[#This Row],[Energy Type]]="Solar",Table1[[#This Row],[Energy Type]]="Wind"),"Renewable","Non-Renewable")</f>
        <v>Non-Renewable</v>
      </c>
      <c r="F466">
        <v>118580</v>
      </c>
      <c r="G466">
        <v>109510</v>
      </c>
      <c r="H466">
        <v>256083</v>
      </c>
      <c r="I466">
        <v>5422</v>
      </c>
      <c r="J466" s="8">
        <f>Table1[[#This Row],[Revenue (Crore ₹)]]/Table1[[#This Row],[Employees]]</f>
        <v>47.230357801549246</v>
      </c>
      <c r="K466">
        <v>18.489999999999998</v>
      </c>
      <c r="L466">
        <v>14.05</v>
      </c>
      <c r="M466">
        <v>9178</v>
      </c>
      <c r="N466">
        <v>246905</v>
      </c>
      <c r="O466">
        <v>111847</v>
      </c>
      <c r="P466">
        <v>64.12</v>
      </c>
    </row>
    <row r="467" spans="1:16" x14ac:dyDescent="0.3">
      <c r="A467">
        <v>2023</v>
      </c>
      <c r="B467" t="s">
        <v>27</v>
      </c>
      <c r="C467" t="s">
        <v>26</v>
      </c>
      <c r="D467" t="s">
        <v>20</v>
      </c>
      <c r="E467" t="str">
        <f>IF(OR(Table1[[#This Row],[Energy Type]]="Solar",Table1[[#This Row],[Energy Type]]="Wind"),"Renewable","Non-Renewable")</f>
        <v>Non-Renewable</v>
      </c>
      <c r="F467">
        <v>168600</v>
      </c>
      <c r="G467">
        <v>75462</v>
      </c>
      <c r="H467">
        <v>143030</v>
      </c>
      <c r="I467">
        <v>4242</v>
      </c>
      <c r="J467" s="8">
        <f>Table1[[#This Row],[Revenue (Crore ₹)]]/Table1[[#This Row],[Employees]]</f>
        <v>33.717586044318715</v>
      </c>
      <c r="K467">
        <v>2.19</v>
      </c>
      <c r="L467">
        <v>5.36</v>
      </c>
      <c r="M467">
        <v>43033</v>
      </c>
      <c r="N467">
        <v>99997</v>
      </c>
      <c r="O467">
        <v>110162</v>
      </c>
      <c r="P467">
        <v>39.65</v>
      </c>
    </row>
    <row r="468" spans="1:16" x14ac:dyDescent="0.3">
      <c r="A468">
        <v>2025</v>
      </c>
      <c r="B468" t="s">
        <v>29</v>
      </c>
      <c r="C468" t="s">
        <v>18</v>
      </c>
      <c r="D468" t="s">
        <v>32</v>
      </c>
      <c r="E468" t="str">
        <f>IF(OR(Table1[[#This Row],[Energy Type]]="Solar",Table1[[#This Row],[Energy Type]]="Wind"),"Renewable","Non-Renewable")</f>
        <v>Renewable</v>
      </c>
      <c r="F468">
        <v>39162</v>
      </c>
      <c r="G468">
        <v>15172</v>
      </c>
      <c r="H468">
        <v>262852</v>
      </c>
      <c r="I468">
        <v>1425</v>
      </c>
      <c r="J468" s="8">
        <f>Table1[[#This Row],[Revenue (Crore ₹)]]/Table1[[#This Row],[Employees]]</f>
        <v>184.45754385964912</v>
      </c>
      <c r="K468">
        <v>7.14</v>
      </c>
      <c r="L468">
        <v>6.99</v>
      </c>
      <c r="M468">
        <v>21243</v>
      </c>
      <c r="N468">
        <v>241609</v>
      </c>
      <c r="O468">
        <v>221549</v>
      </c>
      <c r="P468">
        <v>25.44</v>
      </c>
    </row>
    <row r="469" spans="1:16" x14ac:dyDescent="0.3">
      <c r="A469">
        <v>2023</v>
      </c>
      <c r="B469" t="s">
        <v>29</v>
      </c>
      <c r="C469" t="s">
        <v>15</v>
      </c>
      <c r="D469" t="s">
        <v>20</v>
      </c>
      <c r="E469" t="str">
        <f>IF(OR(Table1[[#This Row],[Energy Type]]="Solar",Table1[[#This Row],[Energy Type]]="Wind"),"Renewable","Non-Renewable")</f>
        <v>Non-Renewable</v>
      </c>
      <c r="F469">
        <v>70163</v>
      </c>
      <c r="G469">
        <v>37828</v>
      </c>
      <c r="H469">
        <v>246832</v>
      </c>
      <c r="I469">
        <v>2901</v>
      </c>
      <c r="J469" s="8">
        <f>Table1[[#This Row],[Revenue (Crore ₹)]]/Table1[[#This Row],[Employees]]</f>
        <v>85.085143054119271</v>
      </c>
      <c r="K469">
        <v>20.27</v>
      </c>
      <c r="L469">
        <v>14.93</v>
      </c>
      <c r="M469">
        <v>18200</v>
      </c>
      <c r="N469">
        <v>228632</v>
      </c>
      <c r="O469">
        <v>136741</v>
      </c>
      <c r="P469">
        <v>40.94</v>
      </c>
    </row>
    <row r="470" spans="1:16" x14ac:dyDescent="0.3">
      <c r="A470">
        <v>2024</v>
      </c>
      <c r="B470" t="s">
        <v>23</v>
      </c>
      <c r="C470" t="s">
        <v>34</v>
      </c>
      <c r="D470" t="s">
        <v>25</v>
      </c>
      <c r="E470" t="str">
        <f>IF(OR(Table1[[#This Row],[Energy Type]]="Solar",Table1[[#This Row],[Energy Type]]="Wind"),"Renewable","Non-Renewable")</f>
        <v>Renewable</v>
      </c>
      <c r="F470">
        <v>3915</v>
      </c>
      <c r="G470">
        <v>1590</v>
      </c>
      <c r="H470">
        <v>80282</v>
      </c>
      <c r="I470">
        <v>1831</v>
      </c>
      <c r="J470" s="8">
        <f>Table1[[#This Row],[Revenue (Crore ₹)]]/Table1[[#This Row],[Employees]]</f>
        <v>43.845985800109233</v>
      </c>
      <c r="K470">
        <v>8.67</v>
      </c>
      <c r="L470">
        <v>14.46</v>
      </c>
      <c r="M470">
        <v>43318</v>
      </c>
      <c r="N470">
        <v>36964</v>
      </c>
      <c r="O470">
        <v>93078</v>
      </c>
      <c r="P470">
        <v>16.93</v>
      </c>
    </row>
    <row r="471" spans="1:16" x14ac:dyDescent="0.3">
      <c r="A471">
        <v>2020</v>
      </c>
      <c r="B471" t="s">
        <v>23</v>
      </c>
      <c r="C471" t="s">
        <v>15</v>
      </c>
      <c r="D471" t="s">
        <v>22</v>
      </c>
      <c r="E471" t="str">
        <f>IF(OR(Table1[[#This Row],[Energy Type]]="Solar",Table1[[#This Row],[Energy Type]]="Wind"),"Renewable","Non-Renewable")</f>
        <v>Non-Renewable</v>
      </c>
      <c r="F471">
        <v>126779</v>
      </c>
      <c r="G471">
        <v>45845</v>
      </c>
      <c r="H471">
        <v>196395</v>
      </c>
      <c r="I471">
        <v>7689</v>
      </c>
      <c r="J471" s="8">
        <f>Table1[[#This Row],[Revenue (Crore ₹)]]/Table1[[#This Row],[Employees]]</f>
        <v>25.542333203277408</v>
      </c>
      <c r="K471">
        <v>11.19</v>
      </c>
      <c r="L471">
        <v>10.99</v>
      </c>
      <c r="M471">
        <v>11710</v>
      </c>
      <c r="N471">
        <v>184685</v>
      </c>
      <c r="O471">
        <v>127941</v>
      </c>
      <c r="P471">
        <v>15.28</v>
      </c>
    </row>
    <row r="472" spans="1:16" x14ac:dyDescent="0.3">
      <c r="A472">
        <v>2024</v>
      </c>
      <c r="B472" t="s">
        <v>30</v>
      </c>
      <c r="C472" t="s">
        <v>18</v>
      </c>
      <c r="D472" t="s">
        <v>32</v>
      </c>
      <c r="E472" t="str">
        <f>IF(OR(Table1[[#This Row],[Energy Type]]="Solar",Table1[[#This Row],[Energy Type]]="Wind"),"Renewable","Non-Renewable")</f>
        <v>Renewable</v>
      </c>
      <c r="F472">
        <v>25360</v>
      </c>
      <c r="G472">
        <v>18633</v>
      </c>
      <c r="H472">
        <v>10632</v>
      </c>
      <c r="I472">
        <v>4436</v>
      </c>
      <c r="J472" s="8">
        <f>Table1[[#This Row],[Revenue (Crore ₹)]]/Table1[[#This Row],[Employees]]</f>
        <v>2.3967538322813344</v>
      </c>
      <c r="K472">
        <v>3.09</v>
      </c>
      <c r="L472">
        <v>12.47</v>
      </c>
      <c r="M472">
        <v>43378</v>
      </c>
      <c r="N472">
        <v>-32746</v>
      </c>
      <c r="O472">
        <v>93398</v>
      </c>
      <c r="P472">
        <v>9.11</v>
      </c>
    </row>
    <row r="473" spans="1:16" x14ac:dyDescent="0.3">
      <c r="A473">
        <v>2023</v>
      </c>
      <c r="B473" t="s">
        <v>31</v>
      </c>
      <c r="C473" t="s">
        <v>26</v>
      </c>
      <c r="D473" t="s">
        <v>20</v>
      </c>
      <c r="E473" t="str">
        <f>IF(OR(Table1[[#This Row],[Energy Type]]="Solar",Table1[[#This Row],[Energy Type]]="Wind"),"Renewable","Non-Renewable")</f>
        <v>Non-Renewable</v>
      </c>
      <c r="F473">
        <v>128351</v>
      </c>
      <c r="G473">
        <v>95645</v>
      </c>
      <c r="H473">
        <v>275518</v>
      </c>
      <c r="I473">
        <v>4628</v>
      </c>
      <c r="J473" s="8">
        <f>Table1[[#This Row],[Revenue (Crore ₹)]]/Table1[[#This Row],[Employees]]</f>
        <v>59.532843560933451</v>
      </c>
      <c r="K473">
        <v>3.58</v>
      </c>
      <c r="L473">
        <v>7.53</v>
      </c>
      <c r="M473">
        <v>6720</v>
      </c>
      <c r="N473">
        <v>268798</v>
      </c>
      <c r="O473">
        <v>166881</v>
      </c>
      <c r="P473">
        <v>22.9</v>
      </c>
    </row>
    <row r="474" spans="1:16" x14ac:dyDescent="0.3">
      <c r="A474">
        <v>2020</v>
      </c>
      <c r="B474" t="s">
        <v>31</v>
      </c>
      <c r="C474" t="s">
        <v>34</v>
      </c>
      <c r="D474" t="s">
        <v>16</v>
      </c>
      <c r="E474" t="str">
        <f>IF(OR(Table1[[#This Row],[Energy Type]]="Solar",Table1[[#This Row],[Energy Type]]="Wind"),"Renewable","Non-Renewable")</f>
        <v>Non-Renewable</v>
      </c>
      <c r="F474">
        <v>118924</v>
      </c>
      <c r="G474">
        <v>90821</v>
      </c>
      <c r="H474">
        <v>254982</v>
      </c>
      <c r="I474">
        <v>7774</v>
      </c>
      <c r="J474" s="8">
        <f>Table1[[#This Row],[Revenue (Crore ₹)]]/Table1[[#This Row],[Employees]]</f>
        <v>32.799331103678931</v>
      </c>
      <c r="K474">
        <v>13.9</v>
      </c>
      <c r="L474">
        <v>6.16</v>
      </c>
      <c r="M474">
        <v>3606</v>
      </c>
      <c r="N474">
        <v>251376</v>
      </c>
      <c r="O474">
        <v>262154</v>
      </c>
      <c r="P474">
        <v>27.75</v>
      </c>
    </row>
    <row r="475" spans="1:16" x14ac:dyDescent="0.3">
      <c r="A475">
        <v>2021</v>
      </c>
      <c r="B475" t="s">
        <v>23</v>
      </c>
      <c r="C475" t="s">
        <v>34</v>
      </c>
      <c r="D475" t="s">
        <v>22</v>
      </c>
      <c r="E475" t="str">
        <f>IF(OR(Table1[[#This Row],[Energy Type]]="Solar",Table1[[#This Row],[Energy Type]]="Wind"),"Renewable","Non-Renewable")</f>
        <v>Non-Renewable</v>
      </c>
      <c r="F475">
        <v>146455</v>
      </c>
      <c r="G475">
        <v>94122</v>
      </c>
      <c r="H475">
        <v>47091</v>
      </c>
      <c r="I475">
        <v>2295</v>
      </c>
      <c r="J475" s="8">
        <f>Table1[[#This Row],[Revenue (Crore ₹)]]/Table1[[#This Row],[Employees]]</f>
        <v>20.518954248366015</v>
      </c>
      <c r="K475">
        <v>20.149999999999999</v>
      </c>
      <c r="L475">
        <v>6.32</v>
      </c>
      <c r="M475">
        <v>3905</v>
      </c>
      <c r="N475">
        <v>43186</v>
      </c>
      <c r="O475">
        <v>42908</v>
      </c>
      <c r="P475">
        <v>46.04</v>
      </c>
    </row>
    <row r="476" spans="1:16" x14ac:dyDescent="0.3">
      <c r="A476">
        <v>2024</v>
      </c>
      <c r="B476" t="s">
        <v>17</v>
      </c>
      <c r="C476" t="s">
        <v>28</v>
      </c>
      <c r="D476" t="s">
        <v>22</v>
      </c>
      <c r="E476" t="str">
        <f>IF(OR(Table1[[#This Row],[Energy Type]]="Solar",Table1[[#This Row],[Energy Type]]="Wind"),"Renewable","Non-Renewable")</f>
        <v>Non-Renewable</v>
      </c>
      <c r="F476">
        <v>147803</v>
      </c>
      <c r="G476">
        <v>28169</v>
      </c>
      <c r="H476">
        <v>55502</v>
      </c>
      <c r="I476">
        <v>729</v>
      </c>
      <c r="J476" s="8">
        <f>Table1[[#This Row],[Revenue (Crore ₹)]]/Table1[[#This Row],[Employees]]</f>
        <v>76.134430727023314</v>
      </c>
      <c r="K476">
        <v>21.06</v>
      </c>
      <c r="L476">
        <v>9.86</v>
      </c>
      <c r="M476">
        <v>33766</v>
      </c>
      <c r="N476">
        <v>21736</v>
      </c>
      <c r="O476">
        <v>178142</v>
      </c>
      <c r="P476">
        <v>22.45</v>
      </c>
    </row>
    <row r="477" spans="1:16" x14ac:dyDescent="0.3">
      <c r="A477">
        <v>2024</v>
      </c>
      <c r="B477" t="s">
        <v>17</v>
      </c>
      <c r="C477" t="s">
        <v>33</v>
      </c>
      <c r="D477" t="s">
        <v>22</v>
      </c>
      <c r="E477" t="str">
        <f>IF(OR(Table1[[#This Row],[Energy Type]]="Solar",Table1[[#This Row],[Energy Type]]="Wind"),"Renewable","Non-Renewable")</f>
        <v>Non-Renewable</v>
      </c>
      <c r="F477">
        <v>146499</v>
      </c>
      <c r="G477">
        <v>94555</v>
      </c>
      <c r="H477">
        <v>296038</v>
      </c>
      <c r="I477">
        <v>4399</v>
      </c>
      <c r="J477" s="8">
        <f>Table1[[#This Row],[Revenue (Crore ₹)]]/Table1[[#This Row],[Employees]]</f>
        <v>67.296658331438962</v>
      </c>
      <c r="K477">
        <v>21.71</v>
      </c>
      <c r="L477">
        <v>11.18</v>
      </c>
      <c r="M477">
        <v>1099</v>
      </c>
      <c r="N477">
        <v>294939</v>
      </c>
      <c r="O477">
        <v>11418</v>
      </c>
      <c r="P477">
        <v>14.11</v>
      </c>
    </row>
    <row r="478" spans="1:16" x14ac:dyDescent="0.3">
      <c r="A478">
        <v>2024</v>
      </c>
      <c r="B478" t="s">
        <v>27</v>
      </c>
      <c r="C478" t="s">
        <v>34</v>
      </c>
      <c r="D478" t="s">
        <v>25</v>
      </c>
      <c r="E478" t="str">
        <f>IF(OR(Table1[[#This Row],[Energy Type]]="Solar",Table1[[#This Row],[Energy Type]]="Wind"),"Renewable","Non-Renewable")</f>
        <v>Renewable</v>
      </c>
      <c r="F478">
        <v>99896</v>
      </c>
      <c r="G478">
        <v>2271</v>
      </c>
      <c r="H478">
        <v>64410</v>
      </c>
      <c r="I478">
        <v>3424</v>
      </c>
      <c r="J478" s="8">
        <f>Table1[[#This Row],[Revenue (Crore ₹)]]/Table1[[#This Row],[Employees]]</f>
        <v>18.811331775700936</v>
      </c>
      <c r="K478">
        <v>11.85</v>
      </c>
      <c r="L478">
        <v>14.72</v>
      </c>
      <c r="M478">
        <v>16680</v>
      </c>
      <c r="N478">
        <v>47730</v>
      </c>
      <c r="O478">
        <v>69437</v>
      </c>
      <c r="P478">
        <v>74.23</v>
      </c>
    </row>
    <row r="479" spans="1:16" x14ac:dyDescent="0.3">
      <c r="A479">
        <v>2025</v>
      </c>
      <c r="B479" t="s">
        <v>27</v>
      </c>
      <c r="C479" t="s">
        <v>26</v>
      </c>
      <c r="D479" t="s">
        <v>32</v>
      </c>
      <c r="E479" t="str">
        <f>IF(OR(Table1[[#This Row],[Energy Type]]="Solar",Table1[[#This Row],[Energy Type]]="Wind"),"Renewable","Non-Renewable")</f>
        <v>Renewable</v>
      </c>
      <c r="F479">
        <v>107445</v>
      </c>
      <c r="G479">
        <v>75613</v>
      </c>
      <c r="H479">
        <v>121744</v>
      </c>
      <c r="I479">
        <v>2917</v>
      </c>
      <c r="J479" s="8">
        <f>Table1[[#This Row],[Revenue (Crore ₹)]]/Table1[[#This Row],[Employees]]</f>
        <v>41.7360301679808</v>
      </c>
      <c r="K479">
        <v>12.79</v>
      </c>
      <c r="L479">
        <v>8.99</v>
      </c>
      <c r="M479">
        <v>1116</v>
      </c>
      <c r="N479">
        <v>120628</v>
      </c>
      <c r="O479">
        <v>224783</v>
      </c>
      <c r="P479">
        <v>75.08</v>
      </c>
    </row>
    <row r="480" spans="1:16" x14ac:dyDescent="0.3">
      <c r="A480">
        <v>2022</v>
      </c>
      <c r="B480" t="s">
        <v>19</v>
      </c>
      <c r="C480" t="s">
        <v>24</v>
      </c>
      <c r="D480" t="s">
        <v>20</v>
      </c>
      <c r="E480" t="str">
        <f>IF(OR(Table1[[#This Row],[Energy Type]]="Solar",Table1[[#This Row],[Energy Type]]="Wind"),"Renewable","Non-Renewable")</f>
        <v>Non-Renewable</v>
      </c>
      <c r="F480">
        <v>167275</v>
      </c>
      <c r="G480">
        <v>160827</v>
      </c>
      <c r="H480">
        <v>178618</v>
      </c>
      <c r="I480">
        <v>9213</v>
      </c>
      <c r="J480" s="8">
        <f>Table1[[#This Row],[Revenue (Crore ₹)]]/Table1[[#This Row],[Employees]]</f>
        <v>19.38760447194182</v>
      </c>
      <c r="K480">
        <v>6.8</v>
      </c>
      <c r="L480">
        <v>9.9700000000000006</v>
      </c>
      <c r="M480">
        <v>27092</v>
      </c>
      <c r="N480">
        <v>151526</v>
      </c>
      <c r="O480">
        <v>262214</v>
      </c>
      <c r="P480">
        <v>19.88</v>
      </c>
    </row>
    <row r="481" spans="1:16" x14ac:dyDescent="0.3">
      <c r="A481">
        <v>2024</v>
      </c>
      <c r="B481" t="s">
        <v>31</v>
      </c>
      <c r="C481" t="s">
        <v>34</v>
      </c>
      <c r="D481" t="s">
        <v>20</v>
      </c>
      <c r="E481" t="str">
        <f>IF(OR(Table1[[#This Row],[Energy Type]]="Solar",Table1[[#This Row],[Energy Type]]="Wind"),"Renewable","Non-Renewable")</f>
        <v>Non-Renewable</v>
      </c>
      <c r="F481">
        <v>170276</v>
      </c>
      <c r="G481">
        <v>16505</v>
      </c>
      <c r="H481">
        <v>4881</v>
      </c>
      <c r="I481">
        <v>5766</v>
      </c>
      <c r="J481" s="8">
        <f>Table1[[#This Row],[Revenue (Crore ₹)]]/Table1[[#This Row],[Employees]]</f>
        <v>0.8465140478668054</v>
      </c>
      <c r="K481">
        <v>12.24</v>
      </c>
      <c r="L481">
        <v>8.1999999999999993</v>
      </c>
      <c r="M481">
        <v>14063</v>
      </c>
      <c r="N481">
        <v>-9182</v>
      </c>
      <c r="O481">
        <v>280070</v>
      </c>
      <c r="P481">
        <v>22.04</v>
      </c>
    </row>
    <row r="482" spans="1:16" x14ac:dyDescent="0.3">
      <c r="A482">
        <v>2023</v>
      </c>
      <c r="B482" t="s">
        <v>31</v>
      </c>
      <c r="C482" t="s">
        <v>21</v>
      </c>
      <c r="D482" t="s">
        <v>32</v>
      </c>
      <c r="E482" t="str">
        <f>IF(OR(Table1[[#This Row],[Energy Type]]="Solar",Table1[[#This Row],[Energy Type]]="Wind"),"Renewable","Non-Renewable")</f>
        <v>Renewable</v>
      </c>
      <c r="F482">
        <v>181399</v>
      </c>
      <c r="G482">
        <v>17740</v>
      </c>
      <c r="H482">
        <v>241040</v>
      </c>
      <c r="I482">
        <v>8898</v>
      </c>
      <c r="J482" s="8">
        <f>Table1[[#This Row],[Revenue (Crore ₹)]]/Table1[[#This Row],[Employees]]</f>
        <v>27.089233535625983</v>
      </c>
      <c r="K482">
        <v>13.98</v>
      </c>
      <c r="L482">
        <v>6.93</v>
      </c>
      <c r="M482">
        <v>2982</v>
      </c>
      <c r="N482">
        <v>238058</v>
      </c>
      <c r="O482">
        <v>145528</v>
      </c>
      <c r="P482">
        <v>53.85</v>
      </c>
    </row>
    <row r="483" spans="1:16" x14ac:dyDescent="0.3">
      <c r="A483">
        <v>2021</v>
      </c>
      <c r="B483" t="s">
        <v>29</v>
      </c>
      <c r="C483" t="s">
        <v>33</v>
      </c>
      <c r="D483" t="s">
        <v>32</v>
      </c>
      <c r="E483" t="str">
        <f>IF(OR(Table1[[#This Row],[Energy Type]]="Solar",Table1[[#This Row],[Energy Type]]="Wind"),"Renewable","Non-Renewable")</f>
        <v>Renewable</v>
      </c>
      <c r="F483">
        <v>52735</v>
      </c>
      <c r="G483">
        <v>18873</v>
      </c>
      <c r="H483">
        <v>109467</v>
      </c>
      <c r="I483">
        <v>3615</v>
      </c>
      <c r="J483" s="8">
        <f>Table1[[#This Row],[Revenue (Crore ₹)]]/Table1[[#This Row],[Employees]]</f>
        <v>30.281327800829875</v>
      </c>
      <c r="K483">
        <v>8.83</v>
      </c>
      <c r="L483">
        <v>4.24</v>
      </c>
      <c r="M483">
        <v>45229</v>
      </c>
      <c r="N483">
        <v>64238</v>
      </c>
      <c r="O483">
        <v>265071</v>
      </c>
      <c r="P483">
        <v>22.73</v>
      </c>
    </row>
    <row r="484" spans="1:16" x14ac:dyDescent="0.3">
      <c r="A484">
        <v>2024</v>
      </c>
      <c r="B484" t="s">
        <v>23</v>
      </c>
      <c r="C484" t="s">
        <v>26</v>
      </c>
      <c r="D484" t="s">
        <v>25</v>
      </c>
      <c r="E484" t="str">
        <f>IF(OR(Table1[[#This Row],[Energy Type]]="Solar",Table1[[#This Row],[Energy Type]]="Wind"),"Renewable","Non-Renewable")</f>
        <v>Renewable</v>
      </c>
      <c r="F484">
        <v>135159</v>
      </c>
      <c r="G484">
        <v>81289</v>
      </c>
      <c r="H484">
        <v>216577</v>
      </c>
      <c r="I484">
        <v>4842</v>
      </c>
      <c r="J484" s="8">
        <f>Table1[[#This Row],[Revenue (Crore ₹)]]/Table1[[#This Row],[Employees]]</f>
        <v>44.728831061544817</v>
      </c>
      <c r="K484">
        <v>6.99</v>
      </c>
      <c r="L484">
        <v>3.49</v>
      </c>
      <c r="M484">
        <v>41693</v>
      </c>
      <c r="N484">
        <v>174884</v>
      </c>
      <c r="O484">
        <v>147039</v>
      </c>
      <c r="P484">
        <v>58.49</v>
      </c>
    </row>
    <row r="485" spans="1:16" x14ac:dyDescent="0.3">
      <c r="A485">
        <v>2021</v>
      </c>
      <c r="B485" t="s">
        <v>31</v>
      </c>
      <c r="C485" t="s">
        <v>28</v>
      </c>
      <c r="D485" t="s">
        <v>22</v>
      </c>
      <c r="E485" t="str">
        <f>IF(OR(Table1[[#This Row],[Energy Type]]="Solar",Table1[[#This Row],[Energy Type]]="Wind"),"Renewable","Non-Renewable")</f>
        <v>Non-Renewable</v>
      </c>
      <c r="F485">
        <v>51934</v>
      </c>
      <c r="G485">
        <v>23483</v>
      </c>
      <c r="H485">
        <v>31734</v>
      </c>
      <c r="I485">
        <v>1016</v>
      </c>
      <c r="J485" s="8">
        <f>Table1[[#This Row],[Revenue (Crore ₹)]]/Table1[[#This Row],[Employees]]</f>
        <v>31.234251968503937</v>
      </c>
      <c r="K485">
        <v>14.84</v>
      </c>
      <c r="L485">
        <v>2.11</v>
      </c>
      <c r="M485">
        <v>27300</v>
      </c>
      <c r="N485">
        <v>4434</v>
      </c>
      <c r="O485">
        <v>225445</v>
      </c>
      <c r="P485">
        <v>12.27</v>
      </c>
    </row>
    <row r="486" spans="1:16" x14ac:dyDescent="0.3">
      <c r="A486">
        <v>2025</v>
      </c>
      <c r="B486" t="s">
        <v>30</v>
      </c>
      <c r="C486" t="s">
        <v>15</v>
      </c>
      <c r="D486" t="s">
        <v>25</v>
      </c>
      <c r="E486" t="str">
        <f>IF(OR(Table1[[#This Row],[Energy Type]]="Solar",Table1[[#This Row],[Energy Type]]="Wind"),"Renewable","Non-Renewable")</f>
        <v>Renewable</v>
      </c>
      <c r="F486">
        <v>148084</v>
      </c>
      <c r="G486">
        <v>126708</v>
      </c>
      <c r="H486">
        <v>67881</v>
      </c>
      <c r="I486">
        <v>2729</v>
      </c>
      <c r="J486" s="8">
        <f>Table1[[#This Row],[Revenue (Crore ₹)]]/Table1[[#This Row],[Employees]]</f>
        <v>24.873946500549653</v>
      </c>
      <c r="K486">
        <v>9.67</v>
      </c>
      <c r="L486">
        <v>3.9</v>
      </c>
      <c r="M486">
        <v>46594</v>
      </c>
      <c r="N486">
        <v>21287</v>
      </c>
      <c r="O486">
        <v>41428</v>
      </c>
      <c r="P486">
        <v>26.88</v>
      </c>
    </row>
    <row r="487" spans="1:16" x14ac:dyDescent="0.3">
      <c r="A487">
        <v>2021</v>
      </c>
      <c r="B487" t="s">
        <v>14</v>
      </c>
      <c r="C487" t="s">
        <v>18</v>
      </c>
      <c r="D487" t="s">
        <v>22</v>
      </c>
      <c r="E487" t="str">
        <f>IF(OR(Table1[[#This Row],[Energy Type]]="Solar",Table1[[#This Row],[Energy Type]]="Wind"),"Renewable","Non-Renewable")</f>
        <v>Non-Renewable</v>
      </c>
      <c r="F487">
        <v>194463</v>
      </c>
      <c r="G487">
        <v>154955</v>
      </c>
      <c r="H487">
        <v>242674</v>
      </c>
      <c r="I487">
        <v>1694</v>
      </c>
      <c r="J487" s="8">
        <f>Table1[[#This Row],[Revenue (Crore ₹)]]/Table1[[#This Row],[Employees]]</f>
        <v>143.25501770956316</v>
      </c>
      <c r="K487">
        <v>19.5</v>
      </c>
      <c r="L487">
        <v>6.38</v>
      </c>
      <c r="M487">
        <v>17060</v>
      </c>
      <c r="N487">
        <v>225614</v>
      </c>
      <c r="O487">
        <v>125553</v>
      </c>
      <c r="P487">
        <v>40.090000000000003</v>
      </c>
    </row>
    <row r="488" spans="1:16" x14ac:dyDescent="0.3">
      <c r="A488">
        <v>2020</v>
      </c>
      <c r="B488" t="s">
        <v>23</v>
      </c>
      <c r="C488" t="s">
        <v>34</v>
      </c>
      <c r="D488" t="s">
        <v>22</v>
      </c>
      <c r="E488" t="str">
        <f>IF(OR(Table1[[#This Row],[Energy Type]]="Solar",Table1[[#This Row],[Energy Type]]="Wind"),"Renewable","Non-Renewable")</f>
        <v>Non-Renewable</v>
      </c>
      <c r="F488">
        <v>165201</v>
      </c>
      <c r="G488">
        <v>77569</v>
      </c>
      <c r="H488">
        <v>226507</v>
      </c>
      <c r="I488">
        <v>3645</v>
      </c>
      <c r="J488" s="8">
        <f>Table1[[#This Row],[Revenue (Crore ₹)]]/Table1[[#This Row],[Employees]]</f>
        <v>62.141838134430728</v>
      </c>
      <c r="K488">
        <v>9.25</v>
      </c>
      <c r="L488">
        <v>4.66</v>
      </c>
      <c r="M488">
        <v>24644</v>
      </c>
      <c r="N488">
        <v>201863</v>
      </c>
      <c r="O488">
        <v>216984</v>
      </c>
      <c r="P488">
        <v>16.41</v>
      </c>
    </row>
    <row r="489" spans="1:16" x14ac:dyDescent="0.3">
      <c r="A489">
        <v>2023</v>
      </c>
      <c r="B489" t="s">
        <v>27</v>
      </c>
      <c r="C489" t="s">
        <v>26</v>
      </c>
      <c r="D489" t="s">
        <v>20</v>
      </c>
      <c r="E489" t="str">
        <f>IF(OR(Table1[[#This Row],[Energy Type]]="Solar",Table1[[#This Row],[Energy Type]]="Wind"),"Renewable","Non-Renewable")</f>
        <v>Non-Renewable</v>
      </c>
      <c r="F489">
        <v>173498</v>
      </c>
      <c r="G489">
        <v>131808</v>
      </c>
      <c r="H489">
        <v>160176</v>
      </c>
      <c r="I489">
        <v>6869</v>
      </c>
      <c r="J489" s="8">
        <f>Table1[[#This Row],[Revenue (Crore ₹)]]/Table1[[#This Row],[Employees]]</f>
        <v>23.318678119085746</v>
      </c>
      <c r="K489">
        <v>16.149999999999999</v>
      </c>
      <c r="L489">
        <v>2.0099999999999998</v>
      </c>
      <c r="M489">
        <v>17515</v>
      </c>
      <c r="N489">
        <v>142661</v>
      </c>
      <c r="O489">
        <v>285046</v>
      </c>
      <c r="P489">
        <v>40.49</v>
      </c>
    </row>
    <row r="490" spans="1:16" x14ac:dyDescent="0.3">
      <c r="A490">
        <v>2023</v>
      </c>
      <c r="B490" t="s">
        <v>19</v>
      </c>
      <c r="C490" t="s">
        <v>21</v>
      </c>
      <c r="D490" t="s">
        <v>32</v>
      </c>
      <c r="E490" t="str">
        <f>IF(OR(Table1[[#This Row],[Energy Type]]="Solar",Table1[[#This Row],[Energy Type]]="Wind"),"Renewable","Non-Renewable")</f>
        <v>Renewable</v>
      </c>
      <c r="F490">
        <v>110652</v>
      </c>
      <c r="G490">
        <v>44063</v>
      </c>
      <c r="H490">
        <v>244587</v>
      </c>
      <c r="I490">
        <v>1996</v>
      </c>
      <c r="J490" s="8">
        <f>Table1[[#This Row],[Revenue (Crore ₹)]]/Table1[[#This Row],[Employees]]</f>
        <v>122.53857715430861</v>
      </c>
      <c r="K490">
        <v>19.5</v>
      </c>
      <c r="L490">
        <v>13.15</v>
      </c>
      <c r="M490">
        <v>20738</v>
      </c>
      <c r="N490">
        <v>223849</v>
      </c>
      <c r="O490">
        <v>158768</v>
      </c>
      <c r="P490">
        <v>25.4</v>
      </c>
    </row>
    <row r="491" spans="1:16" x14ac:dyDescent="0.3">
      <c r="A491">
        <v>2024</v>
      </c>
      <c r="B491" t="s">
        <v>19</v>
      </c>
      <c r="C491" t="s">
        <v>28</v>
      </c>
      <c r="D491" t="s">
        <v>32</v>
      </c>
      <c r="E491" t="str">
        <f>IF(OR(Table1[[#This Row],[Energy Type]]="Solar",Table1[[#This Row],[Energy Type]]="Wind"),"Renewable","Non-Renewable")</f>
        <v>Renewable</v>
      </c>
      <c r="F491">
        <v>5906</v>
      </c>
      <c r="G491">
        <v>4818</v>
      </c>
      <c r="H491">
        <v>176465</v>
      </c>
      <c r="I491">
        <v>3417</v>
      </c>
      <c r="J491" s="8">
        <f>Table1[[#This Row],[Revenue (Crore ₹)]]/Table1[[#This Row],[Employees]]</f>
        <v>51.643254316652033</v>
      </c>
      <c r="K491">
        <v>10.47</v>
      </c>
      <c r="L491">
        <v>8.3000000000000007</v>
      </c>
      <c r="M491">
        <v>33224</v>
      </c>
      <c r="N491">
        <v>143241</v>
      </c>
      <c r="O491">
        <v>123324</v>
      </c>
      <c r="P491">
        <v>34.94</v>
      </c>
    </row>
    <row r="492" spans="1:16" x14ac:dyDescent="0.3">
      <c r="A492">
        <v>2022</v>
      </c>
      <c r="B492" t="s">
        <v>27</v>
      </c>
      <c r="C492" t="s">
        <v>21</v>
      </c>
      <c r="D492" t="s">
        <v>25</v>
      </c>
      <c r="E492" t="str">
        <f>IF(OR(Table1[[#This Row],[Energy Type]]="Solar",Table1[[#This Row],[Energy Type]]="Wind"),"Renewable","Non-Renewable")</f>
        <v>Renewable</v>
      </c>
      <c r="F492">
        <v>31106</v>
      </c>
      <c r="G492">
        <v>17720</v>
      </c>
      <c r="H492">
        <v>133809</v>
      </c>
      <c r="I492">
        <v>9672</v>
      </c>
      <c r="J492" s="8">
        <f>Table1[[#This Row],[Revenue (Crore ₹)]]/Table1[[#This Row],[Employees]]</f>
        <v>13.834677419354838</v>
      </c>
      <c r="K492">
        <v>20.420000000000002</v>
      </c>
      <c r="L492">
        <v>3.59</v>
      </c>
      <c r="M492">
        <v>649</v>
      </c>
      <c r="N492">
        <v>133160</v>
      </c>
      <c r="O492">
        <v>220580</v>
      </c>
      <c r="P492">
        <v>37.630000000000003</v>
      </c>
    </row>
    <row r="493" spans="1:16" x14ac:dyDescent="0.3">
      <c r="A493">
        <v>2022</v>
      </c>
      <c r="B493" t="s">
        <v>29</v>
      </c>
      <c r="C493" t="s">
        <v>15</v>
      </c>
      <c r="D493" t="s">
        <v>22</v>
      </c>
      <c r="E493" t="str">
        <f>IF(OR(Table1[[#This Row],[Energy Type]]="Solar",Table1[[#This Row],[Energy Type]]="Wind"),"Renewable","Non-Renewable")</f>
        <v>Non-Renewable</v>
      </c>
      <c r="F493">
        <v>35118</v>
      </c>
      <c r="G493">
        <v>11078</v>
      </c>
      <c r="H493">
        <v>225362</v>
      </c>
      <c r="I493">
        <v>9516</v>
      </c>
      <c r="J493" s="8">
        <f>Table1[[#This Row],[Revenue (Crore ₹)]]/Table1[[#This Row],[Employees]]</f>
        <v>23.68242959226566</v>
      </c>
      <c r="K493">
        <v>6.98</v>
      </c>
      <c r="L493">
        <v>7.64</v>
      </c>
      <c r="M493">
        <v>19677</v>
      </c>
      <c r="N493">
        <v>205685</v>
      </c>
      <c r="O493">
        <v>193640</v>
      </c>
      <c r="P493">
        <v>6.51</v>
      </c>
    </row>
    <row r="494" spans="1:16" x14ac:dyDescent="0.3">
      <c r="A494">
        <v>2023</v>
      </c>
      <c r="B494" t="s">
        <v>27</v>
      </c>
      <c r="C494" t="s">
        <v>18</v>
      </c>
      <c r="D494" t="s">
        <v>20</v>
      </c>
      <c r="E494" t="str">
        <f>IF(OR(Table1[[#This Row],[Energy Type]]="Solar",Table1[[#This Row],[Energy Type]]="Wind"),"Renewable","Non-Renewable")</f>
        <v>Non-Renewable</v>
      </c>
      <c r="F494">
        <v>162294</v>
      </c>
      <c r="G494">
        <v>129076</v>
      </c>
      <c r="H494">
        <v>106813</v>
      </c>
      <c r="I494">
        <v>6384</v>
      </c>
      <c r="J494" s="8">
        <f>Table1[[#This Row],[Revenue (Crore ₹)]]/Table1[[#This Row],[Employees]]</f>
        <v>16.731359649122808</v>
      </c>
      <c r="K494">
        <v>7.66</v>
      </c>
      <c r="L494">
        <v>10</v>
      </c>
      <c r="M494">
        <v>10671</v>
      </c>
      <c r="N494">
        <v>96142</v>
      </c>
      <c r="O494">
        <v>219592</v>
      </c>
      <c r="P494">
        <v>57.92</v>
      </c>
    </row>
    <row r="495" spans="1:16" x14ac:dyDescent="0.3">
      <c r="A495">
        <v>2021</v>
      </c>
      <c r="B495" t="s">
        <v>29</v>
      </c>
      <c r="C495" t="s">
        <v>33</v>
      </c>
      <c r="D495" t="s">
        <v>25</v>
      </c>
      <c r="E495" t="str">
        <f>IF(OR(Table1[[#This Row],[Energy Type]]="Solar",Table1[[#This Row],[Energy Type]]="Wind"),"Renewable","Non-Renewable")</f>
        <v>Renewable</v>
      </c>
      <c r="F495">
        <v>49883</v>
      </c>
      <c r="G495">
        <v>34315</v>
      </c>
      <c r="H495">
        <v>231631</v>
      </c>
      <c r="I495">
        <v>9091</v>
      </c>
      <c r="J495" s="8">
        <f>Table1[[#This Row],[Revenue (Crore ₹)]]/Table1[[#This Row],[Employees]]</f>
        <v>25.479155208447917</v>
      </c>
      <c r="K495">
        <v>18.68</v>
      </c>
      <c r="L495">
        <v>11.07</v>
      </c>
      <c r="M495">
        <v>18601</v>
      </c>
      <c r="N495">
        <v>213030</v>
      </c>
      <c r="O495">
        <v>215308</v>
      </c>
      <c r="P495">
        <v>31.32</v>
      </c>
    </row>
    <row r="496" spans="1:16" x14ac:dyDescent="0.3">
      <c r="A496">
        <v>2022</v>
      </c>
      <c r="B496" t="s">
        <v>19</v>
      </c>
      <c r="C496" t="s">
        <v>34</v>
      </c>
      <c r="D496" t="s">
        <v>16</v>
      </c>
      <c r="E496" t="str">
        <f>IF(OR(Table1[[#This Row],[Energy Type]]="Solar",Table1[[#This Row],[Energy Type]]="Wind"),"Renewable","Non-Renewable")</f>
        <v>Non-Renewable</v>
      </c>
      <c r="F496">
        <v>152921</v>
      </c>
      <c r="G496">
        <v>108839</v>
      </c>
      <c r="H496">
        <v>276581</v>
      </c>
      <c r="I496">
        <v>2650</v>
      </c>
      <c r="J496" s="8">
        <f>Table1[[#This Row],[Revenue (Crore ₹)]]/Table1[[#This Row],[Employees]]</f>
        <v>104.37018867924529</v>
      </c>
      <c r="K496">
        <v>5.54</v>
      </c>
      <c r="L496">
        <v>13.88</v>
      </c>
      <c r="M496">
        <v>3916</v>
      </c>
      <c r="N496">
        <v>272665</v>
      </c>
      <c r="O496">
        <v>194058</v>
      </c>
      <c r="P496">
        <v>37.619999999999997</v>
      </c>
    </row>
    <row r="497" spans="1:16" x14ac:dyDescent="0.3">
      <c r="A497">
        <v>2020</v>
      </c>
      <c r="B497" t="s">
        <v>29</v>
      </c>
      <c r="C497" t="s">
        <v>21</v>
      </c>
      <c r="D497" t="s">
        <v>20</v>
      </c>
      <c r="E497" t="str">
        <f>IF(OR(Table1[[#This Row],[Energy Type]]="Solar",Table1[[#This Row],[Energy Type]]="Wind"),"Renewable","Non-Renewable")</f>
        <v>Non-Renewable</v>
      </c>
      <c r="F497">
        <v>61032</v>
      </c>
      <c r="G497">
        <v>1130</v>
      </c>
      <c r="H497">
        <v>130574</v>
      </c>
      <c r="I497">
        <v>3174</v>
      </c>
      <c r="J497" s="8">
        <f>Table1[[#This Row],[Revenue (Crore ₹)]]/Table1[[#This Row],[Employees]]</f>
        <v>41.138626339004411</v>
      </c>
      <c r="K497">
        <v>17.41</v>
      </c>
      <c r="L497">
        <v>13.44</v>
      </c>
      <c r="M497">
        <v>5199</v>
      </c>
      <c r="N497">
        <v>125375</v>
      </c>
      <c r="O497">
        <v>62010</v>
      </c>
      <c r="P497">
        <v>58.76</v>
      </c>
    </row>
    <row r="498" spans="1:16" x14ac:dyDescent="0.3">
      <c r="A498">
        <v>2025</v>
      </c>
      <c r="B498" t="s">
        <v>29</v>
      </c>
      <c r="C498" t="s">
        <v>26</v>
      </c>
      <c r="D498" t="s">
        <v>16</v>
      </c>
      <c r="E498" t="str">
        <f>IF(OR(Table1[[#This Row],[Energy Type]]="Solar",Table1[[#This Row],[Energy Type]]="Wind"),"Renewable","Non-Renewable")</f>
        <v>Non-Renewable</v>
      </c>
      <c r="F498">
        <v>90262</v>
      </c>
      <c r="G498">
        <v>43135</v>
      </c>
      <c r="H498">
        <v>184267</v>
      </c>
      <c r="I498">
        <v>6915</v>
      </c>
      <c r="J498" s="8">
        <f>Table1[[#This Row],[Revenue (Crore ₹)]]/Table1[[#This Row],[Employees]]</f>
        <v>26.647433116413595</v>
      </c>
      <c r="K498">
        <v>9.2799999999999994</v>
      </c>
      <c r="L498">
        <v>10.56</v>
      </c>
      <c r="M498">
        <v>38052</v>
      </c>
      <c r="N498">
        <v>146215</v>
      </c>
      <c r="O498">
        <v>35830</v>
      </c>
      <c r="P498">
        <v>47.12</v>
      </c>
    </row>
    <row r="499" spans="1:16" x14ac:dyDescent="0.3">
      <c r="A499">
        <v>2021</v>
      </c>
      <c r="B499" t="s">
        <v>17</v>
      </c>
      <c r="C499" t="s">
        <v>28</v>
      </c>
      <c r="D499" t="s">
        <v>16</v>
      </c>
      <c r="E499" t="str">
        <f>IF(OR(Table1[[#This Row],[Energy Type]]="Solar",Table1[[#This Row],[Energy Type]]="Wind"),"Renewable","Non-Renewable")</f>
        <v>Non-Renewable</v>
      </c>
      <c r="F499">
        <v>59846</v>
      </c>
      <c r="G499">
        <v>20801</v>
      </c>
      <c r="H499">
        <v>23941</v>
      </c>
      <c r="I499">
        <v>3075</v>
      </c>
      <c r="J499" s="8">
        <f>Table1[[#This Row],[Revenue (Crore ₹)]]/Table1[[#This Row],[Employees]]</f>
        <v>7.7856910569105695</v>
      </c>
      <c r="K499">
        <v>17.64</v>
      </c>
      <c r="L499">
        <v>3.63</v>
      </c>
      <c r="M499">
        <v>19445</v>
      </c>
      <c r="N499">
        <v>4496</v>
      </c>
      <c r="O499">
        <v>23459</v>
      </c>
      <c r="P499">
        <v>74.790000000000006</v>
      </c>
    </row>
    <row r="500" spans="1:16" x14ac:dyDescent="0.3">
      <c r="A500">
        <v>2022</v>
      </c>
      <c r="B500" t="s">
        <v>14</v>
      </c>
      <c r="C500" t="s">
        <v>24</v>
      </c>
      <c r="D500" t="s">
        <v>22</v>
      </c>
      <c r="E500" t="str">
        <f>IF(OR(Table1[[#This Row],[Energy Type]]="Solar",Table1[[#This Row],[Energy Type]]="Wind"),"Renewable","Non-Renewable")</f>
        <v>Non-Renewable</v>
      </c>
      <c r="F500">
        <v>42286</v>
      </c>
      <c r="G500">
        <v>32258</v>
      </c>
      <c r="H500">
        <v>72504</v>
      </c>
      <c r="I500">
        <v>9967</v>
      </c>
      <c r="J500" s="8">
        <f>Table1[[#This Row],[Revenue (Crore ₹)]]/Table1[[#This Row],[Employees]]</f>
        <v>7.2744055382763122</v>
      </c>
      <c r="K500">
        <v>23.89</v>
      </c>
      <c r="L500">
        <v>14.03</v>
      </c>
      <c r="M500">
        <v>12998</v>
      </c>
      <c r="N500">
        <v>59506</v>
      </c>
      <c r="O500">
        <v>228139</v>
      </c>
      <c r="P500">
        <v>11.8</v>
      </c>
    </row>
    <row r="501" spans="1:16" x14ac:dyDescent="0.3">
      <c r="A501">
        <v>2025</v>
      </c>
      <c r="B501" t="s">
        <v>19</v>
      </c>
      <c r="C501" t="s">
        <v>18</v>
      </c>
      <c r="D501" t="s">
        <v>16</v>
      </c>
      <c r="E501" t="str">
        <f>IF(OR(Table1[[#This Row],[Energy Type]]="Solar",Table1[[#This Row],[Energy Type]]="Wind"),"Renewable","Non-Renewable")</f>
        <v>Non-Renewable</v>
      </c>
      <c r="F501">
        <v>189639</v>
      </c>
      <c r="G501">
        <v>50286</v>
      </c>
      <c r="H501">
        <v>221104</v>
      </c>
      <c r="I501">
        <v>2444</v>
      </c>
      <c r="J501" s="8">
        <f>Table1[[#This Row],[Revenue (Crore ₹)]]/Table1[[#This Row],[Employees]]</f>
        <v>90.468085106382972</v>
      </c>
      <c r="K501">
        <v>11.04</v>
      </c>
      <c r="L501">
        <v>11.75</v>
      </c>
      <c r="M501">
        <v>30606</v>
      </c>
      <c r="N501">
        <v>190498</v>
      </c>
      <c r="O501">
        <v>137644</v>
      </c>
      <c r="P501">
        <v>9.2200000000000006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1C5BD-8F21-4D38-A175-7CD3A2856D9B}">
  <dimension ref="A2:B11"/>
  <sheetViews>
    <sheetView workbookViewId="0">
      <selection activeCell="B16" sqref="B16"/>
    </sheetView>
  </sheetViews>
  <sheetFormatPr defaultRowHeight="14.4" x14ac:dyDescent="0.3"/>
  <cols>
    <col min="1" max="1" width="13.88671875" bestFit="1" customWidth="1"/>
    <col min="2" max="2" width="22.88671875" bestFit="1" customWidth="1"/>
  </cols>
  <sheetData>
    <row r="2" spans="1:2" x14ac:dyDescent="0.3">
      <c r="A2" s="2" t="s">
        <v>35</v>
      </c>
      <c r="B2" t="s">
        <v>37</v>
      </c>
    </row>
    <row r="3" spans="1:2" x14ac:dyDescent="0.3">
      <c r="A3" s="3" t="s">
        <v>15</v>
      </c>
      <c r="B3" s="5">
        <v>9775347</v>
      </c>
    </row>
    <row r="4" spans="1:2" x14ac:dyDescent="0.3">
      <c r="A4" s="3" t="s">
        <v>34</v>
      </c>
      <c r="B4" s="5">
        <v>10539413</v>
      </c>
    </row>
    <row r="5" spans="1:2" x14ac:dyDescent="0.3">
      <c r="A5" s="3" t="s">
        <v>26</v>
      </c>
      <c r="B5" s="5">
        <v>10453195</v>
      </c>
    </row>
    <row r="6" spans="1:2" x14ac:dyDescent="0.3">
      <c r="A6" s="3" t="s">
        <v>21</v>
      </c>
      <c r="B6" s="5">
        <v>9116177</v>
      </c>
    </row>
    <row r="7" spans="1:2" x14ac:dyDescent="0.3">
      <c r="A7" s="3" t="s">
        <v>33</v>
      </c>
      <c r="B7" s="5">
        <v>8247429</v>
      </c>
    </row>
    <row r="8" spans="1:2" x14ac:dyDescent="0.3">
      <c r="A8" s="3" t="s">
        <v>18</v>
      </c>
      <c r="B8" s="5">
        <v>9061483</v>
      </c>
    </row>
    <row r="9" spans="1:2" x14ac:dyDescent="0.3">
      <c r="A9" s="3" t="s">
        <v>24</v>
      </c>
      <c r="B9" s="5">
        <v>8719261</v>
      </c>
    </row>
    <row r="10" spans="1:2" x14ac:dyDescent="0.3">
      <c r="A10" s="3" t="s">
        <v>28</v>
      </c>
      <c r="B10" s="5">
        <v>7870211</v>
      </c>
    </row>
    <row r="11" spans="1:2" x14ac:dyDescent="0.3">
      <c r="A11" s="3" t="s">
        <v>36</v>
      </c>
      <c r="B11" s="5">
        <v>73782516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19878-80AE-4A0F-AA3D-0D91CFD3135C}">
  <dimension ref="A2:C8"/>
  <sheetViews>
    <sheetView workbookViewId="0">
      <selection activeCell="B18" sqref="B18"/>
    </sheetView>
  </sheetViews>
  <sheetFormatPr defaultRowHeight="14.4" x14ac:dyDescent="0.3"/>
  <cols>
    <col min="1" max="1" width="12.5546875" bestFit="1" customWidth="1"/>
    <col min="2" max="2" width="23" bestFit="1" customWidth="1"/>
    <col min="3" max="3" width="25" bestFit="1" customWidth="1"/>
  </cols>
  <sheetData>
    <row r="2" spans="1:3" x14ac:dyDescent="0.3">
      <c r="A2" s="2" t="s">
        <v>35</v>
      </c>
      <c r="B2" t="s">
        <v>38</v>
      </c>
      <c r="C2" t="s">
        <v>39</v>
      </c>
    </row>
    <row r="3" spans="1:3" x14ac:dyDescent="0.3">
      <c r="A3" s="3" t="s">
        <v>22</v>
      </c>
      <c r="B3" s="4">
        <v>10215945</v>
      </c>
      <c r="C3" s="4">
        <v>5385688</v>
      </c>
    </row>
    <row r="4" spans="1:3" x14ac:dyDescent="0.3">
      <c r="A4" s="3" t="s">
        <v>16</v>
      </c>
      <c r="B4" s="4">
        <v>10463965</v>
      </c>
      <c r="C4" s="4">
        <v>5603357</v>
      </c>
    </row>
    <row r="5" spans="1:3" x14ac:dyDescent="0.3">
      <c r="A5" s="3" t="s">
        <v>32</v>
      </c>
      <c r="B5" s="4">
        <v>9115738</v>
      </c>
      <c r="C5" s="4">
        <v>4400341</v>
      </c>
    </row>
    <row r="6" spans="1:3" x14ac:dyDescent="0.3">
      <c r="A6" s="3" t="s">
        <v>20</v>
      </c>
      <c r="B6" s="4">
        <v>9543961</v>
      </c>
      <c r="C6" s="4">
        <v>4956599</v>
      </c>
    </row>
    <row r="7" spans="1:3" x14ac:dyDescent="0.3">
      <c r="A7" s="3" t="s">
        <v>25</v>
      </c>
      <c r="B7" s="4">
        <v>11297466</v>
      </c>
      <c r="C7" s="4">
        <v>5338833</v>
      </c>
    </row>
    <row r="8" spans="1:3" x14ac:dyDescent="0.3">
      <c r="A8" s="3" t="s">
        <v>36</v>
      </c>
      <c r="B8" s="4">
        <v>50637075</v>
      </c>
      <c r="C8" s="4">
        <v>25684818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823E8-D8F5-44BA-A538-0FC5E8D3A08C}">
  <dimension ref="A2:B8"/>
  <sheetViews>
    <sheetView workbookViewId="0">
      <selection activeCell="B12" sqref="B12"/>
    </sheetView>
  </sheetViews>
  <sheetFormatPr defaultRowHeight="14.4" x14ac:dyDescent="0.3"/>
  <cols>
    <col min="1" max="1" width="12.5546875" bestFit="1" customWidth="1"/>
    <col min="2" max="2" width="23.88671875" bestFit="1" customWidth="1"/>
  </cols>
  <sheetData>
    <row r="2" spans="1:2" x14ac:dyDescent="0.3">
      <c r="A2" s="2" t="s">
        <v>35</v>
      </c>
      <c r="B2" t="s">
        <v>40</v>
      </c>
    </row>
    <row r="3" spans="1:2" x14ac:dyDescent="0.3">
      <c r="A3" s="3" t="s">
        <v>22</v>
      </c>
      <c r="B3" s="6">
        <v>14.160510204081639</v>
      </c>
    </row>
    <row r="4" spans="1:2" x14ac:dyDescent="0.3">
      <c r="A4" s="3" t="s">
        <v>20</v>
      </c>
      <c r="B4" s="6">
        <v>13.754000000000003</v>
      </c>
    </row>
    <row r="5" spans="1:2" x14ac:dyDescent="0.3">
      <c r="A5" s="3" t="s">
        <v>16</v>
      </c>
      <c r="B5" s="6">
        <v>13.472407407407408</v>
      </c>
    </row>
    <row r="6" spans="1:2" x14ac:dyDescent="0.3">
      <c r="A6" s="3" t="s">
        <v>25</v>
      </c>
      <c r="B6" s="6">
        <v>13.151284403669729</v>
      </c>
    </row>
    <row r="7" spans="1:2" x14ac:dyDescent="0.3">
      <c r="A7" s="3" t="s">
        <v>32</v>
      </c>
      <c r="B7" s="6">
        <v>13.001111111111115</v>
      </c>
    </row>
    <row r="8" spans="1:2" x14ac:dyDescent="0.3">
      <c r="A8" s="3" t="s">
        <v>36</v>
      </c>
      <c r="B8" s="6">
        <v>13.505940000000004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3CA65-BFDB-41A1-958F-20C90E540F0D}">
  <dimension ref="A2:B9"/>
  <sheetViews>
    <sheetView workbookViewId="0">
      <selection activeCell="B15" sqref="B15"/>
    </sheetView>
  </sheetViews>
  <sheetFormatPr defaultRowHeight="14.4" x14ac:dyDescent="0.3"/>
  <cols>
    <col min="1" max="1" width="12.5546875" bestFit="1" customWidth="1"/>
    <col min="2" max="2" width="22.88671875" bestFit="1" customWidth="1"/>
  </cols>
  <sheetData>
    <row r="2" spans="1:2" x14ac:dyDescent="0.3">
      <c r="A2" s="2" t="s">
        <v>35</v>
      </c>
      <c r="B2" t="s">
        <v>37</v>
      </c>
    </row>
    <row r="3" spans="1:2" x14ac:dyDescent="0.3">
      <c r="A3" s="3">
        <v>2020</v>
      </c>
      <c r="B3" s="7">
        <v>13648873</v>
      </c>
    </row>
    <row r="4" spans="1:2" x14ac:dyDescent="0.3">
      <c r="A4" s="3">
        <v>2021</v>
      </c>
      <c r="B4" s="7">
        <v>9560785</v>
      </c>
    </row>
    <row r="5" spans="1:2" x14ac:dyDescent="0.3">
      <c r="A5" s="3">
        <v>2022</v>
      </c>
      <c r="B5" s="7">
        <v>12819314</v>
      </c>
    </row>
    <row r="6" spans="1:2" x14ac:dyDescent="0.3">
      <c r="A6" s="3">
        <v>2023</v>
      </c>
      <c r="B6" s="7">
        <v>14430391</v>
      </c>
    </row>
    <row r="7" spans="1:2" x14ac:dyDescent="0.3">
      <c r="A7" s="3">
        <v>2024</v>
      </c>
      <c r="B7" s="7">
        <v>11397476</v>
      </c>
    </row>
    <row r="8" spans="1:2" x14ac:dyDescent="0.3">
      <c r="A8" s="3">
        <v>2025</v>
      </c>
      <c r="B8" s="7">
        <v>11925677</v>
      </c>
    </row>
    <row r="9" spans="1:2" x14ac:dyDescent="0.3">
      <c r="A9" s="3" t="s">
        <v>36</v>
      </c>
      <c r="B9" s="7">
        <v>73782516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08B77-4EC2-404F-AD93-6CF11BD74521}">
  <dimension ref="A2:B11"/>
  <sheetViews>
    <sheetView workbookViewId="0">
      <selection activeCell="B16" sqref="B16"/>
    </sheetView>
  </sheetViews>
  <sheetFormatPr defaultRowHeight="14.4" x14ac:dyDescent="0.3"/>
  <cols>
    <col min="1" max="1" width="13.77734375" bestFit="1" customWidth="1"/>
    <col min="2" max="2" width="23" bestFit="1" customWidth="1"/>
  </cols>
  <sheetData>
    <row r="2" spans="1:2" x14ac:dyDescent="0.3">
      <c r="A2" s="2" t="s">
        <v>35</v>
      </c>
      <c r="B2" t="s">
        <v>38</v>
      </c>
    </row>
    <row r="3" spans="1:2" x14ac:dyDescent="0.3">
      <c r="A3" s="3" t="s">
        <v>19</v>
      </c>
      <c r="B3" s="7">
        <v>7548189</v>
      </c>
    </row>
    <row r="4" spans="1:2" x14ac:dyDescent="0.3">
      <c r="A4" s="3" t="s">
        <v>29</v>
      </c>
      <c r="B4" s="7">
        <v>7062915</v>
      </c>
    </row>
    <row r="5" spans="1:2" x14ac:dyDescent="0.3">
      <c r="A5" s="3" t="s">
        <v>17</v>
      </c>
      <c r="B5" s="7">
        <v>6507020</v>
      </c>
    </row>
    <row r="6" spans="1:2" x14ac:dyDescent="0.3">
      <c r="A6" s="3" t="s">
        <v>23</v>
      </c>
      <c r="B6" s="7">
        <v>6499299</v>
      </c>
    </row>
    <row r="7" spans="1:2" x14ac:dyDescent="0.3">
      <c r="A7" s="3" t="s">
        <v>14</v>
      </c>
      <c r="B7" s="7">
        <v>6039879</v>
      </c>
    </row>
    <row r="8" spans="1:2" x14ac:dyDescent="0.3">
      <c r="A8" s="3" t="s">
        <v>31</v>
      </c>
      <c r="B8" s="7">
        <v>5917382</v>
      </c>
    </row>
    <row r="9" spans="1:2" x14ac:dyDescent="0.3">
      <c r="A9" s="3" t="s">
        <v>27</v>
      </c>
      <c r="B9" s="7">
        <v>5876797</v>
      </c>
    </row>
    <row r="10" spans="1:2" x14ac:dyDescent="0.3">
      <c r="A10" s="3" t="s">
        <v>30</v>
      </c>
      <c r="B10" s="7">
        <v>5185594</v>
      </c>
    </row>
    <row r="11" spans="1:2" x14ac:dyDescent="0.3">
      <c r="A11" s="3" t="s">
        <v>36</v>
      </c>
      <c r="B11" s="7">
        <v>50637075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2DABB-276A-4749-A038-F8DA5D5C1F80}">
  <dimension ref="A2:B11"/>
  <sheetViews>
    <sheetView workbookViewId="0">
      <selection activeCell="B20" sqref="B20"/>
    </sheetView>
  </sheetViews>
  <sheetFormatPr defaultRowHeight="14.4" x14ac:dyDescent="0.3"/>
  <cols>
    <col min="1" max="1" width="13.88671875" bestFit="1" customWidth="1"/>
    <col min="2" max="2" width="18.88671875" bestFit="1" customWidth="1"/>
  </cols>
  <sheetData>
    <row r="2" spans="1:2" x14ac:dyDescent="0.3">
      <c r="A2" s="2" t="s">
        <v>35</v>
      </c>
      <c r="B2" t="s">
        <v>41</v>
      </c>
    </row>
    <row r="3" spans="1:2" x14ac:dyDescent="0.3">
      <c r="A3" s="3" t="s">
        <v>15</v>
      </c>
      <c r="B3" s="8">
        <v>7.301323529411766</v>
      </c>
    </row>
    <row r="4" spans="1:2" x14ac:dyDescent="0.3">
      <c r="A4" s="3" t="s">
        <v>34</v>
      </c>
      <c r="B4" s="8">
        <v>8.4028358208955218</v>
      </c>
    </row>
    <row r="5" spans="1:2" x14ac:dyDescent="0.3">
      <c r="A5" s="3" t="s">
        <v>26</v>
      </c>
      <c r="B5" s="8">
        <v>8.4126086956521711</v>
      </c>
    </row>
    <row r="6" spans="1:2" x14ac:dyDescent="0.3">
      <c r="A6" s="3" t="s">
        <v>21</v>
      </c>
      <c r="B6" s="8">
        <v>8.4987301587301616</v>
      </c>
    </row>
    <row r="7" spans="1:2" x14ac:dyDescent="0.3">
      <c r="A7" s="3" t="s">
        <v>33</v>
      </c>
      <c r="B7" s="8">
        <v>7.793921568627451</v>
      </c>
    </row>
    <row r="8" spans="1:2" x14ac:dyDescent="0.3">
      <c r="A8" s="3" t="s">
        <v>18</v>
      </c>
      <c r="B8" s="8">
        <v>9.5254687500000035</v>
      </c>
    </row>
    <row r="9" spans="1:2" x14ac:dyDescent="0.3">
      <c r="A9" s="3" t="s">
        <v>24</v>
      </c>
      <c r="B9" s="8">
        <v>8.4909999999999997</v>
      </c>
    </row>
    <row r="10" spans="1:2" x14ac:dyDescent="0.3">
      <c r="A10" s="3" t="s">
        <v>28</v>
      </c>
      <c r="B10" s="8">
        <v>7.9346551724137946</v>
      </c>
    </row>
    <row r="11" spans="1:2" x14ac:dyDescent="0.3">
      <c r="A11" s="3" t="s">
        <v>36</v>
      </c>
      <c r="B11" s="8">
        <v>8.3043199999999917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828D3-BFA8-43FB-B1E5-4BBE0DC369E4}">
  <dimension ref="A2:B8"/>
  <sheetViews>
    <sheetView workbookViewId="0">
      <selection activeCell="B21" sqref="B21"/>
    </sheetView>
  </sheetViews>
  <sheetFormatPr defaultRowHeight="14.4" x14ac:dyDescent="0.3"/>
  <cols>
    <col min="1" max="1" width="12.5546875" bestFit="1" customWidth="1"/>
    <col min="2" max="2" width="30.44140625" bestFit="1" customWidth="1"/>
  </cols>
  <sheetData>
    <row r="2" spans="1:2" x14ac:dyDescent="0.3">
      <c r="A2" s="2" t="s">
        <v>35</v>
      </c>
      <c r="B2" t="s">
        <v>42</v>
      </c>
    </row>
    <row r="3" spans="1:2" x14ac:dyDescent="0.3">
      <c r="A3" s="3" t="s">
        <v>22</v>
      </c>
      <c r="B3" s="8">
        <v>157773.4081632653</v>
      </c>
    </row>
    <row r="4" spans="1:2" x14ac:dyDescent="0.3">
      <c r="A4" s="3" t="s">
        <v>16</v>
      </c>
      <c r="B4" s="8">
        <v>134132.02777777778</v>
      </c>
    </row>
    <row r="5" spans="1:2" x14ac:dyDescent="0.3">
      <c r="A5" s="3" t="s">
        <v>32</v>
      </c>
      <c r="B5" s="8">
        <v>161902.83333333334</v>
      </c>
    </row>
    <row r="6" spans="1:2" x14ac:dyDescent="0.3">
      <c r="A6" s="3" t="s">
        <v>20</v>
      </c>
      <c r="B6" s="8">
        <v>160579.63157894736</v>
      </c>
    </row>
    <row r="7" spans="1:2" x14ac:dyDescent="0.3">
      <c r="A7" s="3" t="s">
        <v>25</v>
      </c>
      <c r="B7" s="8">
        <v>155142.97247706421</v>
      </c>
    </row>
    <row r="8" spans="1:2" x14ac:dyDescent="0.3">
      <c r="A8" s="3" t="s">
        <v>36</v>
      </c>
      <c r="B8" s="8">
        <v>153369.91399999999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F1EE8-32BE-4EAD-B4A7-3C10CCB6F4A2}">
  <dimension ref="A2:B5"/>
  <sheetViews>
    <sheetView workbookViewId="0">
      <selection activeCell="B18" sqref="B18"/>
    </sheetView>
  </sheetViews>
  <sheetFormatPr defaultRowHeight="14.4" x14ac:dyDescent="0.3"/>
  <cols>
    <col min="1" max="1" width="14.21875" bestFit="1" customWidth="1"/>
    <col min="2" max="2" width="22.88671875" bestFit="1" customWidth="1"/>
  </cols>
  <sheetData>
    <row r="2" spans="1:2" x14ac:dyDescent="0.3">
      <c r="A2" s="2" t="s">
        <v>35</v>
      </c>
      <c r="B2" t="s">
        <v>37</v>
      </c>
    </row>
    <row r="3" spans="1:2" x14ac:dyDescent="0.3">
      <c r="A3" s="3" t="s">
        <v>44</v>
      </c>
      <c r="B3" s="7">
        <v>43494640</v>
      </c>
    </row>
    <row r="4" spans="1:2" x14ac:dyDescent="0.3">
      <c r="A4" s="3" t="s">
        <v>45</v>
      </c>
      <c r="B4" s="7">
        <v>30287876</v>
      </c>
    </row>
    <row r="5" spans="1:2" x14ac:dyDescent="0.3">
      <c r="A5" s="3" t="s">
        <v>36</v>
      </c>
      <c r="B5" s="7">
        <v>73782516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D7A2-7653-462F-8E7D-1E1238AFD10D}">
  <dimension ref="A2:B11"/>
  <sheetViews>
    <sheetView tabSelected="1" workbookViewId="0">
      <selection activeCell="B21" sqref="B21"/>
    </sheetView>
  </sheetViews>
  <sheetFormatPr defaultRowHeight="14.4" x14ac:dyDescent="0.3"/>
  <cols>
    <col min="1" max="1" width="13.88671875" bestFit="1" customWidth="1"/>
    <col min="2" max="2" width="27.109375" bestFit="1" customWidth="1"/>
  </cols>
  <sheetData>
    <row r="2" spans="1:2" x14ac:dyDescent="0.3">
      <c r="A2" s="2" t="s">
        <v>35</v>
      </c>
      <c r="B2" t="s">
        <v>47</v>
      </c>
    </row>
    <row r="3" spans="1:2" x14ac:dyDescent="0.3">
      <c r="A3" s="3" t="s">
        <v>15</v>
      </c>
      <c r="B3" s="8">
        <v>47.959518271833687</v>
      </c>
    </row>
    <row r="4" spans="1:2" x14ac:dyDescent="0.3">
      <c r="A4" s="3" t="s">
        <v>34</v>
      </c>
      <c r="B4" s="8">
        <v>45.603764390883427</v>
      </c>
    </row>
    <row r="5" spans="1:2" x14ac:dyDescent="0.3">
      <c r="A5" s="3" t="s">
        <v>26</v>
      </c>
      <c r="B5" s="8">
        <v>46.634027531348877</v>
      </c>
    </row>
    <row r="6" spans="1:2" x14ac:dyDescent="0.3">
      <c r="A6" s="3" t="s">
        <v>21</v>
      </c>
      <c r="B6" s="8">
        <v>41.121322916316274</v>
      </c>
    </row>
    <row r="7" spans="1:2" x14ac:dyDescent="0.3">
      <c r="A7" s="3" t="s">
        <v>33</v>
      </c>
      <c r="B7" s="8">
        <v>57.879070452489827</v>
      </c>
    </row>
    <row r="8" spans="1:2" x14ac:dyDescent="0.3">
      <c r="A8" s="3" t="s">
        <v>18</v>
      </c>
      <c r="B8" s="8">
        <v>52.506358838610581</v>
      </c>
    </row>
    <row r="9" spans="1:2" x14ac:dyDescent="0.3">
      <c r="A9" s="3" t="s">
        <v>24</v>
      </c>
      <c r="B9" s="8">
        <v>47.127656928575909</v>
      </c>
    </row>
    <row r="10" spans="1:2" x14ac:dyDescent="0.3">
      <c r="A10" s="3" t="s">
        <v>28</v>
      </c>
      <c r="B10" s="8">
        <v>38.259848323681311</v>
      </c>
    </row>
    <row r="11" spans="1:2" x14ac:dyDescent="0.3">
      <c r="A11" s="3" t="s">
        <v>36</v>
      </c>
      <c r="B11" s="8">
        <v>46.968121754601988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Dataset - Energy Industry</vt:lpstr>
      <vt:lpstr>1) Total Revenue by Company</vt:lpstr>
      <vt:lpstr>2) Production vs Consumption</vt:lpstr>
      <vt:lpstr>3) Average Profit Margin </vt:lpstr>
      <vt:lpstr>4) Yearly Revenue Trend</vt:lpstr>
      <vt:lpstr>5) Top 5 States by Production</vt:lpstr>
      <vt:lpstr>6) Company-wise Growth %</vt:lpstr>
      <vt:lpstr>7) Carbon Emission by Energy </vt:lpstr>
      <vt:lpstr>8) Renewable vs Non-Renewable </vt:lpstr>
      <vt:lpstr>9) Average Revenue Employee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saurabh sonawane</cp:lastModifiedBy>
  <dcterms:created xsi:type="dcterms:W3CDTF">2015-06-05T18:17:20Z</dcterms:created>
  <dcterms:modified xsi:type="dcterms:W3CDTF">2025-11-06T06:41:58Z</dcterms:modified>
</cp:coreProperties>
</file>