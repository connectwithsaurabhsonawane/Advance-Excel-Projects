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6) Pivot Table and Pivot Chart Projects\"/>
    </mc:Choice>
  </mc:AlternateContent>
  <xr:revisionPtr revIDLastSave="0" documentId="13_ncr:1_{2DE1A16F-57A4-460E-8DD5-2753B4D5DEEA}" xr6:coauthVersionLast="47" xr6:coauthVersionMax="47" xr10:uidLastSave="{00000000-0000-0000-0000-000000000000}"/>
  <bookViews>
    <workbookView xWindow="-108" yWindow="-108" windowWidth="23256" windowHeight="12456" firstSheet="8" activeTab="10" xr2:uid="{00000000-000D-0000-FFFF-FFFF00000000}"/>
  </bookViews>
  <sheets>
    <sheet name="Dataset - Health Care Industry" sheetId="1" r:id="rId1"/>
    <sheet name="1) Total Revenue Company" sheetId="2" r:id="rId2"/>
    <sheet name="2) Year-wise Growth % Trend" sheetId="3" r:id="rId3"/>
    <sheet name="3) Average Profit Margin by Sec" sheetId="4" r:id="rId4"/>
    <sheet name="4) Patients Treated by State" sheetId="5" r:id="rId5"/>
    <sheet name="5) Top 5 Companies by Revenue" sheetId="6" r:id="rId6"/>
    <sheet name="6) R&amp;D Spend vs Profit Margin (" sheetId="7" r:id="rId7"/>
    <sheet name="7) Exports vs Domestic Sales Co" sheetId="8" r:id="rId8"/>
    <sheet name="8) Customer Satisfaction by Sec" sheetId="9" r:id="rId9"/>
    <sheet name="9) Revenue per Doctor " sheetId="10" r:id="rId10"/>
    <sheet name="10) Medicine-wise Revenue Distr" sheetId="11" r:id="rId11"/>
  </sheets>
  <calcPr calcId="191029"/>
  <pivotCaches>
    <pivotCache cacheId="23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</calcChain>
</file>

<file path=xl/sharedStrings.xml><?xml version="1.0" encoding="utf-8"?>
<sst xmlns="http://schemas.openxmlformats.org/spreadsheetml/2006/main" count="2121" uniqueCount="57">
  <si>
    <t>Year</t>
  </si>
  <si>
    <t>State</t>
  </si>
  <si>
    <t>Company / Hospital</t>
  </si>
  <si>
    <t>Sector Type</t>
  </si>
  <si>
    <t>Product / Medicine Type</t>
  </si>
  <si>
    <t>Patients Treated</t>
  </si>
  <si>
    <t>Doctors / Staff</t>
  </si>
  <si>
    <t>Revenue (Crore ₹)</t>
  </si>
  <si>
    <t>Profit Margin %</t>
  </si>
  <si>
    <t>R&amp;D Spend (Crore ₹)</t>
  </si>
  <si>
    <t>Growth %</t>
  </si>
  <si>
    <t>Exports (Crore ₹)</t>
  </si>
  <si>
    <t>Domestic Sales (Crore ₹)</t>
  </si>
  <si>
    <t>Drug Approvals / Patents</t>
  </si>
  <si>
    <t>Customer Satisfaction %</t>
  </si>
  <si>
    <t>Telangana</t>
  </si>
  <si>
    <t>Apollo Hospitals</t>
  </si>
  <si>
    <t>Hospital</t>
  </si>
  <si>
    <t>Antibiotics</t>
  </si>
  <si>
    <t>Tamil Nadu</t>
  </si>
  <si>
    <t>Max Healthcare</t>
  </si>
  <si>
    <t>West Bengal</t>
  </si>
  <si>
    <t>Zydus Cadila</t>
  </si>
  <si>
    <t>Cancer</t>
  </si>
  <si>
    <t>Maharashtra</t>
  </si>
  <si>
    <t>Cipla</t>
  </si>
  <si>
    <t>Painkillers</t>
  </si>
  <si>
    <t>Torrent Pharma</t>
  </si>
  <si>
    <t>Pharmaceutical</t>
  </si>
  <si>
    <t>Fortis Healthcare</t>
  </si>
  <si>
    <t>Skin Care</t>
  </si>
  <si>
    <t>Heart Care</t>
  </si>
  <si>
    <t>Lupin Ltd</t>
  </si>
  <si>
    <t>Kerala</t>
  </si>
  <si>
    <t>Gujarat</t>
  </si>
  <si>
    <t>AIIMS</t>
  </si>
  <si>
    <t>Delhi</t>
  </si>
  <si>
    <t>Biocon</t>
  </si>
  <si>
    <t>Vaccines</t>
  </si>
  <si>
    <t>Karnataka</t>
  </si>
  <si>
    <t>Dr. Reddy's Labs</t>
  </si>
  <si>
    <t>Diabetes</t>
  </si>
  <si>
    <t>Sun Pharma</t>
  </si>
  <si>
    <t>Supplements</t>
  </si>
  <si>
    <t>Serum Institute</t>
  </si>
  <si>
    <t>Row Labels</t>
  </si>
  <si>
    <t>Grand Total</t>
  </si>
  <si>
    <t>Sum of Revenue (Crore ₹)</t>
  </si>
  <si>
    <t>Average of Growth %</t>
  </si>
  <si>
    <t>Average of Profit Margin %</t>
  </si>
  <si>
    <t>Sum of Patients Treated</t>
  </si>
  <si>
    <t>Average of R&amp;D Spend (Crore ₹)</t>
  </si>
  <si>
    <t>Sum of Exports (Crore ₹)</t>
  </si>
  <si>
    <t>Sum of Domestic Sales (Crore ₹)</t>
  </si>
  <si>
    <t>Average of Customer Satisfaction %</t>
  </si>
  <si>
    <t>Revenue By Doctor</t>
  </si>
  <si>
    <t>Average of Revenue By Doctor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</si>
</sst>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/>
    <xf numFmtId="0" fontId="0" fillId="3" borderId="1" xfId="0" applyFill="1" applyBorder="1"/>
    <xf numFmtId="0" fontId="0" fillId="4" borderId="1" xfId="0" applyFill="1" applyBorder="1" applyAlignment="1">
      <alignment horizontal="left"/>
    </xf>
    <xf numFmtId="0" fontId="0" fillId="4" borderId="1" xfId="0" applyNumberFormat="1" applyFill="1" applyBorder="1"/>
    <xf numFmtId="2" fontId="0" fillId="0" borderId="0" xfId="0" applyNumberFormat="1"/>
    <xf numFmtId="165" fontId="0" fillId="0" borderId="0" xfId="0" applyNumberFormat="1"/>
    <xf numFmtId="43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67"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2" formatCode="0.00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2" formatCode="0.00"/>
    </dxf>
    <dxf>
      <numFmt numFmtId="34" formatCode="_ &quot;₹&quot;\ * #,##0.00_ ;_ &quot;₹&quot;\ * \-#,##0.00_ ;_ &quot;₹&quot;\ * &quot;-&quot;??_ ;_ @_ "/>
    </dxf>
    <dxf>
      <numFmt numFmtId="35" formatCode="_ * #,##0.00_ ;_ * \-#,##0.00_ ;_ * &quot;-&quot;??_ ;_ @_ "/>
    </dxf>
    <dxf>
      <numFmt numFmtId="2" formatCode="0.00"/>
    </dxf>
    <dxf>
      <numFmt numFmtId="165" formatCode="0.0"/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numFmt numFmtId="2" formatCode="0.00"/>
    </dxf>
    <dxf>
      <numFmt numFmtId="164" formatCode="0.000"/>
    </dxf>
    <dxf>
      <numFmt numFmtId="2" formatCode="0.00"/>
    </dxf>
    <dxf>
      <numFmt numFmtId="164" formatCode="0.000"/>
    </dxf>
    <dxf>
      <numFmt numFmtId="171" formatCode="0.0000"/>
    </dxf>
    <dxf>
      <numFmt numFmtId="171" formatCode="0.0000"/>
    </dxf>
    <dxf>
      <numFmt numFmtId="170" formatCode="0.00000"/>
    </dxf>
    <dxf>
      <numFmt numFmtId="170" formatCode="0.00000"/>
    </dxf>
    <dxf>
      <numFmt numFmtId="169" formatCode="0.000000"/>
    </dxf>
    <dxf>
      <numFmt numFmtId="169" formatCode="0.000000"/>
    </dxf>
    <dxf>
      <numFmt numFmtId="168" formatCode="0.0000000"/>
    </dxf>
    <dxf>
      <numFmt numFmtId="168" formatCode="0.0000000"/>
    </dxf>
    <dxf>
      <numFmt numFmtId="2" formatCode="0.00"/>
    </dxf>
    <dxf>
      <numFmt numFmtId="34" formatCode="_ &quot;₹&quot;\ * #,##0.00_ ;_ &quot;₹&quot;\ * \-#,##0.00_ ;_ &quot;₹&quot;\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4" formatCode="_ &quot;₹&quot;\ * #,##0.00_ ;_ &quot;₹&quot;\ * \-#,##0.00_ ;_ &quot;₹&quot;\ * &quot;-&quot;??_ ;_ @_ "/>
    </dxf>
    <dxf>
      <numFmt numFmtId="2" formatCode="0.00"/>
    </dxf>
    <dxf>
      <numFmt numFmtId="35" formatCode="_ * #,##0.00_ ;_ * \-#,##0.00_ ;_ * &quot;-&quot;??_ ;_ @_ "/>
    </dxf>
    <dxf>
      <numFmt numFmtId="2" formatCode="0.00"/>
    </dxf>
    <dxf>
      <numFmt numFmtId="165" formatCode="0.0"/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[3) Health Care - Pivot Tables and Pivot Charts.xlsx]1) Total Revenue Company!PivotTable1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Company Wise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'1) Total Revenue Company'!$B$2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'1) Total Revenue Company'!$A$3:$A$15</c:f>
              <c:strCache>
                <c:ptCount val="12"/>
                <c:pt idx="0">
                  <c:v>Biocon</c:v>
                </c:pt>
                <c:pt idx="1">
                  <c:v>Lupin Ltd</c:v>
                </c:pt>
                <c:pt idx="2">
                  <c:v>Max Healthcare</c:v>
                </c:pt>
                <c:pt idx="3">
                  <c:v>Zydus Cadila</c:v>
                </c:pt>
                <c:pt idx="4">
                  <c:v>Torrent Pharma</c:v>
                </c:pt>
                <c:pt idx="5">
                  <c:v>Dr. Reddy's Labs</c:v>
                </c:pt>
                <c:pt idx="6">
                  <c:v>Cipla</c:v>
                </c:pt>
                <c:pt idx="7">
                  <c:v>Serum Institute</c:v>
                </c:pt>
                <c:pt idx="8">
                  <c:v>Fortis Healthcare</c:v>
                </c:pt>
                <c:pt idx="9">
                  <c:v>AIIMS</c:v>
                </c:pt>
                <c:pt idx="10">
                  <c:v>Sun Pharma</c:v>
                </c:pt>
                <c:pt idx="11">
                  <c:v>Apollo Hospitals</c:v>
                </c:pt>
              </c:strCache>
            </c:strRef>
          </c:cat>
          <c:val>
            <c:numRef>
              <c:f>'1) Total Revenue Company'!$B$3:$B$15</c:f>
              <c:numCache>
                <c:formatCode>General</c:formatCode>
                <c:ptCount val="12"/>
                <c:pt idx="0">
                  <c:v>5136720</c:v>
                </c:pt>
                <c:pt idx="1">
                  <c:v>5083935</c:v>
                </c:pt>
                <c:pt idx="2">
                  <c:v>5075706</c:v>
                </c:pt>
                <c:pt idx="3">
                  <c:v>4946194</c:v>
                </c:pt>
                <c:pt idx="4">
                  <c:v>4493935</c:v>
                </c:pt>
                <c:pt idx="5">
                  <c:v>4419114</c:v>
                </c:pt>
                <c:pt idx="6">
                  <c:v>4352895</c:v>
                </c:pt>
                <c:pt idx="7">
                  <c:v>4138348</c:v>
                </c:pt>
                <c:pt idx="8">
                  <c:v>3419439</c:v>
                </c:pt>
                <c:pt idx="9">
                  <c:v>3267347</c:v>
                </c:pt>
                <c:pt idx="10">
                  <c:v>3183056</c:v>
                </c:pt>
                <c:pt idx="11">
                  <c:v>3175924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C8-428B-8915-A28E173B570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127817456"/>
        <c:axId val="2127819376"/>
      </c:barChart>
      <c:catAx>
        <c:axId val="212781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819376"/>
        <c:crosses val="autoZero"/>
        <c:auto val="1"/>
        <c:lblAlgn val="ctr"/>
        <c:lblOffset val="100"/>
        <c:noMultiLvlLbl val="0"/>
      </c:catAx>
      <c:valAx>
        <c:axId val="21278193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2781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[3) Health Care - Pivot Tables and Pivot Charts.xlsx]2) Year-wise Growth % Trend!PivotTable2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'2) Year-wise Growth % Trend'!$B$2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'2) Year-wise Growth % Trend'!$A$3:$A$9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'2) Year-wise Growth % Trend'!$B$3:$B$9</c:f>
              <c:numCache>
                <c:formatCode>0.0</c:formatCode>
                <c:ptCount val="6"/>
                <c:pt idx="0">
                  <c:v>7.9284999999999979</c:v>
                </c:pt>
                <c:pt idx="1">
                  <c:v>7.9526829268292696</c:v>
                </c:pt>
                <c:pt idx="2">
                  <c:v>7.6127586206896556</c:v>
                </c:pt>
                <c:pt idx="3">
                  <c:v>8.1513333333333353</c:v>
                </c:pt>
                <c:pt idx="4">
                  <c:v>7.2888764044943848</c:v>
                </c:pt>
                <c:pt idx="5">
                  <c:v>7.6395833333333325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BD-4DE4-86E0-7E4599C07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62444320"/>
        <c:axId val="162445280"/>
      </c:lineChart>
      <c:catAx>
        <c:axId val="16244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45280"/>
        <c:crosses val="autoZero"/>
        <c:auto val="1"/>
        <c:lblAlgn val="ctr"/>
        <c:lblOffset val="100"/>
        <c:noMultiLvlLbl val="0"/>
      </c:catAx>
      <c:valAx>
        <c:axId val="16244528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4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[3) Health Care - Pivot Tables and Pivot Charts.xlsx]3) Average Profit Margin by Sec!PivotTable3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'3) Average Profit Margin by Sec'!$B$2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'3) Average Profit Margin by Sec'!$A$3:$A$5</c:f>
              <c:strCache>
                <c:ptCount val="2"/>
                <c:pt idx="0">
                  <c:v>Hospital</c:v>
                </c:pt>
                <c:pt idx="1">
                  <c:v>Pharmaceutical</c:v>
                </c:pt>
              </c:strCache>
            </c:strRef>
          </c:cat>
          <c:val>
            <c:numRef>
              <c:f>'3) Average Profit Margin by Sec'!$B$3:$B$5</c:f>
              <c:numCache>
                <c:formatCode>0.00</c:formatCode>
                <c:ptCount val="2"/>
                <c:pt idx="0">
                  <c:v>14.910956521739129</c:v>
                </c:pt>
                <c:pt idx="1">
                  <c:v>12.676709677419359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B-46A3-911C-8E4038FC5FA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[3) Health Care - Pivot Tables and Pivot Charts.xlsx]4) Patients Treated by State!PivotTable4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Patient Treated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'4) Patients Treated by State'!$B$2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'4) Patients Treated by State'!$A$3:$A$11</c:f>
              <c:strCache>
                <c:ptCount val="8"/>
                <c:pt idx="0">
                  <c:v>West Bengal</c:v>
                </c:pt>
                <c:pt idx="1">
                  <c:v>Karnataka</c:v>
                </c:pt>
                <c:pt idx="2">
                  <c:v>Gujarat</c:v>
                </c:pt>
                <c:pt idx="3">
                  <c:v>Maharashtra</c:v>
                </c:pt>
                <c:pt idx="4">
                  <c:v>Tamil Nadu</c:v>
                </c:pt>
                <c:pt idx="5">
                  <c:v>Delhi</c:v>
                </c:pt>
                <c:pt idx="6">
                  <c:v>Telangana</c:v>
                </c:pt>
                <c:pt idx="7">
                  <c:v>Kerala</c:v>
                </c:pt>
              </c:strCache>
            </c:strRef>
          </c:cat>
          <c:val>
            <c:numRef>
              <c:f>'4) Patients Treated by State'!$B$3:$B$11</c:f>
              <c:numCache>
                <c:formatCode>_(* #,##0.00_);_(* \(#,##0.00\);_(* "-"??_);_(@_)</c:formatCode>
                <c:ptCount val="8"/>
                <c:pt idx="0">
                  <c:v>3954096</c:v>
                </c:pt>
                <c:pt idx="1">
                  <c:v>3612298</c:v>
                </c:pt>
                <c:pt idx="2">
                  <c:v>3565328</c:v>
                </c:pt>
                <c:pt idx="3">
                  <c:v>3207865</c:v>
                </c:pt>
                <c:pt idx="4">
                  <c:v>3124718</c:v>
                </c:pt>
                <c:pt idx="5">
                  <c:v>2900220</c:v>
                </c:pt>
                <c:pt idx="6">
                  <c:v>2832771</c:v>
                </c:pt>
                <c:pt idx="7">
                  <c:v>2564225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5-499E-8333-6FC970FEE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2566624"/>
        <c:axId val="51375568"/>
      </c:barChart>
      <c:catAx>
        <c:axId val="213256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5568"/>
        <c:crosses val="autoZero"/>
        <c:auto val="1"/>
        <c:lblAlgn val="ctr"/>
        <c:lblOffset val="100"/>
        <c:noMultiLvlLbl val="0"/>
      </c:catAx>
      <c:valAx>
        <c:axId val="5137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56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[3) Health Care - Pivot Tables and Pivot Charts.xlsx]5) Top 5 Companies by Revenue!PivotTable5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'5) Top 5 Companies by Revenue'!$B$2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'5) Top 5 Companies by Revenue'!$A$3:$A$8</c:f>
              <c:strCache>
                <c:ptCount val="5"/>
                <c:pt idx="0">
                  <c:v>Biocon</c:v>
                </c:pt>
                <c:pt idx="1">
                  <c:v>Lupin Ltd</c:v>
                </c:pt>
                <c:pt idx="2">
                  <c:v>Max Healthcare</c:v>
                </c:pt>
                <c:pt idx="3">
                  <c:v>Zydus Cadila</c:v>
                </c:pt>
                <c:pt idx="4">
                  <c:v>Torrent Pharma</c:v>
                </c:pt>
              </c:strCache>
            </c:strRef>
          </c:cat>
          <c:val>
            <c:numRef>
              <c:f>'5) Top 5 Companies by Revenue'!$B$3:$B$8</c:f>
              <c:numCache>
                <c:formatCode>General</c:formatCode>
                <c:ptCount val="5"/>
                <c:pt idx="0">
                  <c:v>5136720</c:v>
                </c:pt>
                <c:pt idx="1">
                  <c:v>5083935</c:v>
                </c:pt>
                <c:pt idx="2">
                  <c:v>5075706</c:v>
                </c:pt>
                <c:pt idx="3">
                  <c:v>4946194</c:v>
                </c:pt>
                <c:pt idx="4">
                  <c:v>4493935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E-4A33-8943-BB449BB79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730672"/>
        <c:axId val="61730192"/>
      </c:barChart>
      <c:catAx>
        <c:axId val="6173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30192"/>
        <c:crosses val="autoZero"/>
        <c:auto val="1"/>
        <c:lblAlgn val="ctr"/>
        <c:lblOffset val="100"/>
        <c:noMultiLvlLbl val="0"/>
      </c:catAx>
      <c:valAx>
        <c:axId val="6173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3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[3) Health Care - Pivot Tables and Pivot Charts.xlsx]6) R&amp;D Spend vs Profit Margin (!PivotTable6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'6) R&amp;D Spend vs Profit Margin ('!$B$2</c:f>
              <c:strCache>
                <c:ptCount val="1"/>
                <c:pt idx="0">
                  <c:v>Average of R&amp;D Spend (Crore ₹)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'6) R&amp;D Spend vs Profit Margin ('!$A$3:$A$15</c:f>
              <c:strCache>
                <c:ptCount val="12"/>
                <c:pt idx="0">
                  <c:v>Lupin Ltd</c:v>
                </c:pt>
                <c:pt idx="1">
                  <c:v>Zydus Cadila</c:v>
                </c:pt>
                <c:pt idx="2">
                  <c:v>Apollo Hospitals</c:v>
                </c:pt>
                <c:pt idx="3">
                  <c:v>AIIMS</c:v>
                </c:pt>
                <c:pt idx="4">
                  <c:v>Biocon</c:v>
                </c:pt>
                <c:pt idx="5">
                  <c:v>Max Healthcare</c:v>
                </c:pt>
                <c:pt idx="6">
                  <c:v>Serum Institute</c:v>
                </c:pt>
                <c:pt idx="7">
                  <c:v>Fortis Healthcare</c:v>
                </c:pt>
                <c:pt idx="8">
                  <c:v>Dr. Reddy's Labs</c:v>
                </c:pt>
                <c:pt idx="9">
                  <c:v>Cipla</c:v>
                </c:pt>
                <c:pt idx="10">
                  <c:v>Torrent Pharma</c:v>
                </c:pt>
                <c:pt idx="11">
                  <c:v>Sun Pharma</c:v>
                </c:pt>
              </c:strCache>
            </c:strRef>
          </c:cat>
          <c:val>
            <c:numRef>
              <c:f>'6) R&amp;D Spend vs Profit Margin ('!$B$3:$B$15</c:f>
              <c:numCache>
                <c:formatCode>_("₹"* #,##0.00_);_("₹"* \(#,##0.00\);_("₹"* "-"??_);_(@_)</c:formatCode>
                <c:ptCount val="12"/>
                <c:pt idx="0">
                  <c:v>11016.5</c:v>
                </c:pt>
                <c:pt idx="1">
                  <c:v>9999.6304347826081</c:v>
                </c:pt>
                <c:pt idx="2">
                  <c:v>10119.741935483871</c:v>
                </c:pt>
                <c:pt idx="3">
                  <c:v>8530.5897435897441</c:v>
                </c:pt>
                <c:pt idx="4">
                  <c:v>10370.183673469388</c:v>
                </c:pt>
                <c:pt idx="5">
                  <c:v>8694.4285714285706</c:v>
                </c:pt>
                <c:pt idx="6">
                  <c:v>11106.625</c:v>
                </c:pt>
                <c:pt idx="7">
                  <c:v>11355.54054054054</c:v>
                </c:pt>
                <c:pt idx="8">
                  <c:v>10932.674418604651</c:v>
                </c:pt>
                <c:pt idx="9">
                  <c:v>9156.8695652173919</c:v>
                </c:pt>
                <c:pt idx="10">
                  <c:v>10780.472222222223</c:v>
                </c:pt>
                <c:pt idx="11">
                  <c:v>9601.1111111111113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0B-4E93-ABA7-25FD2F0ED150}"/>
            </c:ext>
          </c:extLst>
        </c:ser>
        <c:ser>
          <c:idx val="1"/>
          <c:order val="1"/>
          <c:tx>
            <c:strRef>
              <c:f>'6) R&amp;D Spend vs Profit Margin ('!$C$2</c:f>
              <c:strCache>
                <c:ptCount val="1"/>
                <c:pt idx="0">
                  <c:v>Average of Profit Margin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'6) R&amp;D Spend vs Profit Margin ('!$A$3:$A$15</c:f>
              <c:strCache>
                <c:ptCount val="12"/>
                <c:pt idx="0">
                  <c:v>Lupin Ltd</c:v>
                </c:pt>
                <c:pt idx="1">
                  <c:v>Zydus Cadila</c:v>
                </c:pt>
                <c:pt idx="2">
                  <c:v>Apollo Hospitals</c:v>
                </c:pt>
                <c:pt idx="3">
                  <c:v>AIIMS</c:v>
                </c:pt>
                <c:pt idx="4">
                  <c:v>Biocon</c:v>
                </c:pt>
                <c:pt idx="5">
                  <c:v>Max Healthcare</c:v>
                </c:pt>
                <c:pt idx="6">
                  <c:v>Serum Institute</c:v>
                </c:pt>
                <c:pt idx="7">
                  <c:v>Fortis Healthcare</c:v>
                </c:pt>
                <c:pt idx="8">
                  <c:v>Dr. Reddy's Labs</c:v>
                </c:pt>
                <c:pt idx="9">
                  <c:v>Cipla</c:v>
                </c:pt>
                <c:pt idx="10">
                  <c:v>Torrent Pharma</c:v>
                </c:pt>
                <c:pt idx="11">
                  <c:v>Sun Pharma</c:v>
                </c:pt>
              </c:strCache>
            </c:strRef>
          </c:cat>
          <c:val>
            <c:numRef>
              <c:f>'6) R&amp;D Spend vs Profit Margin ('!$C$3:$C$15</c:f>
              <c:numCache>
                <c:formatCode>0.00</c:formatCode>
                <c:ptCount val="12"/>
                <c:pt idx="0">
                  <c:v>16.142291666666669</c:v>
                </c:pt>
                <c:pt idx="1">
                  <c:v>16.072391304347821</c:v>
                </c:pt>
                <c:pt idx="2">
                  <c:v>15.635161290322582</c:v>
                </c:pt>
                <c:pt idx="3">
                  <c:v>15.230256410256411</c:v>
                </c:pt>
                <c:pt idx="4">
                  <c:v>14.889387755102042</c:v>
                </c:pt>
                <c:pt idx="5">
                  <c:v>14.666938775510204</c:v>
                </c:pt>
                <c:pt idx="6">
                  <c:v>14.602999999999998</c:v>
                </c:pt>
                <c:pt idx="7">
                  <c:v>14.494324324324323</c:v>
                </c:pt>
                <c:pt idx="8">
                  <c:v>12.720930232558144</c:v>
                </c:pt>
                <c:pt idx="9">
                  <c:v>12.323913043478262</c:v>
                </c:pt>
                <c:pt idx="10">
                  <c:v>11.705277777777781</c:v>
                </c:pt>
                <c:pt idx="11">
                  <c:v>11.455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0B-4E93-ABA7-25FD2F0ED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2131938816"/>
        <c:axId val="2134725440"/>
        <c:axId val="0"/>
      </c:bar3DChart>
      <c:catAx>
        <c:axId val="213193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725440"/>
        <c:crosses val="autoZero"/>
        <c:auto val="1"/>
        <c:lblAlgn val="ctr"/>
        <c:lblOffset val="100"/>
        <c:noMultiLvlLbl val="0"/>
      </c:catAx>
      <c:valAx>
        <c:axId val="213472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93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[3) Health Care - Pivot Tables and Pivot Charts.xlsx]7) Exports vs Domestic Sales Co!PivotTable7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'7) Exports vs Domestic Sales Co'!$B$2</c:f>
              <c:strCache>
                <c:ptCount val="1"/>
                <c:pt idx="0">
                  <c:v>Sum of Exports (Crore ₹)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'7) Exports vs Domestic Sales Co'!$A$3:$A$15</c:f>
              <c:strCache>
                <c:ptCount val="12"/>
                <c:pt idx="0">
                  <c:v>AIIMS</c:v>
                </c:pt>
                <c:pt idx="1">
                  <c:v>Apollo Hospitals</c:v>
                </c:pt>
                <c:pt idx="2">
                  <c:v>Biocon</c:v>
                </c:pt>
                <c:pt idx="3">
                  <c:v>Cipla</c:v>
                </c:pt>
                <c:pt idx="4">
                  <c:v>Dr. Reddy's Labs</c:v>
                </c:pt>
                <c:pt idx="5">
                  <c:v>Fortis Healthcare</c:v>
                </c:pt>
                <c:pt idx="6">
                  <c:v>Lupin Ltd</c:v>
                </c:pt>
                <c:pt idx="7">
                  <c:v>Max Healthcare</c:v>
                </c:pt>
                <c:pt idx="8">
                  <c:v>Serum Institute</c:v>
                </c:pt>
                <c:pt idx="9">
                  <c:v>Sun Pharma</c:v>
                </c:pt>
                <c:pt idx="10">
                  <c:v>Torrent Pharma</c:v>
                </c:pt>
                <c:pt idx="11">
                  <c:v>Zydus Cadila</c:v>
                </c:pt>
              </c:strCache>
            </c:strRef>
          </c:cat>
          <c:val>
            <c:numRef>
              <c:f>'7) Exports vs Domestic Sales Co'!$B$3:$B$15</c:f>
              <c:numCache>
                <c:formatCode>_(* #,##0.00_);_(* \(#,##0.00\);_(* "-"??_);_(@_)</c:formatCode>
                <c:ptCount val="12"/>
                <c:pt idx="0">
                  <c:v>920678</c:v>
                </c:pt>
                <c:pt idx="1">
                  <c:v>861769</c:v>
                </c:pt>
                <c:pt idx="2">
                  <c:v>1183550</c:v>
                </c:pt>
                <c:pt idx="3">
                  <c:v>1212735</c:v>
                </c:pt>
                <c:pt idx="4">
                  <c:v>1094902</c:v>
                </c:pt>
                <c:pt idx="5">
                  <c:v>967744</c:v>
                </c:pt>
                <c:pt idx="6">
                  <c:v>1087109</c:v>
                </c:pt>
                <c:pt idx="7">
                  <c:v>1229292</c:v>
                </c:pt>
                <c:pt idx="8">
                  <c:v>1018181</c:v>
                </c:pt>
                <c:pt idx="9">
                  <c:v>915590</c:v>
                </c:pt>
                <c:pt idx="10">
                  <c:v>1021817</c:v>
                </c:pt>
                <c:pt idx="11">
                  <c:v>1122856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D1-4477-9828-525838012FED}"/>
            </c:ext>
          </c:extLst>
        </c:ser>
        <c:ser>
          <c:idx val="1"/>
          <c:order val="1"/>
          <c:tx>
            <c:strRef>
              <c:f>'7) Exports vs Domestic Sales Co'!$C$2</c:f>
              <c:strCache>
                <c:ptCount val="1"/>
                <c:pt idx="0">
                  <c:v>Sum of Domestic Sales (Crore ₹)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'7) Exports vs Domestic Sales Co'!$A$3:$A$15</c:f>
              <c:strCache>
                <c:ptCount val="12"/>
                <c:pt idx="0">
                  <c:v>AIIMS</c:v>
                </c:pt>
                <c:pt idx="1">
                  <c:v>Apollo Hospitals</c:v>
                </c:pt>
                <c:pt idx="2">
                  <c:v>Biocon</c:v>
                </c:pt>
                <c:pt idx="3">
                  <c:v>Cipla</c:v>
                </c:pt>
                <c:pt idx="4">
                  <c:v>Dr. Reddy's Labs</c:v>
                </c:pt>
                <c:pt idx="5">
                  <c:v>Fortis Healthcare</c:v>
                </c:pt>
                <c:pt idx="6">
                  <c:v>Lupin Ltd</c:v>
                </c:pt>
                <c:pt idx="7">
                  <c:v>Max Healthcare</c:v>
                </c:pt>
                <c:pt idx="8">
                  <c:v>Serum Institute</c:v>
                </c:pt>
                <c:pt idx="9">
                  <c:v>Sun Pharma</c:v>
                </c:pt>
                <c:pt idx="10">
                  <c:v>Torrent Pharma</c:v>
                </c:pt>
                <c:pt idx="11">
                  <c:v>Zydus Cadila</c:v>
                </c:pt>
              </c:strCache>
            </c:strRef>
          </c:cat>
          <c:val>
            <c:numRef>
              <c:f>'7) Exports vs Domestic Sales Co'!$C$3:$C$15</c:f>
              <c:numCache>
                <c:formatCode>_(* #,##0.00_);_(* \(#,##0.00\);_(* "-"??_);_(@_)</c:formatCode>
                <c:ptCount val="12"/>
                <c:pt idx="0">
                  <c:v>2346669</c:v>
                </c:pt>
                <c:pt idx="1">
                  <c:v>2314155</c:v>
                </c:pt>
                <c:pt idx="2">
                  <c:v>3953170</c:v>
                </c:pt>
                <c:pt idx="3">
                  <c:v>3140160</c:v>
                </c:pt>
                <c:pt idx="4">
                  <c:v>3324212</c:v>
                </c:pt>
                <c:pt idx="5">
                  <c:v>2451695</c:v>
                </c:pt>
                <c:pt idx="6">
                  <c:v>3996826</c:v>
                </c:pt>
                <c:pt idx="7">
                  <c:v>3846414</c:v>
                </c:pt>
                <c:pt idx="8">
                  <c:v>3120167</c:v>
                </c:pt>
                <c:pt idx="9">
                  <c:v>2267466</c:v>
                </c:pt>
                <c:pt idx="10">
                  <c:v>3472118</c:v>
                </c:pt>
                <c:pt idx="11">
                  <c:v>3823338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D1-4477-9828-525838012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9358336"/>
        <c:axId val="159370336"/>
      </c:barChart>
      <c:catAx>
        <c:axId val="15935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70336"/>
        <c:crosses val="autoZero"/>
        <c:auto val="1"/>
        <c:lblAlgn val="ctr"/>
        <c:lblOffset val="100"/>
        <c:noMultiLvlLbl val="0"/>
      </c:catAx>
      <c:valAx>
        <c:axId val="15937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5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[3) Health Care - Pivot Tables and Pivot Charts.xlsx]8) Customer Satisfaction by Sec!PivotTable8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Satisfication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'8) Customer Satisfaction by Sec'!$B$3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'8) Customer Satisfaction by Sec'!$A$4:$A$6</c:f>
              <c:strCache>
                <c:ptCount val="2"/>
                <c:pt idx="0">
                  <c:v>Hospital</c:v>
                </c:pt>
                <c:pt idx="1">
                  <c:v>Pharmaceutical</c:v>
                </c:pt>
              </c:strCache>
            </c:strRef>
          </c:cat>
          <c:val>
            <c:numRef>
              <c:f>'8) Customer Satisfaction by Sec'!$B$4:$B$6</c:f>
              <c:numCache>
                <c:formatCode>0.00</c:formatCode>
                <c:ptCount val="2"/>
                <c:pt idx="0">
                  <c:v>83.898550724637687</c:v>
                </c:pt>
                <c:pt idx="1">
                  <c:v>83.374193548387098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9-403C-BE41-6AF88A200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[3) Health Care - Pivot Tables and Pivot Charts.xlsx]9) Revenue per Doctor 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'9) Revenue per Doctor '!$B$2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'9) Revenue per Doctor '!$A$3:$A$15</c:f>
              <c:strCache>
                <c:ptCount val="12"/>
                <c:pt idx="0">
                  <c:v>AIIMS</c:v>
                </c:pt>
                <c:pt idx="1">
                  <c:v>Apollo Hospitals</c:v>
                </c:pt>
                <c:pt idx="2">
                  <c:v>Biocon</c:v>
                </c:pt>
                <c:pt idx="3">
                  <c:v>Cipla</c:v>
                </c:pt>
                <c:pt idx="4">
                  <c:v>Dr. Reddy's Labs</c:v>
                </c:pt>
                <c:pt idx="5">
                  <c:v>Fortis Healthcare</c:v>
                </c:pt>
                <c:pt idx="6">
                  <c:v>Lupin Ltd</c:v>
                </c:pt>
                <c:pt idx="7">
                  <c:v>Max Healthcare</c:v>
                </c:pt>
                <c:pt idx="8">
                  <c:v>Serum Institute</c:v>
                </c:pt>
                <c:pt idx="9">
                  <c:v>Sun Pharma</c:v>
                </c:pt>
                <c:pt idx="10">
                  <c:v>Torrent Pharma</c:v>
                </c:pt>
                <c:pt idx="11">
                  <c:v>Zydus Cadila</c:v>
                </c:pt>
              </c:strCache>
            </c:strRef>
          </c:cat>
          <c:val>
            <c:numRef>
              <c:f>'9) Revenue per Doctor '!$B$3:$B$15</c:f>
              <c:numCache>
                <c:formatCode>0.00</c:formatCode>
                <c:ptCount val="12"/>
                <c:pt idx="0">
                  <c:v>82.674181216655441</c:v>
                </c:pt>
                <c:pt idx="1">
                  <c:v>47.815521949196103</c:v>
                </c:pt>
                <c:pt idx="2">
                  <c:v>81.613017369214603</c:v>
                </c:pt>
                <c:pt idx="3">
                  <c:v>76.017986880062637</c:v>
                </c:pt>
                <c:pt idx="4">
                  <c:v>99.434392217869316</c:v>
                </c:pt>
                <c:pt idx="5">
                  <c:v>62.995485395970753</c:v>
                </c:pt>
                <c:pt idx="6">
                  <c:v>75.724041258562096</c:v>
                </c:pt>
                <c:pt idx="7">
                  <c:v>98.617968599496976</c:v>
                </c:pt>
                <c:pt idx="8">
                  <c:v>77.683770262356745</c:v>
                </c:pt>
                <c:pt idx="9">
                  <c:v>94.660732957671129</c:v>
                </c:pt>
                <c:pt idx="10">
                  <c:v>62.676493120098712</c:v>
                </c:pt>
                <c:pt idx="11">
                  <c:v>77.939424665117485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5-47DB-B33C-61C75839D0A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53628256"/>
        <c:axId val="61463072"/>
      </c:barChart>
      <c:catAx>
        <c:axId val="5362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63072"/>
        <c:crosses val="autoZero"/>
        <c:auto val="1"/>
        <c:lblAlgn val="ctr"/>
        <c:lblOffset val="100"/>
        <c:noMultiLvlLbl val="0"/>
      </c:catAx>
      <c:valAx>
        <c:axId val="6146307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362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[3) Health Care - Pivot Tables and Pivot Charts.xlsx]10) Medicine-wise Revenue Distr!PivotTable10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'10) Medicine-wise Revenue Distr'!$B$2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453-41B8-8E5F-08AD30AF7A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'10) Medicine-wise Revenue Distr'!$A$3:$A$11</c:f>
              <c:strCache>
                <c:ptCount val="8"/>
                <c:pt idx="0">
                  <c:v>Skin Care</c:v>
                </c:pt>
                <c:pt idx="1">
                  <c:v>Heart Care</c:v>
                </c:pt>
                <c:pt idx="2">
                  <c:v>Supplements</c:v>
                </c:pt>
                <c:pt idx="3">
                  <c:v>Diabetes</c:v>
                </c:pt>
                <c:pt idx="4">
                  <c:v>Antibiotics</c:v>
                </c:pt>
                <c:pt idx="5">
                  <c:v>Painkillers</c:v>
                </c:pt>
                <c:pt idx="6">
                  <c:v>Cancer</c:v>
                </c:pt>
                <c:pt idx="7">
                  <c:v>Vaccines</c:v>
                </c:pt>
              </c:strCache>
            </c:strRef>
          </c:cat>
          <c:val>
            <c:numRef>
              <c:f>'10) Medicine-wise Revenue Distr'!$B$3:$B$11</c:f>
              <c:numCache>
                <c:formatCode>_(* #,##0.00_);_(* \(#,##0.00\);_(* "-"??_);_(@_)</c:formatCode>
                <c:ptCount val="8"/>
                <c:pt idx="0">
                  <c:v>8034407</c:v>
                </c:pt>
                <c:pt idx="1">
                  <c:v>6627742</c:v>
                </c:pt>
                <c:pt idx="2">
                  <c:v>6612300</c:v>
                </c:pt>
                <c:pt idx="3">
                  <c:v>6610498</c:v>
                </c:pt>
                <c:pt idx="4">
                  <c:v>6232298</c:v>
                </c:pt>
                <c:pt idx="5">
                  <c:v>5716109</c:v>
                </c:pt>
                <c:pt idx="6">
                  <c:v>5696444</c:v>
                </c:pt>
                <c:pt idx="7">
                  <c:v>5162815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53-41B8-8E5F-08AD30AF7AC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0</xdr:row>
      <xdr:rowOff>0</xdr:rowOff>
    </xdr:from>
    <xdr:to>
      <xdr:col>20</xdr:col>
      <xdr:colOff>30480</xdr:colOff>
      <xdr:row>25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6B731F-C7D8-2486-9FB8-DB8A465FDC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0</xdr:row>
      <xdr:rowOff>0</xdr:rowOff>
    </xdr:from>
    <xdr:to>
      <xdr:col>19</xdr:col>
      <xdr:colOff>594360</xdr:colOff>
      <xdr:row>26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AC307A-D6F7-4D7E-D165-04E9B27D28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0</xdr:row>
      <xdr:rowOff>0</xdr:rowOff>
    </xdr:from>
    <xdr:to>
      <xdr:col>20</xdr:col>
      <xdr:colOff>15240</xdr:colOff>
      <xdr:row>24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23F057-3B5A-043A-0AC4-949563B97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0</xdr:row>
      <xdr:rowOff>0</xdr:rowOff>
    </xdr:from>
    <xdr:to>
      <xdr:col>21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752528-9254-5A7E-CE82-946F3F450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20</xdr:col>
      <xdr:colOff>0</xdr:colOff>
      <xdr:row>26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5E0953-4D9C-D6EA-33A7-4FB3D36A2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0</xdr:row>
      <xdr:rowOff>0</xdr:rowOff>
    </xdr:from>
    <xdr:to>
      <xdr:col>19</xdr:col>
      <xdr:colOff>403860</xdr:colOff>
      <xdr:row>31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E6824F-C6DE-01D6-2B75-EFAF8419D5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17</xdr:col>
      <xdr:colOff>594360</xdr:colOff>
      <xdr:row>25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4ABDB2-860C-0385-4F4A-AA395088E7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0</xdr:rowOff>
    </xdr:from>
    <xdr:to>
      <xdr:col>18</xdr:col>
      <xdr:colOff>579120</xdr:colOff>
      <xdr:row>25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CEF28D-8697-8E6E-D4CD-EBD0A054C9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20</xdr:col>
      <xdr:colOff>15240</xdr:colOff>
      <xdr:row>26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0495A3-8DCE-7B37-9B0A-E6C8B163EE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0</xdr:row>
      <xdr:rowOff>0</xdr:rowOff>
    </xdr:from>
    <xdr:to>
      <xdr:col>21</xdr:col>
      <xdr:colOff>0</xdr:colOff>
      <xdr:row>26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FFBB63-01D3-1F10-209F-D66F3372A3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67.531268402781" createdVersion="8" refreshedVersion="8" minRefreshableVersion="3" recordCount="500" xr:uid="{523EE117-A9B8-4418-8F4A-095F282B90A4}">
  <cacheSource type="worksheet">
    <worksheetSource name="Table1"/>
  </cacheSource>
  <cacheFields count="16">
    <cacheField name="Year" numFmtId="0">
      <sharedItems containsSemiMixedTypes="0" containsString="0" containsNumber="1" containsInteger="1" minValue="2020" maxValue="2025" count="6">
        <n v="2023"/>
        <n v="2022"/>
        <n v="2020"/>
        <n v="2021"/>
        <n v="2024"/>
        <n v="2025"/>
      </sharedItems>
    </cacheField>
    <cacheField name="State" numFmtId="0">
      <sharedItems count="8">
        <s v="Telangana"/>
        <s v="Tamil Nadu"/>
        <s v="West Bengal"/>
        <s v="Maharashtra"/>
        <s v="Kerala"/>
        <s v="Gujarat"/>
        <s v="Delhi"/>
        <s v="Karnataka"/>
      </sharedItems>
    </cacheField>
    <cacheField name="Company / Hospital" numFmtId="0">
      <sharedItems count="12">
        <s v="Apollo Hospitals"/>
        <s v="Max Healthcare"/>
        <s v="Zydus Cadila"/>
        <s v="Cipla"/>
        <s v="Torrent Pharma"/>
        <s v="Fortis Healthcare"/>
        <s v="Lupin Ltd"/>
        <s v="AIIMS"/>
        <s v="Biocon"/>
        <s v="Dr. Reddy's Labs"/>
        <s v="Sun Pharma"/>
        <s v="Serum Institute"/>
      </sharedItems>
    </cacheField>
    <cacheField name="Sector Type" numFmtId="0">
      <sharedItems count="2">
        <s v="Hospital"/>
        <s v="Pharmaceutical"/>
      </sharedItems>
    </cacheField>
    <cacheField name="Product / Medicine Type" numFmtId="0">
      <sharedItems count="8">
        <s v="Antibiotics"/>
        <s v="Cancer"/>
        <s v="Painkillers"/>
        <s v="Skin Care"/>
        <s v="Heart Care"/>
        <s v="Vaccines"/>
        <s v="Diabetes"/>
        <s v="Supplements"/>
      </sharedItems>
    </cacheField>
    <cacheField name="Patients Treated" numFmtId="0">
      <sharedItems containsSemiMixedTypes="0" containsString="0" containsNumber="1" containsInteger="1" minValue="1435" maxValue="99946"/>
    </cacheField>
    <cacheField name="Doctors / Staff" numFmtId="0">
      <sharedItems containsSemiMixedTypes="0" containsString="0" containsNumber="1" containsInteger="1" minValue="107" maxValue="4983"/>
    </cacheField>
    <cacheField name="Revenue (Crore ₹)" numFmtId="0">
      <sharedItems containsSemiMixedTypes="0" containsString="0" containsNumber="1" containsInteger="1" minValue="702" maxValue="199743"/>
    </cacheField>
    <cacheField name="Revenue By Doctor" numFmtId="2">
      <sharedItems containsSemiMixedTypes="0" containsString="0" containsNumber="1" minValue="0.17480079681274902" maxValue="1396.0560747663551"/>
    </cacheField>
    <cacheField name="Profit Margin %" numFmtId="0">
      <sharedItems containsSemiMixedTypes="0" containsString="0" containsNumber="1" minValue="3.02" maxValue="24.98"/>
    </cacheField>
    <cacheField name="R&amp;D Spend (Crore ₹)" numFmtId="0">
      <sharedItems containsSemiMixedTypes="0" containsString="0" containsNumber="1" containsInteger="1" minValue="55" maxValue="19897"/>
    </cacheField>
    <cacheField name="Growth %" numFmtId="0">
      <sharedItems containsSemiMixedTypes="0" containsString="0" containsNumber="1" minValue="1.02" maxValue="14.97"/>
    </cacheField>
    <cacheField name="Exports (Crore ₹)" numFmtId="0">
      <sharedItems containsSemiMixedTypes="0" containsString="0" containsNumber="1" containsInteger="1" minValue="175" maxValue="49990"/>
    </cacheField>
    <cacheField name="Domestic Sales (Crore ₹)" numFmtId="0">
      <sharedItems containsSemiMixedTypes="0" containsString="0" containsNumber="1" containsInteger="1" minValue="-46692" maxValue="190549"/>
    </cacheField>
    <cacheField name="Drug Approvals / Patents" numFmtId="0">
      <sharedItems containsSemiMixedTypes="0" containsString="0" containsNumber="1" containsInteger="1" minValue="0" maxValue="20"/>
    </cacheField>
    <cacheField name="Customer Satisfaction %" numFmtId="0">
      <sharedItems containsSemiMixedTypes="0" containsString="0" containsNumber="1" containsInteger="1" minValue="7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x v="0"/>
    <x v="0"/>
    <n v="74794"/>
    <n v="2534"/>
    <n v="43669"/>
    <n v="17.233228097868981"/>
    <n v="10.39"/>
    <n v="5302"/>
    <n v="11.88"/>
    <n v="32972"/>
    <n v="10697"/>
    <n v="16"/>
    <n v="86"/>
  </r>
  <r>
    <x v="1"/>
    <x v="1"/>
    <x v="1"/>
    <x v="0"/>
    <x v="0"/>
    <n v="89277"/>
    <n v="392"/>
    <n v="106952"/>
    <n v="272.83673469387753"/>
    <n v="4.22"/>
    <n v="10117"/>
    <n v="7.78"/>
    <n v="36281"/>
    <n v="70671"/>
    <n v="8"/>
    <n v="99"/>
  </r>
  <r>
    <x v="2"/>
    <x v="2"/>
    <x v="2"/>
    <x v="0"/>
    <x v="1"/>
    <n v="58281"/>
    <n v="4027"/>
    <n v="167974"/>
    <n v="41.711944375465606"/>
    <n v="11.49"/>
    <n v="14985"/>
    <n v="9.4600000000000009"/>
    <n v="16413"/>
    <n v="151561"/>
    <n v="20"/>
    <n v="70"/>
  </r>
  <r>
    <x v="1"/>
    <x v="3"/>
    <x v="3"/>
    <x v="0"/>
    <x v="2"/>
    <n v="99946"/>
    <n v="677"/>
    <n v="76883"/>
    <n v="113.5642540620384"/>
    <n v="15.34"/>
    <n v="9303"/>
    <n v="2.77"/>
    <n v="32256"/>
    <n v="44627"/>
    <n v="0"/>
    <n v="79"/>
  </r>
  <r>
    <x v="1"/>
    <x v="1"/>
    <x v="4"/>
    <x v="1"/>
    <x v="1"/>
    <n v="79708"/>
    <n v="1637"/>
    <n v="99970"/>
    <n v="61.069028711056809"/>
    <n v="12.97"/>
    <n v="11882"/>
    <n v="4.9800000000000004"/>
    <n v="26478"/>
    <n v="73492"/>
    <n v="19"/>
    <n v="79"/>
  </r>
  <r>
    <x v="2"/>
    <x v="2"/>
    <x v="5"/>
    <x v="0"/>
    <x v="3"/>
    <n v="50045"/>
    <n v="993"/>
    <n v="116343"/>
    <n v="117.16314199395771"/>
    <n v="13.99"/>
    <n v="6888"/>
    <n v="12.05"/>
    <n v="6063"/>
    <n v="110280"/>
    <n v="6"/>
    <n v="91"/>
  </r>
  <r>
    <x v="3"/>
    <x v="2"/>
    <x v="2"/>
    <x v="0"/>
    <x v="3"/>
    <n v="27286"/>
    <n v="3564"/>
    <n v="73038"/>
    <n v="20.493265993265993"/>
    <n v="20.190000000000001"/>
    <n v="15758"/>
    <n v="11.36"/>
    <n v="35679"/>
    <n v="37359"/>
    <n v="18"/>
    <n v="100"/>
  </r>
  <r>
    <x v="1"/>
    <x v="2"/>
    <x v="5"/>
    <x v="0"/>
    <x v="4"/>
    <n v="89788"/>
    <n v="2164"/>
    <n v="21965"/>
    <n v="10.150184842883549"/>
    <n v="8.6999999999999993"/>
    <n v="10791"/>
    <n v="2.52"/>
    <n v="32087"/>
    <n v="-10122"/>
    <n v="8"/>
    <n v="84"/>
  </r>
  <r>
    <x v="3"/>
    <x v="0"/>
    <x v="6"/>
    <x v="0"/>
    <x v="3"/>
    <n v="40629"/>
    <n v="1139"/>
    <n v="181263"/>
    <n v="159.14223002633889"/>
    <n v="18.149999999999999"/>
    <n v="18570"/>
    <n v="10.39"/>
    <n v="40027"/>
    <n v="141236"/>
    <n v="11"/>
    <n v="98"/>
  </r>
  <r>
    <x v="4"/>
    <x v="4"/>
    <x v="3"/>
    <x v="0"/>
    <x v="1"/>
    <n v="84663"/>
    <n v="2406"/>
    <n v="18278"/>
    <n v="7.5968412302576889"/>
    <n v="13.74"/>
    <n v="15355"/>
    <n v="8.5399999999999991"/>
    <n v="45375"/>
    <n v="-27097"/>
    <n v="2"/>
    <n v="91"/>
  </r>
  <r>
    <x v="0"/>
    <x v="5"/>
    <x v="7"/>
    <x v="0"/>
    <x v="0"/>
    <n v="42615"/>
    <n v="2251"/>
    <n v="59747"/>
    <n v="26.542425588627278"/>
    <n v="17.7"/>
    <n v="8430"/>
    <n v="8.1199999999999992"/>
    <n v="30172"/>
    <n v="29575"/>
    <n v="5"/>
    <n v="72"/>
  </r>
  <r>
    <x v="3"/>
    <x v="6"/>
    <x v="0"/>
    <x v="0"/>
    <x v="1"/>
    <n v="61487"/>
    <n v="4167"/>
    <n v="3264"/>
    <n v="0.78329733621310293"/>
    <n v="20.93"/>
    <n v="12089"/>
    <n v="7.92"/>
    <n v="29381"/>
    <n v="-26117"/>
    <n v="9"/>
    <n v="74"/>
  </r>
  <r>
    <x v="4"/>
    <x v="2"/>
    <x v="2"/>
    <x v="0"/>
    <x v="0"/>
    <n v="66388"/>
    <n v="3355"/>
    <n v="88199"/>
    <n v="26.28882265275708"/>
    <n v="22.48"/>
    <n v="8851"/>
    <n v="10.82"/>
    <n v="20343"/>
    <n v="67856"/>
    <n v="6"/>
    <n v="82"/>
  </r>
  <r>
    <x v="5"/>
    <x v="5"/>
    <x v="3"/>
    <x v="0"/>
    <x v="4"/>
    <n v="26431"/>
    <n v="1565"/>
    <n v="162744"/>
    <n v="103.98977635782748"/>
    <n v="6.2"/>
    <n v="3605"/>
    <n v="11.73"/>
    <n v="32210"/>
    <n v="130534"/>
    <n v="20"/>
    <n v="74"/>
  </r>
  <r>
    <x v="2"/>
    <x v="4"/>
    <x v="8"/>
    <x v="0"/>
    <x v="5"/>
    <n v="10461"/>
    <n v="3514"/>
    <n v="150361"/>
    <n v="42.789129197495733"/>
    <n v="3.85"/>
    <n v="18293"/>
    <n v="6.58"/>
    <n v="6496"/>
    <n v="143865"/>
    <n v="8"/>
    <n v="93"/>
  </r>
  <r>
    <x v="2"/>
    <x v="7"/>
    <x v="5"/>
    <x v="0"/>
    <x v="2"/>
    <n v="93785"/>
    <n v="698"/>
    <n v="88962"/>
    <n v="127.45272206303724"/>
    <n v="13.05"/>
    <n v="2208"/>
    <n v="5.59"/>
    <n v="31771"/>
    <n v="57191"/>
    <n v="8"/>
    <n v="85"/>
  </r>
  <r>
    <x v="2"/>
    <x v="7"/>
    <x v="9"/>
    <x v="1"/>
    <x v="6"/>
    <n v="67906"/>
    <n v="386"/>
    <n v="169598"/>
    <n v="439.37305699481863"/>
    <n v="4.5199999999999996"/>
    <n v="9528"/>
    <n v="6.96"/>
    <n v="13684"/>
    <n v="155914"/>
    <n v="17"/>
    <n v="70"/>
  </r>
  <r>
    <x v="5"/>
    <x v="5"/>
    <x v="10"/>
    <x v="1"/>
    <x v="1"/>
    <n v="59935"/>
    <n v="2499"/>
    <n v="191815"/>
    <n v="76.756702681072426"/>
    <n v="3.56"/>
    <n v="11021"/>
    <n v="10.98"/>
    <n v="26545"/>
    <n v="165270"/>
    <n v="17"/>
    <n v="72"/>
  </r>
  <r>
    <x v="4"/>
    <x v="3"/>
    <x v="8"/>
    <x v="0"/>
    <x v="7"/>
    <n v="52143"/>
    <n v="2384"/>
    <n v="21449"/>
    <n v="8.9970637583892614"/>
    <n v="15.39"/>
    <n v="3821"/>
    <n v="9.52"/>
    <n v="34395"/>
    <n v="-12946"/>
    <n v="7"/>
    <n v="80"/>
  </r>
  <r>
    <x v="3"/>
    <x v="0"/>
    <x v="8"/>
    <x v="0"/>
    <x v="6"/>
    <n v="35687"/>
    <n v="2016"/>
    <n v="150241"/>
    <n v="74.524305555555557"/>
    <n v="13.84"/>
    <n v="13540"/>
    <n v="13.42"/>
    <n v="5269"/>
    <n v="144972"/>
    <n v="10"/>
    <n v="88"/>
  </r>
  <r>
    <x v="2"/>
    <x v="6"/>
    <x v="4"/>
    <x v="1"/>
    <x v="6"/>
    <n v="66851"/>
    <n v="3960"/>
    <n v="108184"/>
    <n v="27.319191919191919"/>
    <n v="6.8"/>
    <n v="16902"/>
    <n v="9.86"/>
    <n v="31442"/>
    <n v="76742"/>
    <n v="5"/>
    <n v="73"/>
  </r>
  <r>
    <x v="4"/>
    <x v="4"/>
    <x v="9"/>
    <x v="1"/>
    <x v="7"/>
    <n v="59684"/>
    <n v="1823"/>
    <n v="167901"/>
    <n v="92.101481075150843"/>
    <n v="19.940000000000001"/>
    <n v="19703"/>
    <n v="6.25"/>
    <n v="25523"/>
    <n v="142378"/>
    <n v="13"/>
    <n v="81"/>
  </r>
  <r>
    <x v="0"/>
    <x v="0"/>
    <x v="1"/>
    <x v="0"/>
    <x v="6"/>
    <n v="44034"/>
    <n v="227"/>
    <n v="189700"/>
    <n v="835.68281938325993"/>
    <n v="24.98"/>
    <n v="16144"/>
    <n v="6.29"/>
    <n v="41469"/>
    <n v="148231"/>
    <n v="8"/>
    <n v="86"/>
  </r>
  <r>
    <x v="1"/>
    <x v="5"/>
    <x v="3"/>
    <x v="0"/>
    <x v="3"/>
    <n v="13523"/>
    <n v="556"/>
    <n v="107633"/>
    <n v="193.58453237410072"/>
    <n v="23.97"/>
    <n v="13232"/>
    <n v="2.88"/>
    <n v="28673"/>
    <n v="78960"/>
    <n v="3"/>
    <n v="74"/>
  </r>
  <r>
    <x v="1"/>
    <x v="4"/>
    <x v="8"/>
    <x v="0"/>
    <x v="2"/>
    <n v="1435"/>
    <n v="1832"/>
    <n v="83125"/>
    <n v="45.373908296943235"/>
    <n v="20.079999999999998"/>
    <n v="19033"/>
    <n v="1.75"/>
    <n v="40917"/>
    <n v="42208"/>
    <n v="9"/>
    <n v="70"/>
  </r>
  <r>
    <x v="2"/>
    <x v="2"/>
    <x v="10"/>
    <x v="1"/>
    <x v="3"/>
    <n v="58741"/>
    <n v="168"/>
    <n v="27418"/>
    <n v="163.20238095238096"/>
    <n v="3.64"/>
    <n v="17154"/>
    <n v="14.5"/>
    <n v="47578"/>
    <n v="-20160"/>
    <n v="2"/>
    <n v="93"/>
  </r>
  <r>
    <x v="2"/>
    <x v="5"/>
    <x v="2"/>
    <x v="0"/>
    <x v="7"/>
    <n v="50714"/>
    <n v="1200"/>
    <n v="125216"/>
    <n v="104.34666666666666"/>
    <n v="15.7"/>
    <n v="17152"/>
    <n v="9.6999999999999993"/>
    <n v="19099"/>
    <n v="106117"/>
    <n v="8"/>
    <n v="100"/>
  </r>
  <r>
    <x v="4"/>
    <x v="4"/>
    <x v="5"/>
    <x v="0"/>
    <x v="4"/>
    <n v="89464"/>
    <n v="1256"/>
    <n v="158038"/>
    <n v="125.82643312101911"/>
    <n v="7.24"/>
    <n v="14767"/>
    <n v="9.93"/>
    <n v="23810"/>
    <n v="134228"/>
    <n v="16"/>
    <n v="87"/>
  </r>
  <r>
    <x v="1"/>
    <x v="6"/>
    <x v="7"/>
    <x v="0"/>
    <x v="4"/>
    <n v="46814"/>
    <n v="329"/>
    <n v="127206"/>
    <n v="386.64437689969606"/>
    <n v="23.39"/>
    <n v="873"/>
    <n v="13.45"/>
    <n v="17683"/>
    <n v="109523"/>
    <n v="17"/>
    <n v="75"/>
  </r>
  <r>
    <x v="4"/>
    <x v="0"/>
    <x v="11"/>
    <x v="1"/>
    <x v="5"/>
    <n v="72592"/>
    <n v="3052"/>
    <n v="1450"/>
    <n v="0.47509829619921362"/>
    <n v="20.89"/>
    <n v="15151"/>
    <n v="2.67"/>
    <n v="48142"/>
    <n v="-46692"/>
    <n v="1"/>
    <n v="90"/>
  </r>
  <r>
    <x v="1"/>
    <x v="0"/>
    <x v="8"/>
    <x v="0"/>
    <x v="3"/>
    <n v="45701"/>
    <n v="1897"/>
    <n v="115043"/>
    <n v="60.644702161307329"/>
    <n v="9.9700000000000006"/>
    <n v="17641"/>
    <n v="4.5599999999999996"/>
    <n v="47660"/>
    <n v="67383"/>
    <n v="11"/>
    <n v="71"/>
  </r>
  <r>
    <x v="4"/>
    <x v="7"/>
    <x v="10"/>
    <x v="1"/>
    <x v="3"/>
    <n v="83830"/>
    <n v="208"/>
    <n v="93596"/>
    <n v="449.98076923076923"/>
    <n v="7.59"/>
    <n v="3087"/>
    <n v="8.7799999999999994"/>
    <n v="7914"/>
    <n v="85682"/>
    <n v="5"/>
    <n v="99"/>
  </r>
  <r>
    <x v="4"/>
    <x v="2"/>
    <x v="0"/>
    <x v="0"/>
    <x v="1"/>
    <n v="98038"/>
    <n v="889"/>
    <n v="140565"/>
    <n v="158.11586051743532"/>
    <n v="8.44"/>
    <n v="11884"/>
    <n v="8.4"/>
    <n v="4907"/>
    <n v="135658"/>
    <n v="8"/>
    <n v="86"/>
  </r>
  <r>
    <x v="1"/>
    <x v="6"/>
    <x v="8"/>
    <x v="0"/>
    <x v="4"/>
    <n v="66815"/>
    <n v="3526"/>
    <n v="129508"/>
    <n v="36.72943845717527"/>
    <n v="10.79"/>
    <n v="6863"/>
    <n v="12.9"/>
    <n v="27644"/>
    <n v="101864"/>
    <n v="7"/>
    <n v="92"/>
  </r>
  <r>
    <x v="2"/>
    <x v="5"/>
    <x v="4"/>
    <x v="1"/>
    <x v="4"/>
    <n v="90045"/>
    <n v="697"/>
    <n v="128987"/>
    <n v="185.06025824964132"/>
    <n v="7.12"/>
    <n v="14459"/>
    <n v="10.91"/>
    <n v="45052"/>
    <n v="83935"/>
    <n v="0"/>
    <n v="72"/>
  </r>
  <r>
    <x v="2"/>
    <x v="6"/>
    <x v="6"/>
    <x v="0"/>
    <x v="2"/>
    <n v="1475"/>
    <n v="4234"/>
    <n v="114224"/>
    <n v="26.977798771846953"/>
    <n v="11.84"/>
    <n v="9019"/>
    <n v="12.47"/>
    <n v="15594"/>
    <n v="98630"/>
    <n v="3"/>
    <n v="79"/>
  </r>
  <r>
    <x v="4"/>
    <x v="7"/>
    <x v="11"/>
    <x v="1"/>
    <x v="1"/>
    <n v="29429"/>
    <n v="4741"/>
    <n v="177041"/>
    <n v="37.342543767137734"/>
    <n v="6.56"/>
    <n v="1304"/>
    <n v="7.2"/>
    <n v="175"/>
    <n v="176866"/>
    <n v="20"/>
    <n v="79"/>
  </r>
  <r>
    <x v="2"/>
    <x v="1"/>
    <x v="9"/>
    <x v="1"/>
    <x v="4"/>
    <n v="91156"/>
    <n v="2150"/>
    <n v="29255"/>
    <n v="13.606976744186046"/>
    <n v="18.52"/>
    <n v="11094"/>
    <n v="5.7"/>
    <n v="5121"/>
    <n v="24134"/>
    <n v="11"/>
    <n v="87"/>
  </r>
  <r>
    <x v="3"/>
    <x v="3"/>
    <x v="3"/>
    <x v="0"/>
    <x v="1"/>
    <n v="30938"/>
    <n v="3883"/>
    <n v="136973"/>
    <n v="35.2750450682462"/>
    <n v="7.99"/>
    <n v="11280"/>
    <n v="14.27"/>
    <n v="25563"/>
    <n v="111410"/>
    <n v="9"/>
    <n v="94"/>
  </r>
  <r>
    <x v="3"/>
    <x v="0"/>
    <x v="9"/>
    <x v="1"/>
    <x v="6"/>
    <n v="96403"/>
    <n v="4669"/>
    <n v="2450"/>
    <n v="0.52473763118440775"/>
    <n v="4.41"/>
    <n v="14940"/>
    <n v="14.91"/>
    <n v="8031"/>
    <n v="-5581"/>
    <n v="17"/>
    <n v="79"/>
  </r>
  <r>
    <x v="5"/>
    <x v="5"/>
    <x v="2"/>
    <x v="0"/>
    <x v="2"/>
    <n v="90610"/>
    <n v="953"/>
    <n v="28465"/>
    <n v="29.868835257082896"/>
    <n v="14.8"/>
    <n v="12720"/>
    <n v="6.12"/>
    <n v="49601"/>
    <n v="-21136"/>
    <n v="13"/>
    <n v="95"/>
  </r>
  <r>
    <x v="0"/>
    <x v="3"/>
    <x v="1"/>
    <x v="0"/>
    <x v="1"/>
    <n v="84940"/>
    <n v="4382"/>
    <n v="173769"/>
    <n v="39.655180282975813"/>
    <n v="23.35"/>
    <n v="2135"/>
    <n v="10.17"/>
    <n v="40280"/>
    <n v="133489"/>
    <n v="16"/>
    <n v="77"/>
  </r>
  <r>
    <x v="3"/>
    <x v="4"/>
    <x v="4"/>
    <x v="1"/>
    <x v="5"/>
    <n v="27985"/>
    <n v="2929"/>
    <n v="79358"/>
    <n v="27.093888699214748"/>
    <n v="3.62"/>
    <n v="10607"/>
    <n v="12"/>
    <n v="4393"/>
    <n v="74965"/>
    <n v="12"/>
    <n v="84"/>
  </r>
  <r>
    <x v="4"/>
    <x v="5"/>
    <x v="9"/>
    <x v="1"/>
    <x v="2"/>
    <n v="60924"/>
    <n v="1051"/>
    <n v="157536"/>
    <n v="149.89153187440533"/>
    <n v="16.91"/>
    <n v="1221"/>
    <n v="4.5"/>
    <n v="44568"/>
    <n v="112968"/>
    <n v="17"/>
    <n v="78"/>
  </r>
  <r>
    <x v="3"/>
    <x v="2"/>
    <x v="9"/>
    <x v="1"/>
    <x v="4"/>
    <n v="53405"/>
    <n v="113"/>
    <n v="93389"/>
    <n v="826.45132743362831"/>
    <n v="7.08"/>
    <n v="1003"/>
    <n v="10.08"/>
    <n v="39574"/>
    <n v="53815"/>
    <n v="8"/>
    <n v="71"/>
  </r>
  <r>
    <x v="2"/>
    <x v="5"/>
    <x v="1"/>
    <x v="0"/>
    <x v="0"/>
    <n v="21427"/>
    <n v="1276"/>
    <n v="84813"/>
    <n v="66.467868338557992"/>
    <n v="14.83"/>
    <n v="15365"/>
    <n v="1.88"/>
    <n v="14053"/>
    <n v="70760"/>
    <n v="20"/>
    <n v="99"/>
  </r>
  <r>
    <x v="3"/>
    <x v="6"/>
    <x v="10"/>
    <x v="1"/>
    <x v="2"/>
    <n v="21923"/>
    <n v="4382"/>
    <n v="180196"/>
    <n v="41.121862163395711"/>
    <n v="5.73"/>
    <n v="16586"/>
    <n v="11.8"/>
    <n v="40388"/>
    <n v="139808"/>
    <n v="12"/>
    <n v="83"/>
  </r>
  <r>
    <x v="2"/>
    <x v="6"/>
    <x v="8"/>
    <x v="0"/>
    <x v="1"/>
    <n v="81041"/>
    <n v="1948"/>
    <n v="102125"/>
    <n v="52.425564681724843"/>
    <n v="23.32"/>
    <n v="3639"/>
    <n v="2.98"/>
    <n v="28307"/>
    <n v="73818"/>
    <n v="14"/>
    <n v="79"/>
  </r>
  <r>
    <x v="4"/>
    <x v="1"/>
    <x v="5"/>
    <x v="0"/>
    <x v="6"/>
    <n v="35239"/>
    <n v="1164"/>
    <n v="82502"/>
    <n v="70.878006872852239"/>
    <n v="7.7"/>
    <n v="4608"/>
    <n v="10.199999999999999"/>
    <n v="46417"/>
    <n v="36085"/>
    <n v="14"/>
    <n v="86"/>
  </r>
  <r>
    <x v="3"/>
    <x v="3"/>
    <x v="3"/>
    <x v="0"/>
    <x v="3"/>
    <n v="66236"/>
    <n v="4660"/>
    <n v="150923"/>
    <n v="32.386909871244633"/>
    <n v="14.19"/>
    <n v="18067"/>
    <n v="2.93"/>
    <n v="49508"/>
    <n v="101415"/>
    <n v="10"/>
    <n v="74"/>
  </r>
  <r>
    <x v="0"/>
    <x v="6"/>
    <x v="8"/>
    <x v="0"/>
    <x v="6"/>
    <n v="17322"/>
    <n v="2862"/>
    <n v="26966"/>
    <n v="9.4220824598183093"/>
    <n v="8.57"/>
    <n v="9416"/>
    <n v="9.41"/>
    <n v="48573"/>
    <n v="-21607"/>
    <n v="19"/>
    <n v="84"/>
  </r>
  <r>
    <x v="2"/>
    <x v="3"/>
    <x v="3"/>
    <x v="0"/>
    <x v="7"/>
    <n v="27700"/>
    <n v="1858"/>
    <n v="41679"/>
    <n v="22.432185145317547"/>
    <n v="13.24"/>
    <n v="16585"/>
    <n v="7.03"/>
    <n v="25178"/>
    <n v="16501"/>
    <n v="5"/>
    <n v="94"/>
  </r>
  <r>
    <x v="3"/>
    <x v="1"/>
    <x v="5"/>
    <x v="0"/>
    <x v="0"/>
    <n v="65177"/>
    <n v="3087"/>
    <n v="8805"/>
    <n v="2.8522837706511175"/>
    <n v="22.21"/>
    <n v="6696"/>
    <n v="6.8"/>
    <n v="27227"/>
    <n v="-18422"/>
    <n v="10"/>
    <n v="79"/>
  </r>
  <r>
    <x v="3"/>
    <x v="3"/>
    <x v="2"/>
    <x v="0"/>
    <x v="7"/>
    <n v="42860"/>
    <n v="491"/>
    <n v="30215"/>
    <n v="61.537678207739305"/>
    <n v="20.18"/>
    <n v="138"/>
    <n v="9.09"/>
    <n v="8706"/>
    <n v="21509"/>
    <n v="15"/>
    <n v="84"/>
  </r>
  <r>
    <x v="0"/>
    <x v="1"/>
    <x v="0"/>
    <x v="0"/>
    <x v="3"/>
    <n v="10256"/>
    <n v="1639"/>
    <n v="180978"/>
    <n v="110.41976815131177"/>
    <n v="14.84"/>
    <n v="776"/>
    <n v="9.7100000000000009"/>
    <n v="19260"/>
    <n v="161718"/>
    <n v="8"/>
    <n v="77"/>
  </r>
  <r>
    <x v="1"/>
    <x v="1"/>
    <x v="0"/>
    <x v="0"/>
    <x v="5"/>
    <n v="36115"/>
    <n v="1576"/>
    <n v="117080"/>
    <n v="74.289340101522839"/>
    <n v="17.940000000000001"/>
    <n v="9796"/>
    <n v="8.6199999999999992"/>
    <n v="26464"/>
    <n v="90616"/>
    <n v="2"/>
    <n v="78"/>
  </r>
  <r>
    <x v="1"/>
    <x v="3"/>
    <x v="10"/>
    <x v="1"/>
    <x v="1"/>
    <n v="66038"/>
    <n v="2710"/>
    <n v="47722"/>
    <n v="17.60959409594096"/>
    <n v="8.5500000000000007"/>
    <n v="55"/>
    <n v="9.0399999999999991"/>
    <n v="34584"/>
    <n v="13138"/>
    <n v="3"/>
    <n v="92"/>
  </r>
  <r>
    <x v="1"/>
    <x v="0"/>
    <x v="2"/>
    <x v="0"/>
    <x v="4"/>
    <n v="90699"/>
    <n v="4089"/>
    <n v="127509"/>
    <n v="31.183418928833454"/>
    <n v="8.76"/>
    <n v="2609"/>
    <n v="8.5"/>
    <n v="30151"/>
    <n v="97358"/>
    <n v="4"/>
    <n v="80"/>
  </r>
  <r>
    <x v="3"/>
    <x v="2"/>
    <x v="4"/>
    <x v="1"/>
    <x v="2"/>
    <n v="50192"/>
    <n v="4122"/>
    <n v="137839"/>
    <n v="33.439835031538088"/>
    <n v="10.72"/>
    <n v="15552"/>
    <n v="4.74"/>
    <n v="43602"/>
    <n v="94237"/>
    <n v="2"/>
    <n v="72"/>
  </r>
  <r>
    <x v="3"/>
    <x v="0"/>
    <x v="9"/>
    <x v="1"/>
    <x v="7"/>
    <n v="4804"/>
    <n v="1258"/>
    <n v="103333"/>
    <n v="82.140699523052461"/>
    <n v="19.71"/>
    <n v="1723"/>
    <n v="1.19"/>
    <n v="31627"/>
    <n v="71706"/>
    <n v="6"/>
    <n v="86"/>
  </r>
  <r>
    <x v="0"/>
    <x v="5"/>
    <x v="10"/>
    <x v="1"/>
    <x v="0"/>
    <n v="57409"/>
    <n v="3905"/>
    <n v="138946"/>
    <n v="35.58156209987196"/>
    <n v="9.1999999999999993"/>
    <n v="13165"/>
    <n v="2.37"/>
    <n v="7660"/>
    <n v="131286"/>
    <n v="13"/>
    <n v="82"/>
  </r>
  <r>
    <x v="1"/>
    <x v="5"/>
    <x v="10"/>
    <x v="1"/>
    <x v="6"/>
    <n v="49102"/>
    <n v="3470"/>
    <n v="68737"/>
    <n v="19.808933717579251"/>
    <n v="21.68"/>
    <n v="12289"/>
    <n v="14.15"/>
    <n v="15882"/>
    <n v="52855"/>
    <n v="11"/>
    <n v="95"/>
  </r>
  <r>
    <x v="0"/>
    <x v="7"/>
    <x v="8"/>
    <x v="0"/>
    <x v="0"/>
    <n v="15118"/>
    <n v="1558"/>
    <n v="57805"/>
    <n v="37.102053915275995"/>
    <n v="12"/>
    <n v="484"/>
    <n v="12.74"/>
    <n v="10378"/>
    <n v="47427"/>
    <n v="9"/>
    <n v="91"/>
  </r>
  <r>
    <x v="1"/>
    <x v="7"/>
    <x v="9"/>
    <x v="1"/>
    <x v="6"/>
    <n v="38061"/>
    <n v="4016"/>
    <n v="702"/>
    <n v="0.17480079681274902"/>
    <n v="10.65"/>
    <n v="12622"/>
    <n v="5.13"/>
    <n v="5707"/>
    <n v="-5005"/>
    <n v="6"/>
    <n v="97"/>
  </r>
  <r>
    <x v="0"/>
    <x v="3"/>
    <x v="2"/>
    <x v="0"/>
    <x v="4"/>
    <n v="9176"/>
    <n v="2114"/>
    <n v="101496"/>
    <n v="48.011352885525071"/>
    <n v="14.59"/>
    <n v="10310"/>
    <n v="5.07"/>
    <n v="14409"/>
    <n v="87087"/>
    <n v="7"/>
    <n v="70"/>
  </r>
  <r>
    <x v="0"/>
    <x v="5"/>
    <x v="0"/>
    <x v="0"/>
    <x v="7"/>
    <n v="85870"/>
    <n v="4778"/>
    <n v="53337"/>
    <n v="11.163038928421933"/>
    <n v="18.809999999999999"/>
    <n v="11458"/>
    <n v="12.12"/>
    <n v="3467"/>
    <n v="49870"/>
    <n v="13"/>
    <n v="98"/>
  </r>
  <r>
    <x v="3"/>
    <x v="7"/>
    <x v="1"/>
    <x v="0"/>
    <x v="0"/>
    <n v="2226"/>
    <n v="2673"/>
    <n v="125287"/>
    <n v="46.871305649083425"/>
    <n v="19.57"/>
    <n v="15789"/>
    <n v="1.18"/>
    <n v="7993"/>
    <n v="117294"/>
    <n v="19"/>
    <n v="76"/>
  </r>
  <r>
    <x v="0"/>
    <x v="1"/>
    <x v="6"/>
    <x v="0"/>
    <x v="4"/>
    <n v="74316"/>
    <n v="1203"/>
    <n v="38472"/>
    <n v="31.980049875311721"/>
    <n v="20.03"/>
    <n v="7916"/>
    <n v="14.22"/>
    <n v="38617"/>
    <n v="-145"/>
    <n v="14"/>
    <n v="70"/>
  </r>
  <r>
    <x v="4"/>
    <x v="4"/>
    <x v="11"/>
    <x v="1"/>
    <x v="6"/>
    <n v="26151"/>
    <n v="3082"/>
    <n v="67039"/>
    <n v="21.751784555483454"/>
    <n v="22.27"/>
    <n v="1942"/>
    <n v="11.22"/>
    <n v="48488"/>
    <n v="18551"/>
    <n v="0"/>
    <n v="75"/>
  </r>
  <r>
    <x v="1"/>
    <x v="1"/>
    <x v="3"/>
    <x v="0"/>
    <x v="3"/>
    <n v="89748"/>
    <n v="4874"/>
    <n v="141736"/>
    <n v="29.080016413623309"/>
    <n v="24.08"/>
    <n v="18174"/>
    <n v="8.32"/>
    <n v="20632"/>
    <n v="121104"/>
    <n v="0"/>
    <n v="86"/>
  </r>
  <r>
    <x v="4"/>
    <x v="7"/>
    <x v="4"/>
    <x v="1"/>
    <x v="6"/>
    <n v="56883"/>
    <n v="1584"/>
    <n v="168769"/>
    <n v="106.54608585858585"/>
    <n v="10.18"/>
    <n v="18194"/>
    <n v="4.4400000000000004"/>
    <n v="33886"/>
    <n v="134883"/>
    <n v="18"/>
    <n v="70"/>
  </r>
  <r>
    <x v="2"/>
    <x v="0"/>
    <x v="7"/>
    <x v="0"/>
    <x v="7"/>
    <n v="53763"/>
    <n v="2538"/>
    <n v="33080"/>
    <n v="13.033884948778566"/>
    <n v="23.41"/>
    <n v="1631"/>
    <n v="1.38"/>
    <n v="10766"/>
    <n v="22314"/>
    <n v="13"/>
    <n v="84"/>
  </r>
  <r>
    <x v="3"/>
    <x v="3"/>
    <x v="9"/>
    <x v="1"/>
    <x v="7"/>
    <n v="15964"/>
    <n v="1006"/>
    <n v="42030"/>
    <n v="41.779324055666002"/>
    <n v="14.16"/>
    <n v="12170"/>
    <n v="4.53"/>
    <n v="47373"/>
    <n v="-5343"/>
    <n v="10"/>
    <n v="77"/>
  </r>
  <r>
    <x v="0"/>
    <x v="5"/>
    <x v="7"/>
    <x v="0"/>
    <x v="3"/>
    <n v="10537"/>
    <n v="4943"/>
    <n v="34653"/>
    <n v="7.0105199271697352"/>
    <n v="23.51"/>
    <n v="9636"/>
    <n v="5.7"/>
    <n v="45795"/>
    <n v="-11142"/>
    <n v="15"/>
    <n v="71"/>
  </r>
  <r>
    <x v="3"/>
    <x v="4"/>
    <x v="1"/>
    <x v="0"/>
    <x v="3"/>
    <n v="13086"/>
    <n v="4410"/>
    <n v="186018"/>
    <n v="42.180952380952384"/>
    <n v="4.7"/>
    <n v="4686"/>
    <n v="9.17"/>
    <n v="39130"/>
    <n v="146888"/>
    <n v="12"/>
    <n v="71"/>
  </r>
  <r>
    <x v="3"/>
    <x v="7"/>
    <x v="7"/>
    <x v="0"/>
    <x v="2"/>
    <n v="19421"/>
    <n v="4688"/>
    <n v="58162"/>
    <n v="12.406569965870307"/>
    <n v="4.92"/>
    <n v="11695"/>
    <n v="14.09"/>
    <n v="2010"/>
    <n v="56152"/>
    <n v="1"/>
    <n v="99"/>
  </r>
  <r>
    <x v="3"/>
    <x v="1"/>
    <x v="6"/>
    <x v="0"/>
    <x v="7"/>
    <n v="79324"/>
    <n v="695"/>
    <n v="190268"/>
    <n v="273.76690647482013"/>
    <n v="10.029999999999999"/>
    <n v="14294"/>
    <n v="2.87"/>
    <n v="20155"/>
    <n v="170113"/>
    <n v="19"/>
    <n v="95"/>
  </r>
  <r>
    <x v="0"/>
    <x v="5"/>
    <x v="6"/>
    <x v="0"/>
    <x v="0"/>
    <n v="98487"/>
    <n v="4282"/>
    <n v="24725"/>
    <n v="5.774170948155068"/>
    <n v="7.58"/>
    <n v="8612"/>
    <n v="5.48"/>
    <n v="32459"/>
    <n v="-7734"/>
    <n v="4"/>
    <n v="76"/>
  </r>
  <r>
    <x v="5"/>
    <x v="0"/>
    <x v="4"/>
    <x v="1"/>
    <x v="2"/>
    <n v="6484"/>
    <n v="3563"/>
    <n v="78158"/>
    <n v="21.93600898119562"/>
    <n v="11.59"/>
    <n v="18705"/>
    <n v="1.77"/>
    <n v="3936"/>
    <n v="74222"/>
    <n v="19"/>
    <n v="92"/>
  </r>
  <r>
    <x v="5"/>
    <x v="1"/>
    <x v="5"/>
    <x v="0"/>
    <x v="4"/>
    <n v="25399"/>
    <n v="3858"/>
    <n v="86340"/>
    <n v="22.379471228615863"/>
    <n v="19.02"/>
    <n v="13677"/>
    <n v="2.27"/>
    <n v="25825"/>
    <n v="60515"/>
    <n v="9"/>
    <n v="79"/>
  </r>
  <r>
    <x v="1"/>
    <x v="5"/>
    <x v="0"/>
    <x v="0"/>
    <x v="7"/>
    <n v="76897"/>
    <n v="3879"/>
    <n v="179095"/>
    <n v="46.170404743490593"/>
    <n v="12.69"/>
    <n v="13674"/>
    <n v="4.96"/>
    <n v="42846"/>
    <n v="136249"/>
    <n v="14"/>
    <n v="95"/>
  </r>
  <r>
    <x v="0"/>
    <x v="7"/>
    <x v="7"/>
    <x v="0"/>
    <x v="1"/>
    <n v="51713"/>
    <n v="1466"/>
    <n v="173235"/>
    <n v="118.16848567530695"/>
    <n v="14.62"/>
    <n v="17459"/>
    <n v="1.63"/>
    <n v="41730"/>
    <n v="131505"/>
    <n v="10"/>
    <n v="86"/>
  </r>
  <r>
    <x v="1"/>
    <x v="1"/>
    <x v="4"/>
    <x v="1"/>
    <x v="2"/>
    <n v="20291"/>
    <n v="4796"/>
    <n v="93585"/>
    <n v="19.513135946622185"/>
    <n v="14.96"/>
    <n v="12267"/>
    <n v="5.59"/>
    <n v="29418"/>
    <n v="64167"/>
    <n v="13"/>
    <n v="99"/>
  </r>
  <r>
    <x v="1"/>
    <x v="1"/>
    <x v="3"/>
    <x v="0"/>
    <x v="5"/>
    <n v="58226"/>
    <n v="2445"/>
    <n v="74932"/>
    <n v="30.647034764826177"/>
    <n v="23.16"/>
    <n v="6065"/>
    <n v="3.33"/>
    <n v="41482"/>
    <n v="33450"/>
    <n v="17"/>
    <n v="76"/>
  </r>
  <r>
    <x v="3"/>
    <x v="5"/>
    <x v="8"/>
    <x v="0"/>
    <x v="7"/>
    <n v="85155"/>
    <n v="1550"/>
    <n v="175890"/>
    <n v="113.47741935483872"/>
    <n v="23.61"/>
    <n v="19897"/>
    <n v="7.42"/>
    <n v="35074"/>
    <n v="140816"/>
    <n v="19"/>
    <n v="71"/>
  </r>
  <r>
    <x v="3"/>
    <x v="5"/>
    <x v="8"/>
    <x v="0"/>
    <x v="4"/>
    <n v="54589"/>
    <n v="3149"/>
    <n v="141014"/>
    <n v="44.780565258812324"/>
    <n v="16.84"/>
    <n v="19645"/>
    <n v="14.54"/>
    <n v="34586"/>
    <n v="106428"/>
    <n v="8"/>
    <n v="99"/>
  </r>
  <r>
    <x v="4"/>
    <x v="6"/>
    <x v="4"/>
    <x v="1"/>
    <x v="6"/>
    <n v="3318"/>
    <n v="4051"/>
    <n v="64190"/>
    <n v="15.845470254258208"/>
    <n v="6.13"/>
    <n v="1392"/>
    <n v="5.0599999999999996"/>
    <n v="39789"/>
    <n v="24401"/>
    <n v="19"/>
    <n v="78"/>
  </r>
  <r>
    <x v="4"/>
    <x v="1"/>
    <x v="3"/>
    <x v="0"/>
    <x v="1"/>
    <n v="32050"/>
    <n v="639"/>
    <n v="46104"/>
    <n v="72.150234741784033"/>
    <n v="19.88"/>
    <n v="6134"/>
    <n v="6.57"/>
    <n v="30785"/>
    <n v="15319"/>
    <n v="0"/>
    <n v="75"/>
  </r>
  <r>
    <x v="2"/>
    <x v="2"/>
    <x v="1"/>
    <x v="0"/>
    <x v="6"/>
    <n v="53664"/>
    <n v="1261"/>
    <n v="4948"/>
    <n v="3.923869944488501"/>
    <n v="24.12"/>
    <n v="9682"/>
    <n v="3.26"/>
    <n v="19917"/>
    <n v="-14969"/>
    <n v="4"/>
    <n v="94"/>
  </r>
  <r>
    <x v="2"/>
    <x v="7"/>
    <x v="0"/>
    <x v="0"/>
    <x v="3"/>
    <n v="28895"/>
    <n v="2861"/>
    <n v="188232"/>
    <n v="65.792380286613067"/>
    <n v="4.72"/>
    <n v="9943"/>
    <n v="2.27"/>
    <n v="36475"/>
    <n v="151757"/>
    <n v="13"/>
    <n v="78"/>
  </r>
  <r>
    <x v="4"/>
    <x v="4"/>
    <x v="1"/>
    <x v="0"/>
    <x v="3"/>
    <n v="88034"/>
    <n v="2394"/>
    <n v="195609"/>
    <n v="81.708020050125313"/>
    <n v="11.39"/>
    <n v="1438"/>
    <n v="2.21"/>
    <n v="20472"/>
    <n v="175137"/>
    <n v="8"/>
    <n v="73"/>
  </r>
  <r>
    <x v="3"/>
    <x v="4"/>
    <x v="2"/>
    <x v="0"/>
    <x v="7"/>
    <n v="21224"/>
    <n v="4085"/>
    <n v="115048"/>
    <n v="28.163525091799265"/>
    <n v="11.42"/>
    <n v="7537"/>
    <n v="3.91"/>
    <n v="26682"/>
    <n v="88366"/>
    <n v="5"/>
    <n v="80"/>
  </r>
  <r>
    <x v="3"/>
    <x v="6"/>
    <x v="3"/>
    <x v="0"/>
    <x v="4"/>
    <n v="49896"/>
    <n v="1369"/>
    <n v="67206"/>
    <n v="49.091307523739957"/>
    <n v="10.81"/>
    <n v="14625"/>
    <n v="10.4"/>
    <n v="36706"/>
    <n v="30500"/>
    <n v="2"/>
    <n v="91"/>
  </r>
  <r>
    <x v="3"/>
    <x v="3"/>
    <x v="11"/>
    <x v="1"/>
    <x v="0"/>
    <n v="98199"/>
    <n v="940"/>
    <n v="92558"/>
    <n v="98.465957446808517"/>
    <n v="7.56"/>
    <n v="3812"/>
    <n v="14.4"/>
    <n v="15005"/>
    <n v="77553"/>
    <n v="18"/>
    <n v="71"/>
  </r>
  <r>
    <x v="4"/>
    <x v="2"/>
    <x v="0"/>
    <x v="0"/>
    <x v="7"/>
    <n v="2143"/>
    <n v="4609"/>
    <n v="127749"/>
    <n v="27.717292254285095"/>
    <n v="16.93"/>
    <n v="4155"/>
    <n v="14.3"/>
    <n v="15447"/>
    <n v="112302"/>
    <n v="12"/>
    <n v="71"/>
  </r>
  <r>
    <x v="5"/>
    <x v="3"/>
    <x v="7"/>
    <x v="0"/>
    <x v="7"/>
    <n v="42824"/>
    <n v="458"/>
    <n v="23188"/>
    <n v="50.62882096069869"/>
    <n v="4.51"/>
    <n v="8147"/>
    <n v="3"/>
    <n v="22785"/>
    <n v="403"/>
    <n v="19"/>
    <n v="86"/>
  </r>
  <r>
    <x v="1"/>
    <x v="4"/>
    <x v="6"/>
    <x v="0"/>
    <x v="1"/>
    <n v="13118"/>
    <n v="2902"/>
    <n v="107407"/>
    <n v="37.011371467953133"/>
    <n v="11.58"/>
    <n v="16146"/>
    <n v="5.01"/>
    <n v="7007"/>
    <n v="100400"/>
    <n v="5"/>
    <n v="94"/>
  </r>
  <r>
    <x v="0"/>
    <x v="5"/>
    <x v="6"/>
    <x v="0"/>
    <x v="2"/>
    <n v="31376"/>
    <n v="4449"/>
    <n v="130973"/>
    <n v="29.438750280962015"/>
    <n v="7.02"/>
    <n v="9884"/>
    <n v="11.13"/>
    <n v="38216"/>
    <n v="92757"/>
    <n v="12"/>
    <n v="94"/>
  </r>
  <r>
    <x v="2"/>
    <x v="6"/>
    <x v="3"/>
    <x v="0"/>
    <x v="7"/>
    <n v="98725"/>
    <n v="3028"/>
    <n v="96025"/>
    <n v="31.712351387054163"/>
    <n v="8.83"/>
    <n v="4884"/>
    <n v="13.85"/>
    <n v="3476"/>
    <n v="92549"/>
    <n v="20"/>
    <n v="82"/>
  </r>
  <r>
    <x v="3"/>
    <x v="4"/>
    <x v="1"/>
    <x v="0"/>
    <x v="0"/>
    <n v="84053"/>
    <n v="1219"/>
    <n v="15249"/>
    <n v="12.509433962264151"/>
    <n v="15.45"/>
    <n v="9157"/>
    <n v="13.84"/>
    <n v="41993"/>
    <n v="-26744"/>
    <n v="11"/>
    <n v="84"/>
  </r>
  <r>
    <x v="5"/>
    <x v="5"/>
    <x v="3"/>
    <x v="0"/>
    <x v="1"/>
    <n v="16308"/>
    <n v="4869"/>
    <n v="24056"/>
    <n v="4.9406448962826044"/>
    <n v="7.08"/>
    <n v="965"/>
    <n v="13.78"/>
    <n v="12522"/>
    <n v="11534"/>
    <n v="8"/>
    <n v="79"/>
  </r>
  <r>
    <x v="4"/>
    <x v="3"/>
    <x v="4"/>
    <x v="1"/>
    <x v="3"/>
    <n v="78152"/>
    <n v="1437"/>
    <n v="176209"/>
    <n v="122.62282533054976"/>
    <n v="12.73"/>
    <n v="691"/>
    <n v="9.89"/>
    <n v="509"/>
    <n v="175700"/>
    <n v="18"/>
    <n v="71"/>
  </r>
  <r>
    <x v="4"/>
    <x v="7"/>
    <x v="6"/>
    <x v="0"/>
    <x v="7"/>
    <n v="8327"/>
    <n v="2896"/>
    <n v="107121"/>
    <n v="36.9892955801105"/>
    <n v="20.420000000000002"/>
    <n v="16635"/>
    <n v="11.83"/>
    <n v="11522"/>
    <n v="95599"/>
    <n v="17"/>
    <n v="99"/>
  </r>
  <r>
    <x v="5"/>
    <x v="2"/>
    <x v="7"/>
    <x v="0"/>
    <x v="0"/>
    <n v="42908"/>
    <n v="1064"/>
    <n v="141226"/>
    <n v="132.73120300751879"/>
    <n v="14.12"/>
    <n v="9076"/>
    <n v="13.48"/>
    <n v="48033"/>
    <n v="93193"/>
    <n v="20"/>
    <n v="84"/>
  </r>
  <r>
    <x v="2"/>
    <x v="7"/>
    <x v="7"/>
    <x v="0"/>
    <x v="0"/>
    <n v="60028"/>
    <n v="1228"/>
    <n v="87260"/>
    <n v="71.058631921824102"/>
    <n v="15.72"/>
    <n v="16985"/>
    <n v="5.01"/>
    <n v="23117"/>
    <n v="64143"/>
    <n v="14"/>
    <n v="81"/>
  </r>
  <r>
    <x v="4"/>
    <x v="3"/>
    <x v="3"/>
    <x v="0"/>
    <x v="5"/>
    <n v="22109"/>
    <n v="1587"/>
    <n v="51820"/>
    <n v="32.652804032766227"/>
    <n v="13.79"/>
    <n v="109"/>
    <n v="8.59"/>
    <n v="45312"/>
    <n v="6508"/>
    <n v="5"/>
    <n v="90"/>
  </r>
  <r>
    <x v="4"/>
    <x v="4"/>
    <x v="1"/>
    <x v="0"/>
    <x v="0"/>
    <n v="60759"/>
    <n v="1082"/>
    <n v="48398"/>
    <n v="44.730129390018483"/>
    <n v="21.61"/>
    <n v="14251"/>
    <n v="3.82"/>
    <n v="9773"/>
    <n v="38625"/>
    <n v="0"/>
    <n v="73"/>
  </r>
  <r>
    <x v="1"/>
    <x v="5"/>
    <x v="3"/>
    <x v="0"/>
    <x v="6"/>
    <n v="53634"/>
    <n v="4874"/>
    <n v="174714"/>
    <n v="35.846122281493642"/>
    <n v="4.1900000000000004"/>
    <n v="1324"/>
    <n v="1.74"/>
    <n v="7072"/>
    <n v="167642"/>
    <n v="12"/>
    <n v="89"/>
  </r>
  <r>
    <x v="2"/>
    <x v="0"/>
    <x v="2"/>
    <x v="0"/>
    <x v="3"/>
    <n v="80979"/>
    <n v="1038"/>
    <n v="147352"/>
    <n v="141.95761078998072"/>
    <n v="22.76"/>
    <n v="14978"/>
    <n v="7.39"/>
    <n v="43766"/>
    <n v="103586"/>
    <n v="8"/>
    <n v="98"/>
  </r>
  <r>
    <x v="5"/>
    <x v="0"/>
    <x v="2"/>
    <x v="0"/>
    <x v="1"/>
    <n v="8409"/>
    <n v="3088"/>
    <n v="150361"/>
    <n v="48.692033678756474"/>
    <n v="24.98"/>
    <n v="2149"/>
    <n v="12.59"/>
    <n v="36134"/>
    <n v="114227"/>
    <n v="7"/>
    <n v="91"/>
  </r>
  <r>
    <x v="1"/>
    <x v="1"/>
    <x v="2"/>
    <x v="0"/>
    <x v="1"/>
    <n v="56391"/>
    <n v="4549"/>
    <n v="51932"/>
    <n v="11.416135414376786"/>
    <n v="10.88"/>
    <n v="2221"/>
    <n v="10.88"/>
    <n v="16009"/>
    <n v="35923"/>
    <n v="1"/>
    <n v="79"/>
  </r>
  <r>
    <x v="1"/>
    <x v="7"/>
    <x v="10"/>
    <x v="1"/>
    <x v="2"/>
    <n v="52400"/>
    <n v="1625"/>
    <n v="54346"/>
    <n v="33.443692307692309"/>
    <n v="5.55"/>
    <n v="2261"/>
    <n v="2.79"/>
    <n v="34315"/>
    <n v="20031"/>
    <n v="18"/>
    <n v="78"/>
  </r>
  <r>
    <x v="0"/>
    <x v="1"/>
    <x v="6"/>
    <x v="0"/>
    <x v="4"/>
    <n v="12392"/>
    <n v="2176"/>
    <n v="117148"/>
    <n v="53.836397058823529"/>
    <n v="10.62"/>
    <n v="8054"/>
    <n v="8.8800000000000008"/>
    <n v="43987"/>
    <n v="73161"/>
    <n v="14"/>
    <n v="86"/>
  </r>
  <r>
    <x v="5"/>
    <x v="0"/>
    <x v="7"/>
    <x v="0"/>
    <x v="6"/>
    <n v="64051"/>
    <n v="3130"/>
    <n v="6825"/>
    <n v="2.180511182108626"/>
    <n v="19.32"/>
    <n v="8905"/>
    <n v="5.61"/>
    <n v="42832"/>
    <n v="-36007"/>
    <n v="13"/>
    <n v="95"/>
  </r>
  <r>
    <x v="5"/>
    <x v="7"/>
    <x v="11"/>
    <x v="1"/>
    <x v="5"/>
    <n v="38274"/>
    <n v="2994"/>
    <n v="89775"/>
    <n v="29.984969939879761"/>
    <n v="11.31"/>
    <n v="10856"/>
    <n v="11.7"/>
    <n v="18527"/>
    <n v="71248"/>
    <n v="3"/>
    <n v="85"/>
  </r>
  <r>
    <x v="5"/>
    <x v="4"/>
    <x v="3"/>
    <x v="0"/>
    <x v="7"/>
    <n v="76341"/>
    <n v="786"/>
    <n v="14329"/>
    <n v="18.230279898218829"/>
    <n v="16.2"/>
    <n v="5030"/>
    <n v="6.48"/>
    <n v="22270"/>
    <n v="-7941"/>
    <n v="18"/>
    <n v="74"/>
  </r>
  <r>
    <x v="0"/>
    <x v="1"/>
    <x v="1"/>
    <x v="0"/>
    <x v="0"/>
    <n v="42288"/>
    <n v="1667"/>
    <n v="190806"/>
    <n v="114.46070785842831"/>
    <n v="23.14"/>
    <n v="13549"/>
    <n v="13.69"/>
    <n v="14201"/>
    <n v="176605"/>
    <n v="1"/>
    <n v="82"/>
  </r>
  <r>
    <x v="5"/>
    <x v="6"/>
    <x v="11"/>
    <x v="1"/>
    <x v="1"/>
    <n v="33049"/>
    <n v="2395"/>
    <n v="31442"/>
    <n v="13.128183716075156"/>
    <n v="9.09"/>
    <n v="15529"/>
    <n v="14.9"/>
    <n v="5985"/>
    <n v="25457"/>
    <n v="2"/>
    <n v="72"/>
  </r>
  <r>
    <x v="5"/>
    <x v="3"/>
    <x v="3"/>
    <x v="0"/>
    <x v="1"/>
    <n v="68211"/>
    <n v="3336"/>
    <n v="84325"/>
    <n v="25.277278177458033"/>
    <n v="6.88"/>
    <n v="1897"/>
    <n v="8.15"/>
    <n v="44710"/>
    <n v="39615"/>
    <n v="10"/>
    <n v="83"/>
  </r>
  <r>
    <x v="3"/>
    <x v="3"/>
    <x v="5"/>
    <x v="0"/>
    <x v="1"/>
    <n v="56762"/>
    <n v="3497"/>
    <n v="30510"/>
    <n v="8.7246211038032602"/>
    <n v="19.739999999999998"/>
    <n v="6629"/>
    <n v="6.3"/>
    <n v="22054"/>
    <n v="8456"/>
    <n v="3"/>
    <n v="78"/>
  </r>
  <r>
    <x v="4"/>
    <x v="3"/>
    <x v="3"/>
    <x v="0"/>
    <x v="3"/>
    <n v="72624"/>
    <n v="658"/>
    <n v="14708"/>
    <n v="22.352583586626139"/>
    <n v="14.7"/>
    <n v="17458"/>
    <n v="3.49"/>
    <n v="20535"/>
    <n v="-5827"/>
    <n v="6"/>
    <n v="81"/>
  </r>
  <r>
    <x v="0"/>
    <x v="4"/>
    <x v="8"/>
    <x v="0"/>
    <x v="5"/>
    <n v="82865"/>
    <n v="306"/>
    <n v="117636"/>
    <n v="384.43137254901961"/>
    <n v="12.39"/>
    <n v="3757"/>
    <n v="13.31"/>
    <n v="16446"/>
    <n v="101190"/>
    <n v="0"/>
    <n v="100"/>
  </r>
  <r>
    <x v="0"/>
    <x v="0"/>
    <x v="8"/>
    <x v="0"/>
    <x v="4"/>
    <n v="11440"/>
    <n v="125"/>
    <n v="138962"/>
    <n v="1111.6959999999999"/>
    <n v="11.12"/>
    <n v="18723"/>
    <n v="13.58"/>
    <n v="23571"/>
    <n v="115391"/>
    <n v="0"/>
    <n v="71"/>
  </r>
  <r>
    <x v="0"/>
    <x v="4"/>
    <x v="10"/>
    <x v="1"/>
    <x v="6"/>
    <n v="12677"/>
    <n v="1440"/>
    <n v="42368"/>
    <n v="29.422222222222221"/>
    <n v="6.57"/>
    <n v="16595"/>
    <n v="7.43"/>
    <n v="49867"/>
    <n v="-7499"/>
    <n v="19"/>
    <n v="70"/>
  </r>
  <r>
    <x v="0"/>
    <x v="3"/>
    <x v="6"/>
    <x v="0"/>
    <x v="5"/>
    <n v="83597"/>
    <n v="4745"/>
    <n v="114126"/>
    <n v="24.051844046364593"/>
    <n v="22.74"/>
    <n v="3951"/>
    <n v="2.59"/>
    <n v="5208"/>
    <n v="108918"/>
    <n v="19"/>
    <n v="90"/>
  </r>
  <r>
    <x v="5"/>
    <x v="2"/>
    <x v="4"/>
    <x v="1"/>
    <x v="0"/>
    <n v="93128"/>
    <n v="4080"/>
    <n v="189407"/>
    <n v="46.423284313725489"/>
    <n v="15.45"/>
    <n v="11787"/>
    <n v="13.28"/>
    <n v="21010"/>
    <n v="168397"/>
    <n v="18"/>
    <n v="75"/>
  </r>
  <r>
    <x v="0"/>
    <x v="3"/>
    <x v="2"/>
    <x v="0"/>
    <x v="3"/>
    <n v="41274"/>
    <n v="4316"/>
    <n v="155363"/>
    <n v="35.996987951807228"/>
    <n v="14.7"/>
    <n v="17107"/>
    <n v="4.1900000000000004"/>
    <n v="20175"/>
    <n v="135188"/>
    <n v="20"/>
    <n v="82"/>
  </r>
  <r>
    <x v="1"/>
    <x v="0"/>
    <x v="10"/>
    <x v="1"/>
    <x v="5"/>
    <n v="42295"/>
    <n v="1947"/>
    <n v="72405"/>
    <n v="37.187981510015412"/>
    <n v="11.22"/>
    <n v="3242"/>
    <n v="2.93"/>
    <n v="30791"/>
    <n v="41614"/>
    <n v="14"/>
    <n v="87"/>
  </r>
  <r>
    <x v="4"/>
    <x v="3"/>
    <x v="6"/>
    <x v="0"/>
    <x v="4"/>
    <n v="2840"/>
    <n v="2864"/>
    <n v="53479"/>
    <n v="18.672835195530727"/>
    <n v="4.63"/>
    <n v="10979"/>
    <n v="10.92"/>
    <n v="36480"/>
    <n v="16999"/>
    <n v="19"/>
    <n v="100"/>
  </r>
  <r>
    <x v="3"/>
    <x v="6"/>
    <x v="6"/>
    <x v="0"/>
    <x v="0"/>
    <n v="58650"/>
    <n v="1844"/>
    <n v="100654"/>
    <n v="54.584598698481564"/>
    <n v="10.77"/>
    <n v="7660"/>
    <n v="2.5299999999999998"/>
    <n v="21940"/>
    <n v="78714"/>
    <n v="19"/>
    <n v="70"/>
  </r>
  <r>
    <x v="3"/>
    <x v="4"/>
    <x v="11"/>
    <x v="1"/>
    <x v="0"/>
    <n v="56287"/>
    <n v="1066"/>
    <n v="26870"/>
    <n v="25.206378986866792"/>
    <n v="23.8"/>
    <n v="16967"/>
    <n v="4.2"/>
    <n v="13740"/>
    <n v="13130"/>
    <n v="10"/>
    <n v="72"/>
  </r>
  <r>
    <x v="2"/>
    <x v="2"/>
    <x v="4"/>
    <x v="1"/>
    <x v="5"/>
    <n v="45614"/>
    <n v="1437"/>
    <n v="86434"/>
    <n v="60.148921363952681"/>
    <n v="8.69"/>
    <n v="11733"/>
    <n v="8.35"/>
    <n v="19271"/>
    <n v="67163"/>
    <n v="10"/>
    <n v="92"/>
  </r>
  <r>
    <x v="4"/>
    <x v="0"/>
    <x v="2"/>
    <x v="0"/>
    <x v="7"/>
    <n v="84752"/>
    <n v="4542"/>
    <n v="4187"/>
    <n v="0.92184059885512992"/>
    <n v="17.79"/>
    <n v="1573"/>
    <n v="1.66"/>
    <n v="35937"/>
    <n v="-31750"/>
    <n v="14"/>
    <n v="77"/>
  </r>
  <r>
    <x v="3"/>
    <x v="5"/>
    <x v="9"/>
    <x v="1"/>
    <x v="4"/>
    <n v="83151"/>
    <n v="180"/>
    <n v="97740"/>
    <n v="543"/>
    <n v="20.83"/>
    <n v="18758"/>
    <n v="8.82"/>
    <n v="47538"/>
    <n v="50202"/>
    <n v="10"/>
    <n v="81"/>
  </r>
  <r>
    <x v="4"/>
    <x v="1"/>
    <x v="11"/>
    <x v="1"/>
    <x v="3"/>
    <n v="68806"/>
    <n v="4983"/>
    <n v="141924"/>
    <n v="28.481637567730282"/>
    <n v="20.66"/>
    <n v="18752"/>
    <n v="7.8"/>
    <n v="34786"/>
    <n v="107138"/>
    <n v="20"/>
    <n v="92"/>
  </r>
  <r>
    <x v="1"/>
    <x v="1"/>
    <x v="0"/>
    <x v="0"/>
    <x v="0"/>
    <n v="21493"/>
    <n v="2934"/>
    <n v="122721"/>
    <n v="41.827198364008183"/>
    <n v="6.27"/>
    <n v="15548"/>
    <n v="3.14"/>
    <n v="33803"/>
    <n v="88918"/>
    <n v="18"/>
    <n v="75"/>
  </r>
  <r>
    <x v="1"/>
    <x v="7"/>
    <x v="8"/>
    <x v="0"/>
    <x v="0"/>
    <n v="25484"/>
    <n v="3286"/>
    <n v="42279"/>
    <n v="12.866402921485088"/>
    <n v="17.899999999999999"/>
    <n v="5370"/>
    <n v="2.2200000000000002"/>
    <n v="20869"/>
    <n v="21410"/>
    <n v="5"/>
    <n v="96"/>
  </r>
  <r>
    <x v="1"/>
    <x v="3"/>
    <x v="2"/>
    <x v="0"/>
    <x v="1"/>
    <n v="17409"/>
    <n v="2105"/>
    <n v="144690"/>
    <n v="68.736342042755339"/>
    <n v="11.88"/>
    <n v="9576"/>
    <n v="8.76"/>
    <n v="17239"/>
    <n v="127451"/>
    <n v="19"/>
    <n v="83"/>
  </r>
  <r>
    <x v="3"/>
    <x v="3"/>
    <x v="1"/>
    <x v="0"/>
    <x v="3"/>
    <n v="76659"/>
    <n v="1519"/>
    <n v="27802"/>
    <n v="18.302830809743252"/>
    <n v="8.32"/>
    <n v="18949"/>
    <n v="5.05"/>
    <n v="46763"/>
    <n v="-18961"/>
    <n v="16"/>
    <n v="80"/>
  </r>
  <r>
    <x v="1"/>
    <x v="3"/>
    <x v="3"/>
    <x v="0"/>
    <x v="4"/>
    <n v="71896"/>
    <n v="2136"/>
    <n v="195649"/>
    <n v="91.595973782771537"/>
    <n v="20.34"/>
    <n v="15215"/>
    <n v="11.85"/>
    <n v="8462"/>
    <n v="187187"/>
    <n v="7"/>
    <n v="74"/>
  </r>
  <r>
    <x v="4"/>
    <x v="6"/>
    <x v="11"/>
    <x v="1"/>
    <x v="3"/>
    <n v="14891"/>
    <n v="3345"/>
    <n v="162224"/>
    <n v="48.497458893871453"/>
    <n v="3.8"/>
    <n v="14544"/>
    <n v="2.57"/>
    <n v="40201"/>
    <n v="122023"/>
    <n v="10"/>
    <n v="87"/>
  </r>
  <r>
    <x v="5"/>
    <x v="3"/>
    <x v="7"/>
    <x v="0"/>
    <x v="0"/>
    <n v="69787"/>
    <n v="4979"/>
    <n v="75868"/>
    <n v="15.237597911227153"/>
    <n v="6.37"/>
    <n v="8256"/>
    <n v="13.06"/>
    <n v="12668"/>
    <n v="63200"/>
    <n v="13"/>
    <n v="76"/>
  </r>
  <r>
    <x v="0"/>
    <x v="1"/>
    <x v="11"/>
    <x v="1"/>
    <x v="6"/>
    <n v="50056"/>
    <n v="2684"/>
    <n v="147813"/>
    <n v="55.071907600596127"/>
    <n v="17.84"/>
    <n v="14708"/>
    <n v="2.75"/>
    <n v="22666"/>
    <n v="125147"/>
    <n v="2"/>
    <n v="75"/>
  </r>
  <r>
    <x v="1"/>
    <x v="4"/>
    <x v="3"/>
    <x v="0"/>
    <x v="1"/>
    <n v="11256"/>
    <n v="3927"/>
    <n v="198671"/>
    <n v="50.591036414565828"/>
    <n v="4.1399999999999997"/>
    <n v="4729"/>
    <n v="9.92"/>
    <n v="28857"/>
    <n v="169814"/>
    <n v="13"/>
    <n v="81"/>
  </r>
  <r>
    <x v="4"/>
    <x v="6"/>
    <x v="11"/>
    <x v="1"/>
    <x v="7"/>
    <n v="73748"/>
    <n v="4230"/>
    <n v="27686"/>
    <n v="6.5451536643026005"/>
    <n v="22.14"/>
    <n v="1270"/>
    <n v="8.25"/>
    <n v="11398"/>
    <n v="16288"/>
    <n v="19"/>
    <n v="86"/>
  </r>
  <r>
    <x v="5"/>
    <x v="5"/>
    <x v="10"/>
    <x v="1"/>
    <x v="6"/>
    <n v="92719"/>
    <n v="1835"/>
    <n v="124879"/>
    <n v="68.053950953678481"/>
    <n v="16.809999999999999"/>
    <n v="1188"/>
    <n v="2"/>
    <n v="1575"/>
    <n v="123304"/>
    <n v="1"/>
    <n v="87"/>
  </r>
  <r>
    <x v="0"/>
    <x v="6"/>
    <x v="11"/>
    <x v="1"/>
    <x v="1"/>
    <n v="87449"/>
    <n v="1318"/>
    <n v="59657"/>
    <n v="45.263277693474961"/>
    <n v="14.21"/>
    <n v="7956"/>
    <n v="6.04"/>
    <n v="25839"/>
    <n v="33818"/>
    <n v="0"/>
    <n v="87"/>
  </r>
  <r>
    <x v="0"/>
    <x v="2"/>
    <x v="7"/>
    <x v="0"/>
    <x v="2"/>
    <n v="54093"/>
    <n v="4823"/>
    <n v="160608"/>
    <n v="33.300435413642958"/>
    <n v="11.59"/>
    <n v="19116"/>
    <n v="10.47"/>
    <n v="6933"/>
    <n v="153675"/>
    <n v="8"/>
    <n v="90"/>
  </r>
  <r>
    <x v="4"/>
    <x v="3"/>
    <x v="8"/>
    <x v="0"/>
    <x v="1"/>
    <n v="97247"/>
    <n v="4345"/>
    <n v="5527"/>
    <n v="1.2720368239355582"/>
    <n v="23.98"/>
    <n v="6271"/>
    <n v="8.15"/>
    <n v="17769"/>
    <n v="-12242"/>
    <n v="14"/>
    <n v="91"/>
  </r>
  <r>
    <x v="2"/>
    <x v="2"/>
    <x v="6"/>
    <x v="0"/>
    <x v="0"/>
    <n v="9144"/>
    <n v="3325"/>
    <n v="199743"/>
    <n v="60.073082706766918"/>
    <n v="23.97"/>
    <n v="659"/>
    <n v="3.1"/>
    <n v="23379"/>
    <n v="176364"/>
    <n v="11"/>
    <n v="75"/>
  </r>
  <r>
    <x v="5"/>
    <x v="3"/>
    <x v="11"/>
    <x v="1"/>
    <x v="0"/>
    <n v="5490"/>
    <n v="1768"/>
    <n v="129569"/>
    <n v="73.285633484162901"/>
    <n v="24.97"/>
    <n v="3326"/>
    <n v="2.9"/>
    <n v="39561"/>
    <n v="90008"/>
    <n v="15"/>
    <n v="89"/>
  </r>
  <r>
    <x v="3"/>
    <x v="2"/>
    <x v="3"/>
    <x v="0"/>
    <x v="0"/>
    <n v="26087"/>
    <n v="3762"/>
    <n v="195822"/>
    <n v="52.05263157894737"/>
    <n v="10.98"/>
    <n v="19640"/>
    <n v="6.41"/>
    <n v="39744"/>
    <n v="156078"/>
    <n v="13"/>
    <n v="99"/>
  </r>
  <r>
    <x v="1"/>
    <x v="7"/>
    <x v="2"/>
    <x v="0"/>
    <x v="6"/>
    <n v="53299"/>
    <n v="4427"/>
    <n v="36239"/>
    <n v="8.1859046758527221"/>
    <n v="14.32"/>
    <n v="2418"/>
    <n v="1.35"/>
    <n v="11661"/>
    <n v="24578"/>
    <n v="18"/>
    <n v="78"/>
  </r>
  <r>
    <x v="4"/>
    <x v="5"/>
    <x v="10"/>
    <x v="1"/>
    <x v="2"/>
    <n v="58137"/>
    <n v="404"/>
    <n v="109621"/>
    <n v="271.33910891089107"/>
    <n v="10.75"/>
    <n v="12841"/>
    <n v="5.07"/>
    <n v="18488"/>
    <n v="91133"/>
    <n v="8"/>
    <n v="71"/>
  </r>
  <r>
    <x v="5"/>
    <x v="2"/>
    <x v="1"/>
    <x v="0"/>
    <x v="6"/>
    <n v="9812"/>
    <n v="2514"/>
    <n v="9899"/>
    <n v="3.9375497215592681"/>
    <n v="15.18"/>
    <n v="16953"/>
    <n v="3.39"/>
    <n v="3371"/>
    <n v="6528"/>
    <n v="8"/>
    <n v="76"/>
  </r>
  <r>
    <x v="0"/>
    <x v="4"/>
    <x v="8"/>
    <x v="0"/>
    <x v="2"/>
    <n v="36635"/>
    <n v="3562"/>
    <n v="29013"/>
    <n v="8.145143177989894"/>
    <n v="16.13"/>
    <n v="7292"/>
    <n v="8.0299999999999994"/>
    <n v="48553"/>
    <n v="-19540"/>
    <n v="12"/>
    <n v="93"/>
  </r>
  <r>
    <x v="5"/>
    <x v="5"/>
    <x v="2"/>
    <x v="0"/>
    <x v="7"/>
    <n v="72632"/>
    <n v="1727"/>
    <n v="82974"/>
    <n v="48.045165026056743"/>
    <n v="9.86"/>
    <n v="10137"/>
    <n v="2.7"/>
    <n v="6444"/>
    <n v="76530"/>
    <n v="13"/>
    <n v="86"/>
  </r>
  <r>
    <x v="1"/>
    <x v="7"/>
    <x v="7"/>
    <x v="0"/>
    <x v="6"/>
    <n v="31735"/>
    <n v="4602"/>
    <n v="6605"/>
    <n v="1.435245545415037"/>
    <n v="18.16"/>
    <n v="11922"/>
    <n v="12.9"/>
    <n v="20200"/>
    <n v="-13595"/>
    <n v="10"/>
    <n v="94"/>
  </r>
  <r>
    <x v="1"/>
    <x v="4"/>
    <x v="11"/>
    <x v="1"/>
    <x v="0"/>
    <n v="78671"/>
    <n v="4440"/>
    <n v="155791"/>
    <n v="35.088063063063061"/>
    <n v="14.79"/>
    <n v="10496"/>
    <n v="1.7"/>
    <n v="48402"/>
    <n v="107389"/>
    <n v="3"/>
    <n v="73"/>
  </r>
  <r>
    <x v="0"/>
    <x v="5"/>
    <x v="0"/>
    <x v="0"/>
    <x v="3"/>
    <n v="16621"/>
    <n v="2370"/>
    <n v="100996"/>
    <n v="42.61434599156118"/>
    <n v="18.850000000000001"/>
    <n v="8030"/>
    <n v="5.55"/>
    <n v="26509"/>
    <n v="74487"/>
    <n v="5"/>
    <n v="91"/>
  </r>
  <r>
    <x v="1"/>
    <x v="4"/>
    <x v="3"/>
    <x v="0"/>
    <x v="5"/>
    <n v="68427"/>
    <n v="422"/>
    <n v="26769"/>
    <n v="63.433649289099527"/>
    <n v="10.16"/>
    <n v="12402"/>
    <n v="10.56"/>
    <n v="20186"/>
    <n v="6583"/>
    <n v="3"/>
    <n v="98"/>
  </r>
  <r>
    <x v="4"/>
    <x v="7"/>
    <x v="3"/>
    <x v="0"/>
    <x v="4"/>
    <n v="88749"/>
    <n v="2287"/>
    <n v="46788"/>
    <n v="20.458242238740709"/>
    <n v="13.44"/>
    <n v="12073"/>
    <n v="4.22"/>
    <n v="21305"/>
    <n v="25483"/>
    <n v="8"/>
    <n v="91"/>
  </r>
  <r>
    <x v="2"/>
    <x v="1"/>
    <x v="1"/>
    <x v="0"/>
    <x v="7"/>
    <n v="43028"/>
    <n v="3439"/>
    <n v="80566"/>
    <n v="23.427159057865659"/>
    <n v="19.579999999999998"/>
    <n v="5059"/>
    <n v="6.26"/>
    <n v="13911"/>
    <n v="66655"/>
    <n v="11"/>
    <n v="85"/>
  </r>
  <r>
    <x v="3"/>
    <x v="4"/>
    <x v="4"/>
    <x v="1"/>
    <x v="2"/>
    <n v="57063"/>
    <n v="2814"/>
    <n v="26556"/>
    <n v="9.4371002132196153"/>
    <n v="19.21"/>
    <n v="13747"/>
    <n v="9.42"/>
    <n v="5225"/>
    <n v="21331"/>
    <n v="3"/>
    <n v="98"/>
  </r>
  <r>
    <x v="4"/>
    <x v="0"/>
    <x v="9"/>
    <x v="1"/>
    <x v="3"/>
    <n v="99126"/>
    <n v="4725"/>
    <n v="108399"/>
    <n v="22.941587301587301"/>
    <n v="17.61"/>
    <n v="2657"/>
    <n v="5.48"/>
    <n v="36184"/>
    <n v="72215"/>
    <n v="0"/>
    <n v="98"/>
  </r>
  <r>
    <x v="1"/>
    <x v="4"/>
    <x v="9"/>
    <x v="1"/>
    <x v="3"/>
    <n v="65686"/>
    <n v="3761"/>
    <n v="134219"/>
    <n v="35.687051316139325"/>
    <n v="23.11"/>
    <n v="1967"/>
    <n v="4.0199999999999996"/>
    <n v="27277"/>
    <n v="106942"/>
    <n v="2"/>
    <n v="76"/>
  </r>
  <r>
    <x v="1"/>
    <x v="2"/>
    <x v="3"/>
    <x v="0"/>
    <x v="7"/>
    <n v="80537"/>
    <n v="2099"/>
    <n v="93735"/>
    <n v="44.656979514054314"/>
    <n v="11.48"/>
    <n v="15366"/>
    <n v="9.8699999999999992"/>
    <n v="4698"/>
    <n v="89037"/>
    <n v="0"/>
    <n v="91"/>
  </r>
  <r>
    <x v="5"/>
    <x v="4"/>
    <x v="3"/>
    <x v="0"/>
    <x v="7"/>
    <n v="73166"/>
    <n v="4496"/>
    <n v="5299"/>
    <n v="1.1786032028469751"/>
    <n v="10.61"/>
    <n v="3164"/>
    <n v="2.44"/>
    <n v="5894"/>
    <n v="-595"/>
    <n v="12"/>
    <n v="87"/>
  </r>
  <r>
    <x v="2"/>
    <x v="3"/>
    <x v="10"/>
    <x v="1"/>
    <x v="6"/>
    <n v="58079"/>
    <n v="3018"/>
    <n v="39822"/>
    <n v="13.194831013916501"/>
    <n v="5.0199999999999996"/>
    <n v="4879"/>
    <n v="11.98"/>
    <n v="23309"/>
    <n v="16513"/>
    <n v="5"/>
    <n v="86"/>
  </r>
  <r>
    <x v="0"/>
    <x v="0"/>
    <x v="4"/>
    <x v="1"/>
    <x v="1"/>
    <n v="71546"/>
    <n v="3199"/>
    <n v="125252"/>
    <n v="39.153485464207563"/>
    <n v="8.02"/>
    <n v="16255"/>
    <n v="11.16"/>
    <n v="45875"/>
    <n v="79377"/>
    <n v="14"/>
    <n v="86"/>
  </r>
  <r>
    <x v="0"/>
    <x v="2"/>
    <x v="7"/>
    <x v="0"/>
    <x v="2"/>
    <n v="39524"/>
    <n v="4031"/>
    <n v="65544"/>
    <n v="16.259985115355992"/>
    <n v="24.39"/>
    <n v="12236"/>
    <n v="14.32"/>
    <n v="7974"/>
    <n v="57570"/>
    <n v="12"/>
    <n v="70"/>
  </r>
  <r>
    <x v="1"/>
    <x v="0"/>
    <x v="0"/>
    <x v="0"/>
    <x v="7"/>
    <n v="46999"/>
    <n v="605"/>
    <n v="23718"/>
    <n v="39.203305785123966"/>
    <n v="23.69"/>
    <n v="17288"/>
    <n v="7.32"/>
    <n v="21221"/>
    <n v="2497"/>
    <n v="1"/>
    <n v="83"/>
  </r>
  <r>
    <x v="1"/>
    <x v="6"/>
    <x v="10"/>
    <x v="1"/>
    <x v="7"/>
    <n v="29437"/>
    <n v="1871"/>
    <n v="195403"/>
    <n v="104.43773383217531"/>
    <n v="19.71"/>
    <n v="12285"/>
    <n v="4.88"/>
    <n v="20070"/>
    <n v="175333"/>
    <n v="9"/>
    <n v="95"/>
  </r>
  <r>
    <x v="4"/>
    <x v="6"/>
    <x v="9"/>
    <x v="1"/>
    <x v="4"/>
    <n v="16940"/>
    <n v="3070"/>
    <n v="8885"/>
    <n v="2.8941368078175898"/>
    <n v="21.1"/>
    <n v="9897"/>
    <n v="10.24"/>
    <n v="23011"/>
    <n v="-14126"/>
    <n v="14"/>
    <n v="72"/>
  </r>
  <r>
    <x v="3"/>
    <x v="5"/>
    <x v="1"/>
    <x v="0"/>
    <x v="3"/>
    <n v="85429"/>
    <n v="628"/>
    <n v="52116"/>
    <n v="82.98726114649682"/>
    <n v="21.75"/>
    <n v="2490"/>
    <n v="9.58"/>
    <n v="10468"/>
    <n v="41648"/>
    <n v="5"/>
    <n v="74"/>
  </r>
  <r>
    <x v="4"/>
    <x v="2"/>
    <x v="1"/>
    <x v="0"/>
    <x v="1"/>
    <n v="80079"/>
    <n v="3935"/>
    <n v="152065"/>
    <n v="38.644218551461243"/>
    <n v="24.65"/>
    <n v="3377"/>
    <n v="11.65"/>
    <n v="34101"/>
    <n v="117964"/>
    <n v="16"/>
    <n v="79"/>
  </r>
  <r>
    <x v="2"/>
    <x v="2"/>
    <x v="8"/>
    <x v="0"/>
    <x v="0"/>
    <n v="7480"/>
    <n v="3020"/>
    <n v="159273"/>
    <n v="52.739403973509937"/>
    <n v="11.9"/>
    <n v="16676"/>
    <n v="4.6100000000000003"/>
    <n v="33525"/>
    <n v="125748"/>
    <n v="0"/>
    <n v="90"/>
  </r>
  <r>
    <x v="4"/>
    <x v="0"/>
    <x v="1"/>
    <x v="0"/>
    <x v="2"/>
    <n v="55509"/>
    <n v="2002"/>
    <n v="103725"/>
    <n v="51.810689310689312"/>
    <n v="9.93"/>
    <n v="15184"/>
    <n v="2.77"/>
    <n v="48043"/>
    <n v="55682"/>
    <n v="18"/>
    <n v="90"/>
  </r>
  <r>
    <x v="0"/>
    <x v="1"/>
    <x v="3"/>
    <x v="0"/>
    <x v="0"/>
    <n v="67765"/>
    <n v="2915"/>
    <n v="52803"/>
    <n v="18.114236706689535"/>
    <n v="16.739999999999998"/>
    <n v="4030"/>
    <n v="2.27"/>
    <n v="49935"/>
    <n v="2868"/>
    <n v="4"/>
    <n v="100"/>
  </r>
  <r>
    <x v="0"/>
    <x v="3"/>
    <x v="9"/>
    <x v="1"/>
    <x v="0"/>
    <n v="65287"/>
    <n v="4360"/>
    <n v="93001"/>
    <n v="21.330504587155964"/>
    <n v="23.06"/>
    <n v="2163"/>
    <n v="11.08"/>
    <n v="33513"/>
    <n v="59488"/>
    <n v="18"/>
    <n v="77"/>
  </r>
  <r>
    <x v="3"/>
    <x v="1"/>
    <x v="4"/>
    <x v="1"/>
    <x v="2"/>
    <n v="75097"/>
    <n v="3341"/>
    <n v="182005"/>
    <n v="54.476204729123019"/>
    <n v="5.0599999999999996"/>
    <n v="1264"/>
    <n v="12.08"/>
    <n v="31623"/>
    <n v="150382"/>
    <n v="10"/>
    <n v="77"/>
  </r>
  <r>
    <x v="1"/>
    <x v="2"/>
    <x v="5"/>
    <x v="0"/>
    <x v="7"/>
    <n v="12169"/>
    <n v="1672"/>
    <n v="104876"/>
    <n v="62.724880382775119"/>
    <n v="18.07"/>
    <n v="6295"/>
    <n v="7.79"/>
    <n v="8021"/>
    <n v="96855"/>
    <n v="17"/>
    <n v="89"/>
  </r>
  <r>
    <x v="4"/>
    <x v="7"/>
    <x v="0"/>
    <x v="0"/>
    <x v="3"/>
    <n v="98005"/>
    <n v="3112"/>
    <n v="97794"/>
    <n v="31.424807197943444"/>
    <n v="16.61"/>
    <n v="14819"/>
    <n v="13.26"/>
    <n v="27749"/>
    <n v="70045"/>
    <n v="7"/>
    <n v="99"/>
  </r>
  <r>
    <x v="1"/>
    <x v="6"/>
    <x v="1"/>
    <x v="0"/>
    <x v="5"/>
    <n v="79283"/>
    <n v="3356"/>
    <n v="175306"/>
    <n v="52.236591179976159"/>
    <n v="21.16"/>
    <n v="8911"/>
    <n v="12.31"/>
    <n v="7542"/>
    <n v="167764"/>
    <n v="4"/>
    <n v="74"/>
  </r>
  <r>
    <x v="2"/>
    <x v="4"/>
    <x v="5"/>
    <x v="0"/>
    <x v="2"/>
    <n v="77292"/>
    <n v="4498"/>
    <n v="118333"/>
    <n v="26.307914628723879"/>
    <n v="13.54"/>
    <n v="12518"/>
    <n v="2.14"/>
    <n v="9709"/>
    <n v="108624"/>
    <n v="13"/>
    <n v="79"/>
  </r>
  <r>
    <x v="0"/>
    <x v="5"/>
    <x v="4"/>
    <x v="1"/>
    <x v="7"/>
    <n v="9024"/>
    <n v="3516"/>
    <n v="10109"/>
    <n v="2.8751422070534698"/>
    <n v="17"/>
    <n v="16527"/>
    <n v="10.46"/>
    <n v="35910"/>
    <n v="-25801"/>
    <n v="12"/>
    <n v="72"/>
  </r>
  <r>
    <x v="5"/>
    <x v="7"/>
    <x v="4"/>
    <x v="1"/>
    <x v="3"/>
    <n v="51247"/>
    <n v="1040"/>
    <n v="122622"/>
    <n v="117.90576923076924"/>
    <n v="3.78"/>
    <n v="5048"/>
    <n v="6.8"/>
    <n v="36561"/>
    <n v="86061"/>
    <n v="13"/>
    <n v="80"/>
  </r>
  <r>
    <x v="1"/>
    <x v="1"/>
    <x v="3"/>
    <x v="0"/>
    <x v="7"/>
    <n v="1462"/>
    <n v="3893"/>
    <n v="123931"/>
    <n v="31.834318006678654"/>
    <n v="11.94"/>
    <n v="3168"/>
    <n v="12.99"/>
    <n v="28514"/>
    <n v="95417"/>
    <n v="19"/>
    <n v="82"/>
  </r>
  <r>
    <x v="1"/>
    <x v="2"/>
    <x v="8"/>
    <x v="0"/>
    <x v="4"/>
    <n v="26458"/>
    <n v="2716"/>
    <n v="157705"/>
    <n v="58.065169366715757"/>
    <n v="14.01"/>
    <n v="9786"/>
    <n v="6.97"/>
    <n v="10741"/>
    <n v="146964"/>
    <n v="1"/>
    <n v="87"/>
  </r>
  <r>
    <x v="2"/>
    <x v="7"/>
    <x v="11"/>
    <x v="1"/>
    <x v="4"/>
    <n v="86018"/>
    <n v="4114"/>
    <n v="154627"/>
    <n v="37.585561497326204"/>
    <n v="7.42"/>
    <n v="19487"/>
    <n v="5.41"/>
    <n v="15169"/>
    <n v="139458"/>
    <n v="11"/>
    <n v="98"/>
  </r>
  <r>
    <x v="2"/>
    <x v="4"/>
    <x v="4"/>
    <x v="1"/>
    <x v="2"/>
    <n v="52911"/>
    <n v="3877"/>
    <n v="171617"/>
    <n v="44.265411400567451"/>
    <n v="8.3800000000000008"/>
    <n v="19559"/>
    <n v="5.26"/>
    <n v="39980"/>
    <n v="131637"/>
    <n v="11"/>
    <n v="72"/>
  </r>
  <r>
    <x v="4"/>
    <x v="7"/>
    <x v="4"/>
    <x v="1"/>
    <x v="3"/>
    <n v="81060"/>
    <n v="692"/>
    <n v="58306"/>
    <n v="84.257225433526017"/>
    <n v="8.4"/>
    <n v="12796"/>
    <n v="1.41"/>
    <n v="41460"/>
    <n v="16846"/>
    <n v="8"/>
    <n v="92"/>
  </r>
  <r>
    <x v="1"/>
    <x v="7"/>
    <x v="8"/>
    <x v="0"/>
    <x v="6"/>
    <n v="23557"/>
    <n v="995"/>
    <n v="148855"/>
    <n v="149.60301507537687"/>
    <n v="8.67"/>
    <n v="1673"/>
    <n v="13.12"/>
    <n v="17145"/>
    <n v="131710"/>
    <n v="7"/>
    <n v="94"/>
  </r>
  <r>
    <x v="0"/>
    <x v="0"/>
    <x v="8"/>
    <x v="0"/>
    <x v="5"/>
    <n v="93504"/>
    <n v="3773"/>
    <n v="47353"/>
    <n v="12.55049032600053"/>
    <n v="14.14"/>
    <n v="9790"/>
    <n v="8.11"/>
    <n v="13434"/>
    <n v="33919"/>
    <n v="1"/>
    <n v="80"/>
  </r>
  <r>
    <x v="4"/>
    <x v="7"/>
    <x v="2"/>
    <x v="0"/>
    <x v="1"/>
    <n v="23622"/>
    <n v="1497"/>
    <n v="59108"/>
    <n v="39.484301937207746"/>
    <n v="14.53"/>
    <n v="14668"/>
    <n v="10.74"/>
    <n v="32387"/>
    <n v="26721"/>
    <n v="5"/>
    <n v="76"/>
  </r>
  <r>
    <x v="0"/>
    <x v="3"/>
    <x v="7"/>
    <x v="0"/>
    <x v="4"/>
    <n v="44358"/>
    <n v="3356"/>
    <n v="103646"/>
    <n v="30.883790226460071"/>
    <n v="16.02"/>
    <n v="3106"/>
    <n v="10.43"/>
    <n v="4180"/>
    <n v="99466"/>
    <n v="14"/>
    <n v="72"/>
  </r>
  <r>
    <x v="5"/>
    <x v="2"/>
    <x v="6"/>
    <x v="0"/>
    <x v="6"/>
    <n v="80892"/>
    <n v="456"/>
    <n v="24351"/>
    <n v="53.401315789473685"/>
    <n v="22.32"/>
    <n v="13412"/>
    <n v="10.07"/>
    <n v="11630"/>
    <n v="12721"/>
    <n v="11"/>
    <n v="91"/>
  </r>
  <r>
    <x v="5"/>
    <x v="2"/>
    <x v="8"/>
    <x v="0"/>
    <x v="6"/>
    <n v="35027"/>
    <n v="1655"/>
    <n v="69271"/>
    <n v="41.85558912386707"/>
    <n v="22.19"/>
    <n v="7254"/>
    <n v="3.56"/>
    <n v="20593"/>
    <n v="48678"/>
    <n v="14"/>
    <n v="77"/>
  </r>
  <r>
    <x v="0"/>
    <x v="2"/>
    <x v="11"/>
    <x v="1"/>
    <x v="6"/>
    <n v="87765"/>
    <n v="271"/>
    <n v="164513"/>
    <n v="607.05904059040586"/>
    <n v="8.75"/>
    <n v="14361"/>
    <n v="6.12"/>
    <n v="30605"/>
    <n v="133908"/>
    <n v="1"/>
    <n v="73"/>
  </r>
  <r>
    <x v="3"/>
    <x v="1"/>
    <x v="0"/>
    <x v="0"/>
    <x v="4"/>
    <n v="51436"/>
    <n v="3503"/>
    <n v="118369"/>
    <n v="33.790750785041396"/>
    <n v="16.88"/>
    <n v="7115"/>
    <n v="9.7799999999999994"/>
    <n v="46567"/>
    <n v="71802"/>
    <n v="7"/>
    <n v="83"/>
  </r>
  <r>
    <x v="0"/>
    <x v="3"/>
    <x v="9"/>
    <x v="1"/>
    <x v="3"/>
    <n v="86124"/>
    <n v="2895"/>
    <n v="179166"/>
    <n v="61.888082901554405"/>
    <n v="12.57"/>
    <n v="8839"/>
    <n v="8.16"/>
    <n v="30979"/>
    <n v="148187"/>
    <n v="9"/>
    <n v="76"/>
  </r>
  <r>
    <x v="0"/>
    <x v="1"/>
    <x v="1"/>
    <x v="0"/>
    <x v="0"/>
    <n v="52592"/>
    <n v="2055"/>
    <n v="180917"/>
    <n v="88.037469586374698"/>
    <n v="21.94"/>
    <n v="3025"/>
    <n v="13.23"/>
    <n v="35969"/>
    <n v="144948"/>
    <n v="20"/>
    <n v="98"/>
  </r>
  <r>
    <x v="0"/>
    <x v="5"/>
    <x v="4"/>
    <x v="1"/>
    <x v="3"/>
    <n v="82336"/>
    <n v="1201"/>
    <n v="157514"/>
    <n v="131.15237302248127"/>
    <n v="4.6900000000000004"/>
    <n v="755"/>
    <n v="2.66"/>
    <n v="48400"/>
    <n v="109114"/>
    <n v="3"/>
    <n v="100"/>
  </r>
  <r>
    <x v="0"/>
    <x v="2"/>
    <x v="5"/>
    <x v="0"/>
    <x v="4"/>
    <n v="26795"/>
    <n v="985"/>
    <n v="117234"/>
    <n v="119.01928934010152"/>
    <n v="13.17"/>
    <n v="10299"/>
    <n v="14.31"/>
    <n v="11295"/>
    <n v="105939"/>
    <n v="2"/>
    <n v="81"/>
  </r>
  <r>
    <x v="4"/>
    <x v="0"/>
    <x v="4"/>
    <x v="1"/>
    <x v="5"/>
    <n v="94696"/>
    <n v="3389"/>
    <n v="196987"/>
    <n v="58.125405724402476"/>
    <n v="10.96"/>
    <n v="13565"/>
    <n v="2.66"/>
    <n v="36882"/>
    <n v="160105"/>
    <n v="8"/>
    <n v="73"/>
  </r>
  <r>
    <x v="1"/>
    <x v="7"/>
    <x v="5"/>
    <x v="0"/>
    <x v="7"/>
    <n v="71132"/>
    <n v="3971"/>
    <n v="16144"/>
    <n v="4.0654746915134723"/>
    <n v="5.79"/>
    <n v="6770"/>
    <n v="13.83"/>
    <n v="16072"/>
    <n v="72"/>
    <n v="17"/>
    <n v="89"/>
  </r>
  <r>
    <x v="3"/>
    <x v="2"/>
    <x v="2"/>
    <x v="0"/>
    <x v="5"/>
    <n v="87059"/>
    <n v="2313"/>
    <n v="20399"/>
    <n v="8.8192823173367927"/>
    <n v="23.56"/>
    <n v="10618"/>
    <n v="3.5"/>
    <n v="6547"/>
    <n v="13852"/>
    <n v="12"/>
    <n v="93"/>
  </r>
  <r>
    <x v="5"/>
    <x v="6"/>
    <x v="8"/>
    <x v="0"/>
    <x v="4"/>
    <n v="78162"/>
    <n v="1695"/>
    <n v="3472"/>
    <n v="2.0483775811209441"/>
    <n v="9.24"/>
    <n v="19514"/>
    <n v="1.96"/>
    <n v="31058"/>
    <n v="-27586"/>
    <n v="11"/>
    <n v="70"/>
  </r>
  <r>
    <x v="1"/>
    <x v="2"/>
    <x v="7"/>
    <x v="0"/>
    <x v="5"/>
    <n v="15258"/>
    <n v="1792"/>
    <n v="12002"/>
    <n v="6.6975446428571432"/>
    <n v="14.22"/>
    <n v="5096"/>
    <n v="4.67"/>
    <n v="48248"/>
    <n v="-36246"/>
    <n v="13"/>
    <n v="70"/>
  </r>
  <r>
    <x v="5"/>
    <x v="5"/>
    <x v="3"/>
    <x v="0"/>
    <x v="5"/>
    <n v="14709"/>
    <n v="3126"/>
    <n v="187591"/>
    <n v="60.009916826615481"/>
    <n v="8.4700000000000006"/>
    <n v="2627"/>
    <n v="10.130000000000001"/>
    <n v="32565"/>
    <n v="155026"/>
    <n v="4"/>
    <n v="82"/>
  </r>
  <r>
    <x v="3"/>
    <x v="1"/>
    <x v="8"/>
    <x v="0"/>
    <x v="5"/>
    <n v="97808"/>
    <n v="3945"/>
    <n v="102734"/>
    <n v="26.041571609632445"/>
    <n v="6.15"/>
    <n v="8073"/>
    <n v="11.76"/>
    <n v="43873"/>
    <n v="58861"/>
    <n v="10"/>
    <n v="70"/>
  </r>
  <r>
    <x v="0"/>
    <x v="2"/>
    <x v="2"/>
    <x v="0"/>
    <x v="3"/>
    <n v="86622"/>
    <n v="1697"/>
    <n v="184903"/>
    <n v="108.95875073659398"/>
    <n v="3.74"/>
    <n v="14414"/>
    <n v="5.36"/>
    <n v="14702"/>
    <n v="170201"/>
    <n v="13"/>
    <n v="79"/>
  </r>
  <r>
    <x v="5"/>
    <x v="6"/>
    <x v="3"/>
    <x v="0"/>
    <x v="4"/>
    <n v="16353"/>
    <n v="3475"/>
    <n v="198027"/>
    <n v="56.98618705035971"/>
    <n v="4.29"/>
    <n v="17562"/>
    <n v="13.14"/>
    <n v="30095"/>
    <n v="167932"/>
    <n v="18"/>
    <n v="98"/>
  </r>
  <r>
    <x v="2"/>
    <x v="2"/>
    <x v="11"/>
    <x v="1"/>
    <x v="6"/>
    <n v="62762"/>
    <n v="4190"/>
    <n v="21902"/>
    <n v="5.2272076372315039"/>
    <n v="7.51"/>
    <n v="12380"/>
    <n v="8.25"/>
    <n v="28611"/>
    <n v="-6709"/>
    <n v="10"/>
    <n v="92"/>
  </r>
  <r>
    <x v="0"/>
    <x v="1"/>
    <x v="7"/>
    <x v="0"/>
    <x v="5"/>
    <n v="97149"/>
    <n v="4356"/>
    <n v="102217"/>
    <n v="23.465794306703398"/>
    <n v="13.48"/>
    <n v="2370"/>
    <n v="8.6999999999999993"/>
    <n v="21489"/>
    <n v="80728"/>
    <n v="7"/>
    <n v="70"/>
  </r>
  <r>
    <x v="0"/>
    <x v="2"/>
    <x v="10"/>
    <x v="1"/>
    <x v="7"/>
    <n v="50290"/>
    <n v="182"/>
    <n v="17427"/>
    <n v="95.752747252747255"/>
    <n v="19.16"/>
    <n v="10469"/>
    <n v="9.7799999999999994"/>
    <n v="5349"/>
    <n v="12078"/>
    <n v="12"/>
    <n v="92"/>
  </r>
  <r>
    <x v="0"/>
    <x v="0"/>
    <x v="9"/>
    <x v="1"/>
    <x v="5"/>
    <n v="70786"/>
    <n v="4529"/>
    <n v="80703"/>
    <n v="17.819165378670789"/>
    <n v="7.46"/>
    <n v="10540"/>
    <n v="6.09"/>
    <n v="6327"/>
    <n v="74376"/>
    <n v="8"/>
    <n v="81"/>
  </r>
  <r>
    <x v="5"/>
    <x v="5"/>
    <x v="2"/>
    <x v="0"/>
    <x v="2"/>
    <n v="49127"/>
    <n v="3152"/>
    <n v="60100"/>
    <n v="19.06725888324873"/>
    <n v="20.27"/>
    <n v="16109"/>
    <n v="5.93"/>
    <n v="37743"/>
    <n v="22357"/>
    <n v="10"/>
    <n v="92"/>
  </r>
  <r>
    <x v="4"/>
    <x v="0"/>
    <x v="9"/>
    <x v="1"/>
    <x v="1"/>
    <n v="63656"/>
    <n v="956"/>
    <n v="181081"/>
    <n v="189.4152719665272"/>
    <n v="4.63"/>
    <n v="9483"/>
    <n v="3.94"/>
    <n v="40274"/>
    <n v="140807"/>
    <n v="6"/>
    <n v="82"/>
  </r>
  <r>
    <x v="5"/>
    <x v="0"/>
    <x v="3"/>
    <x v="0"/>
    <x v="3"/>
    <n v="3883"/>
    <n v="174"/>
    <n v="153639"/>
    <n v="882.98275862068965"/>
    <n v="5.26"/>
    <n v="16752"/>
    <n v="4.78"/>
    <n v="44304"/>
    <n v="109335"/>
    <n v="8"/>
    <n v="72"/>
  </r>
  <r>
    <x v="3"/>
    <x v="1"/>
    <x v="1"/>
    <x v="0"/>
    <x v="4"/>
    <n v="40296"/>
    <n v="3730"/>
    <n v="121073"/>
    <n v="32.459249329758713"/>
    <n v="14.34"/>
    <n v="483"/>
    <n v="1.02"/>
    <n v="23812"/>
    <n v="97261"/>
    <n v="20"/>
    <n v="74"/>
  </r>
  <r>
    <x v="4"/>
    <x v="2"/>
    <x v="2"/>
    <x v="0"/>
    <x v="4"/>
    <n v="86031"/>
    <n v="2409"/>
    <n v="92835"/>
    <n v="38.536737235367376"/>
    <n v="23.86"/>
    <n v="3125"/>
    <n v="4.67"/>
    <n v="35683"/>
    <n v="57152"/>
    <n v="4"/>
    <n v="78"/>
  </r>
  <r>
    <x v="2"/>
    <x v="1"/>
    <x v="8"/>
    <x v="0"/>
    <x v="2"/>
    <n v="37991"/>
    <n v="3878"/>
    <n v="150798"/>
    <n v="38.885507993811245"/>
    <n v="3.14"/>
    <n v="884"/>
    <n v="1.47"/>
    <n v="6848"/>
    <n v="143950"/>
    <n v="15"/>
    <n v="95"/>
  </r>
  <r>
    <x v="1"/>
    <x v="4"/>
    <x v="6"/>
    <x v="0"/>
    <x v="7"/>
    <n v="55738"/>
    <n v="4680"/>
    <n v="58675"/>
    <n v="12.537393162393162"/>
    <n v="11.23"/>
    <n v="18710"/>
    <n v="14.78"/>
    <n v="2693"/>
    <n v="55982"/>
    <n v="14"/>
    <n v="96"/>
  </r>
  <r>
    <x v="3"/>
    <x v="6"/>
    <x v="2"/>
    <x v="0"/>
    <x v="3"/>
    <n v="87503"/>
    <n v="4130"/>
    <n v="114134"/>
    <n v="27.635351089588379"/>
    <n v="24.4"/>
    <n v="13519"/>
    <n v="3.51"/>
    <n v="36313"/>
    <n v="77821"/>
    <n v="13"/>
    <n v="77"/>
  </r>
  <r>
    <x v="2"/>
    <x v="1"/>
    <x v="11"/>
    <x v="1"/>
    <x v="5"/>
    <n v="83921"/>
    <n v="2441"/>
    <n v="48530"/>
    <n v="19.881196231052847"/>
    <n v="20.36"/>
    <n v="17082"/>
    <n v="9.26"/>
    <n v="10668"/>
    <n v="37862"/>
    <n v="16"/>
    <n v="94"/>
  </r>
  <r>
    <x v="0"/>
    <x v="4"/>
    <x v="8"/>
    <x v="0"/>
    <x v="7"/>
    <n v="7129"/>
    <n v="2098"/>
    <n v="107638"/>
    <n v="51.305052430886562"/>
    <n v="21.91"/>
    <n v="2450"/>
    <n v="6.05"/>
    <n v="43549"/>
    <n v="64089"/>
    <n v="4"/>
    <n v="92"/>
  </r>
  <r>
    <x v="2"/>
    <x v="7"/>
    <x v="1"/>
    <x v="0"/>
    <x v="7"/>
    <n v="62708"/>
    <n v="3552"/>
    <n v="178827"/>
    <n v="50.345439189189186"/>
    <n v="9.18"/>
    <n v="17402"/>
    <n v="11.1"/>
    <n v="38792"/>
    <n v="140035"/>
    <n v="6"/>
    <n v="74"/>
  </r>
  <r>
    <x v="4"/>
    <x v="7"/>
    <x v="2"/>
    <x v="0"/>
    <x v="2"/>
    <n v="99604"/>
    <n v="2783"/>
    <n v="182728"/>
    <n v="65.658641753503417"/>
    <n v="15.36"/>
    <n v="8778"/>
    <n v="2.08"/>
    <n v="23361"/>
    <n v="159367"/>
    <n v="3"/>
    <n v="89"/>
  </r>
  <r>
    <x v="5"/>
    <x v="4"/>
    <x v="1"/>
    <x v="0"/>
    <x v="7"/>
    <n v="32203"/>
    <n v="650"/>
    <n v="58756"/>
    <n v="90.393846153846155"/>
    <n v="22.98"/>
    <n v="12938"/>
    <n v="10.65"/>
    <n v="18486"/>
    <n v="40270"/>
    <n v="16"/>
    <n v="82"/>
  </r>
  <r>
    <x v="0"/>
    <x v="7"/>
    <x v="11"/>
    <x v="1"/>
    <x v="5"/>
    <n v="67089"/>
    <n v="3690"/>
    <n v="76338"/>
    <n v="20.68780487804878"/>
    <n v="13.42"/>
    <n v="15498"/>
    <n v="6.04"/>
    <n v="1594"/>
    <n v="74744"/>
    <n v="19"/>
    <n v="72"/>
  </r>
  <r>
    <x v="5"/>
    <x v="6"/>
    <x v="9"/>
    <x v="1"/>
    <x v="7"/>
    <n v="49644"/>
    <n v="4578"/>
    <n v="64149"/>
    <n v="14.012450851900393"/>
    <n v="12.42"/>
    <n v="11451"/>
    <n v="4.16"/>
    <n v="27535"/>
    <n v="36614"/>
    <n v="8"/>
    <n v="99"/>
  </r>
  <r>
    <x v="0"/>
    <x v="2"/>
    <x v="10"/>
    <x v="1"/>
    <x v="3"/>
    <n v="39998"/>
    <n v="1454"/>
    <n v="19808"/>
    <n v="13.623108665749657"/>
    <n v="5.34"/>
    <n v="1874"/>
    <n v="10.97"/>
    <n v="1942"/>
    <n v="17866"/>
    <n v="19"/>
    <n v="79"/>
  </r>
  <r>
    <x v="5"/>
    <x v="7"/>
    <x v="9"/>
    <x v="1"/>
    <x v="3"/>
    <n v="65801"/>
    <n v="1522"/>
    <n v="161939"/>
    <n v="106.39881734559789"/>
    <n v="5.27"/>
    <n v="14191"/>
    <n v="1.98"/>
    <n v="9002"/>
    <n v="152937"/>
    <n v="11"/>
    <n v="84"/>
  </r>
  <r>
    <x v="0"/>
    <x v="7"/>
    <x v="4"/>
    <x v="1"/>
    <x v="7"/>
    <n v="83598"/>
    <n v="2338"/>
    <n v="38905"/>
    <n v="16.640290846877672"/>
    <n v="18.41"/>
    <n v="88"/>
    <n v="7.86"/>
    <n v="39788"/>
    <n v="-883"/>
    <n v="12"/>
    <n v="97"/>
  </r>
  <r>
    <x v="0"/>
    <x v="3"/>
    <x v="4"/>
    <x v="1"/>
    <x v="6"/>
    <n v="91490"/>
    <n v="936"/>
    <n v="92842"/>
    <n v="99.190170940170944"/>
    <n v="15.79"/>
    <n v="4919"/>
    <n v="2.44"/>
    <n v="38889"/>
    <n v="53953"/>
    <n v="1"/>
    <n v="90"/>
  </r>
  <r>
    <x v="0"/>
    <x v="6"/>
    <x v="5"/>
    <x v="0"/>
    <x v="0"/>
    <n v="77857"/>
    <n v="2321"/>
    <n v="189243"/>
    <n v="81.535114174924601"/>
    <n v="23.17"/>
    <n v="7011"/>
    <n v="7.64"/>
    <n v="42049"/>
    <n v="147194"/>
    <n v="20"/>
    <n v="78"/>
  </r>
  <r>
    <x v="0"/>
    <x v="5"/>
    <x v="8"/>
    <x v="0"/>
    <x v="4"/>
    <n v="60170"/>
    <n v="336"/>
    <n v="149923"/>
    <n v="446.19940476190476"/>
    <n v="22.12"/>
    <n v="19678"/>
    <n v="4.7"/>
    <n v="22090"/>
    <n v="127833"/>
    <n v="0"/>
    <n v="81"/>
  </r>
  <r>
    <x v="4"/>
    <x v="7"/>
    <x v="1"/>
    <x v="0"/>
    <x v="2"/>
    <n v="87690"/>
    <n v="3687"/>
    <n v="53169"/>
    <n v="14.4206672091131"/>
    <n v="22.53"/>
    <n v="6603"/>
    <n v="7.06"/>
    <n v="28461"/>
    <n v="24708"/>
    <n v="7"/>
    <n v="86"/>
  </r>
  <r>
    <x v="2"/>
    <x v="7"/>
    <x v="1"/>
    <x v="0"/>
    <x v="0"/>
    <n v="17387"/>
    <n v="1441"/>
    <n v="177847"/>
    <n v="123.41915336571824"/>
    <n v="6.62"/>
    <n v="18557"/>
    <n v="6.62"/>
    <n v="33072"/>
    <n v="144775"/>
    <n v="18"/>
    <n v="89"/>
  </r>
  <r>
    <x v="2"/>
    <x v="2"/>
    <x v="11"/>
    <x v="1"/>
    <x v="3"/>
    <n v="37145"/>
    <n v="786"/>
    <n v="193305"/>
    <n v="245.93511450381681"/>
    <n v="7.09"/>
    <n v="6737"/>
    <n v="3.37"/>
    <n v="9934"/>
    <n v="183371"/>
    <n v="7"/>
    <n v="88"/>
  </r>
  <r>
    <x v="4"/>
    <x v="1"/>
    <x v="8"/>
    <x v="0"/>
    <x v="6"/>
    <n v="7421"/>
    <n v="2717"/>
    <n v="93332"/>
    <n v="34.351122561648879"/>
    <n v="15.83"/>
    <n v="10364"/>
    <n v="13.3"/>
    <n v="28077"/>
    <n v="65255"/>
    <n v="19"/>
    <n v="96"/>
  </r>
  <r>
    <x v="4"/>
    <x v="3"/>
    <x v="1"/>
    <x v="0"/>
    <x v="0"/>
    <n v="47241"/>
    <n v="1984"/>
    <n v="78247"/>
    <n v="39.439012096774192"/>
    <n v="5.95"/>
    <n v="6345"/>
    <n v="8.3000000000000007"/>
    <n v="28601"/>
    <n v="49646"/>
    <n v="8"/>
    <n v="92"/>
  </r>
  <r>
    <x v="2"/>
    <x v="5"/>
    <x v="2"/>
    <x v="0"/>
    <x v="6"/>
    <n v="84444"/>
    <n v="951"/>
    <n v="68393"/>
    <n v="71.916929547844376"/>
    <n v="15.33"/>
    <n v="12675"/>
    <n v="5.76"/>
    <n v="17353"/>
    <n v="51040"/>
    <n v="8"/>
    <n v="73"/>
  </r>
  <r>
    <x v="2"/>
    <x v="0"/>
    <x v="7"/>
    <x v="0"/>
    <x v="7"/>
    <n v="42602"/>
    <n v="3500"/>
    <n v="139930"/>
    <n v="39.979999999999997"/>
    <n v="22.44"/>
    <n v="8876"/>
    <n v="3.14"/>
    <n v="3141"/>
    <n v="136789"/>
    <n v="18"/>
    <n v="76"/>
  </r>
  <r>
    <x v="4"/>
    <x v="1"/>
    <x v="10"/>
    <x v="1"/>
    <x v="0"/>
    <n v="66053"/>
    <n v="3157"/>
    <n v="79200"/>
    <n v="25.087108013937282"/>
    <n v="6.84"/>
    <n v="16604"/>
    <n v="11.76"/>
    <n v="13883"/>
    <n v="65317"/>
    <n v="15"/>
    <n v="100"/>
  </r>
  <r>
    <x v="4"/>
    <x v="6"/>
    <x v="8"/>
    <x v="0"/>
    <x v="5"/>
    <n v="61428"/>
    <n v="4169"/>
    <n v="138035"/>
    <n v="33.109858479251621"/>
    <n v="9.1"/>
    <n v="10802"/>
    <n v="9.19"/>
    <n v="2005"/>
    <n v="136030"/>
    <n v="5"/>
    <n v="70"/>
  </r>
  <r>
    <x v="2"/>
    <x v="4"/>
    <x v="9"/>
    <x v="1"/>
    <x v="7"/>
    <n v="81979"/>
    <n v="2606"/>
    <n v="177529"/>
    <n v="68.123177283192632"/>
    <n v="20.94"/>
    <n v="10242"/>
    <n v="5.18"/>
    <n v="15694"/>
    <n v="161835"/>
    <n v="18"/>
    <n v="94"/>
  </r>
  <r>
    <x v="0"/>
    <x v="7"/>
    <x v="4"/>
    <x v="1"/>
    <x v="1"/>
    <n v="19972"/>
    <n v="3006"/>
    <n v="188630"/>
    <n v="62.751164337990687"/>
    <n v="17.100000000000001"/>
    <n v="16584"/>
    <n v="1.1100000000000001"/>
    <n v="3621"/>
    <n v="185009"/>
    <n v="8"/>
    <n v="78"/>
  </r>
  <r>
    <x v="1"/>
    <x v="0"/>
    <x v="11"/>
    <x v="1"/>
    <x v="5"/>
    <n v="8638"/>
    <n v="1170"/>
    <n v="138532"/>
    <n v="118.4034188034188"/>
    <n v="24.71"/>
    <n v="7191"/>
    <n v="4.54"/>
    <n v="48032"/>
    <n v="90500"/>
    <n v="9"/>
    <n v="92"/>
  </r>
  <r>
    <x v="2"/>
    <x v="5"/>
    <x v="6"/>
    <x v="0"/>
    <x v="0"/>
    <n v="30669"/>
    <n v="3375"/>
    <n v="149010"/>
    <n v="44.151111111111113"/>
    <n v="24.8"/>
    <n v="15700"/>
    <n v="9.6199999999999992"/>
    <n v="19063"/>
    <n v="129947"/>
    <n v="18"/>
    <n v="75"/>
  </r>
  <r>
    <x v="1"/>
    <x v="7"/>
    <x v="9"/>
    <x v="1"/>
    <x v="3"/>
    <n v="26176"/>
    <n v="1119"/>
    <n v="77938"/>
    <n v="69.649687220732801"/>
    <n v="16.18"/>
    <n v="19874"/>
    <n v="7.78"/>
    <n v="48330"/>
    <n v="29608"/>
    <n v="15"/>
    <n v="72"/>
  </r>
  <r>
    <x v="5"/>
    <x v="7"/>
    <x v="10"/>
    <x v="1"/>
    <x v="7"/>
    <n v="91620"/>
    <n v="858"/>
    <n v="90889"/>
    <n v="105.93123543123544"/>
    <n v="18.47"/>
    <n v="10735"/>
    <n v="5.32"/>
    <n v="33151"/>
    <n v="57738"/>
    <n v="10"/>
    <n v="96"/>
  </r>
  <r>
    <x v="4"/>
    <x v="2"/>
    <x v="5"/>
    <x v="0"/>
    <x v="7"/>
    <n v="34141"/>
    <n v="2500"/>
    <n v="170745"/>
    <n v="68.298000000000002"/>
    <n v="8"/>
    <n v="9460"/>
    <n v="14.23"/>
    <n v="20684"/>
    <n v="150061"/>
    <n v="13"/>
    <n v="93"/>
  </r>
  <r>
    <x v="0"/>
    <x v="2"/>
    <x v="5"/>
    <x v="0"/>
    <x v="5"/>
    <n v="3219"/>
    <n v="1331"/>
    <n v="79480"/>
    <n v="59.714500375657401"/>
    <n v="4.0199999999999996"/>
    <n v="13227"/>
    <n v="9.82"/>
    <n v="37771"/>
    <n v="41709"/>
    <n v="5"/>
    <n v="89"/>
  </r>
  <r>
    <x v="3"/>
    <x v="5"/>
    <x v="0"/>
    <x v="0"/>
    <x v="0"/>
    <n v="68361"/>
    <n v="1657"/>
    <n v="184370"/>
    <n v="111.26735063367532"/>
    <n v="20.57"/>
    <n v="1691"/>
    <n v="11.36"/>
    <n v="11566"/>
    <n v="172804"/>
    <n v="7"/>
    <n v="73"/>
  </r>
  <r>
    <x v="4"/>
    <x v="7"/>
    <x v="1"/>
    <x v="0"/>
    <x v="0"/>
    <n v="56243"/>
    <n v="619"/>
    <n v="45468"/>
    <n v="73.453957996768978"/>
    <n v="24.7"/>
    <n v="10092"/>
    <n v="13.04"/>
    <n v="5233"/>
    <n v="40235"/>
    <n v="10"/>
    <n v="75"/>
  </r>
  <r>
    <x v="3"/>
    <x v="2"/>
    <x v="6"/>
    <x v="0"/>
    <x v="7"/>
    <n v="46685"/>
    <n v="4308"/>
    <n v="139635"/>
    <n v="32.412952646239553"/>
    <n v="20.05"/>
    <n v="10057"/>
    <n v="1.1399999999999999"/>
    <n v="41378"/>
    <n v="98257"/>
    <n v="9"/>
    <n v="81"/>
  </r>
  <r>
    <x v="5"/>
    <x v="3"/>
    <x v="6"/>
    <x v="0"/>
    <x v="2"/>
    <n v="39807"/>
    <n v="523"/>
    <n v="41178"/>
    <n v="78.734225621414907"/>
    <n v="15.55"/>
    <n v="8805"/>
    <n v="9.9"/>
    <n v="32831"/>
    <n v="8347"/>
    <n v="3"/>
    <n v="97"/>
  </r>
  <r>
    <x v="0"/>
    <x v="7"/>
    <x v="8"/>
    <x v="0"/>
    <x v="0"/>
    <n v="82801"/>
    <n v="672"/>
    <n v="37888"/>
    <n v="56.38095238095238"/>
    <n v="6.17"/>
    <n v="11942"/>
    <n v="6.33"/>
    <n v="6347"/>
    <n v="31541"/>
    <n v="16"/>
    <n v="98"/>
  </r>
  <r>
    <x v="5"/>
    <x v="7"/>
    <x v="5"/>
    <x v="0"/>
    <x v="0"/>
    <n v="79604"/>
    <n v="718"/>
    <n v="98364"/>
    <n v="136.99721448467966"/>
    <n v="15.8"/>
    <n v="1478"/>
    <n v="14.41"/>
    <n v="36064"/>
    <n v="62300"/>
    <n v="16"/>
    <n v="98"/>
  </r>
  <r>
    <x v="5"/>
    <x v="3"/>
    <x v="4"/>
    <x v="1"/>
    <x v="3"/>
    <n v="45856"/>
    <n v="3158"/>
    <n v="181268"/>
    <n v="57.399620012666247"/>
    <n v="3.91"/>
    <n v="11272"/>
    <n v="12.42"/>
    <n v="33440"/>
    <n v="147828"/>
    <n v="7"/>
    <n v="91"/>
  </r>
  <r>
    <x v="1"/>
    <x v="7"/>
    <x v="6"/>
    <x v="0"/>
    <x v="1"/>
    <n v="12597"/>
    <n v="3464"/>
    <n v="197151"/>
    <n v="56.914260969976908"/>
    <n v="22.86"/>
    <n v="18595"/>
    <n v="5.94"/>
    <n v="6602"/>
    <n v="190549"/>
    <n v="16"/>
    <n v="88"/>
  </r>
  <r>
    <x v="1"/>
    <x v="6"/>
    <x v="11"/>
    <x v="1"/>
    <x v="4"/>
    <n v="27718"/>
    <n v="4638"/>
    <n v="114018"/>
    <n v="24.583441138421733"/>
    <n v="4.42"/>
    <n v="17006"/>
    <n v="6.63"/>
    <n v="47765"/>
    <n v="66253"/>
    <n v="19"/>
    <n v="74"/>
  </r>
  <r>
    <x v="5"/>
    <x v="5"/>
    <x v="4"/>
    <x v="1"/>
    <x v="6"/>
    <n v="84462"/>
    <n v="4456"/>
    <n v="142050"/>
    <n v="31.878366247755835"/>
    <n v="11.93"/>
    <n v="13869"/>
    <n v="11.66"/>
    <n v="48046"/>
    <n v="94004"/>
    <n v="16"/>
    <n v="97"/>
  </r>
  <r>
    <x v="5"/>
    <x v="4"/>
    <x v="0"/>
    <x v="0"/>
    <x v="1"/>
    <n v="63317"/>
    <n v="1192"/>
    <n v="40342"/>
    <n v="33.843959731543627"/>
    <n v="17.899999999999999"/>
    <n v="5395"/>
    <n v="7.15"/>
    <n v="41092"/>
    <n v="-750"/>
    <n v="16"/>
    <n v="76"/>
  </r>
  <r>
    <x v="0"/>
    <x v="2"/>
    <x v="2"/>
    <x v="0"/>
    <x v="4"/>
    <n v="70169"/>
    <n v="1196"/>
    <n v="167215"/>
    <n v="139.81187290969899"/>
    <n v="15.82"/>
    <n v="7556"/>
    <n v="5.35"/>
    <n v="43598"/>
    <n v="123617"/>
    <n v="11"/>
    <n v="88"/>
  </r>
  <r>
    <x v="2"/>
    <x v="3"/>
    <x v="1"/>
    <x v="0"/>
    <x v="2"/>
    <n v="64529"/>
    <n v="1776"/>
    <n v="35288"/>
    <n v="19.86936936936937"/>
    <n v="7.87"/>
    <n v="1624"/>
    <n v="13.45"/>
    <n v="9684"/>
    <n v="25604"/>
    <n v="20"/>
    <n v="99"/>
  </r>
  <r>
    <x v="4"/>
    <x v="6"/>
    <x v="4"/>
    <x v="1"/>
    <x v="7"/>
    <n v="21796"/>
    <n v="1566"/>
    <n v="32131"/>
    <n v="20.51787994891443"/>
    <n v="10.81"/>
    <n v="5002"/>
    <n v="12.38"/>
    <n v="14311"/>
    <n v="17820"/>
    <n v="16"/>
    <n v="77"/>
  </r>
  <r>
    <x v="0"/>
    <x v="6"/>
    <x v="6"/>
    <x v="0"/>
    <x v="0"/>
    <n v="5504"/>
    <n v="4307"/>
    <n v="63134"/>
    <n v="14.658462967262595"/>
    <n v="22.78"/>
    <n v="13999"/>
    <n v="6.31"/>
    <n v="1430"/>
    <n v="61704"/>
    <n v="13"/>
    <n v="70"/>
  </r>
  <r>
    <x v="3"/>
    <x v="0"/>
    <x v="7"/>
    <x v="0"/>
    <x v="0"/>
    <n v="19365"/>
    <n v="2988"/>
    <n v="47261"/>
    <n v="15.816934404283803"/>
    <n v="5.1100000000000003"/>
    <n v="2933"/>
    <n v="5.43"/>
    <n v="21661"/>
    <n v="25600"/>
    <n v="17"/>
    <n v="70"/>
  </r>
  <r>
    <x v="4"/>
    <x v="3"/>
    <x v="5"/>
    <x v="0"/>
    <x v="0"/>
    <n v="89165"/>
    <n v="203"/>
    <n v="57435"/>
    <n v="282.93103448275861"/>
    <n v="17.52"/>
    <n v="18112"/>
    <n v="1.78"/>
    <n v="5937"/>
    <n v="51498"/>
    <n v="18"/>
    <n v="74"/>
  </r>
  <r>
    <x v="1"/>
    <x v="6"/>
    <x v="6"/>
    <x v="0"/>
    <x v="5"/>
    <n v="59489"/>
    <n v="3290"/>
    <n v="84369"/>
    <n v="25.644072948328269"/>
    <n v="24.94"/>
    <n v="16048"/>
    <n v="3.41"/>
    <n v="1301"/>
    <n v="83068"/>
    <n v="12"/>
    <n v="88"/>
  </r>
  <r>
    <x v="0"/>
    <x v="6"/>
    <x v="7"/>
    <x v="0"/>
    <x v="6"/>
    <n v="12710"/>
    <n v="2552"/>
    <n v="77083"/>
    <n v="30.204937304075234"/>
    <n v="15.27"/>
    <n v="6676"/>
    <n v="3.97"/>
    <n v="25838"/>
    <n v="51245"/>
    <n v="9"/>
    <n v="72"/>
  </r>
  <r>
    <x v="2"/>
    <x v="6"/>
    <x v="1"/>
    <x v="0"/>
    <x v="0"/>
    <n v="48123"/>
    <n v="281"/>
    <n v="172059"/>
    <n v="612.3096085409253"/>
    <n v="18.170000000000002"/>
    <n v="3104"/>
    <n v="2.0499999999999998"/>
    <n v="45237"/>
    <n v="126822"/>
    <n v="8"/>
    <n v="89"/>
  </r>
  <r>
    <x v="4"/>
    <x v="7"/>
    <x v="7"/>
    <x v="0"/>
    <x v="7"/>
    <n v="92008"/>
    <n v="2564"/>
    <n v="110321"/>
    <n v="43.026911076443056"/>
    <n v="11.73"/>
    <n v="15782"/>
    <n v="3.33"/>
    <n v="38754"/>
    <n v="71567"/>
    <n v="18"/>
    <n v="89"/>
  </r>
  <r>
    <x v="0"/>
    <x v="4"/>
    <x v="2"/>
    <x v="0"/>
    <x v="6"/>
    <n v="8660"/>
    <n v="2102"/>
    <n v="181081"/>
    <n v="86.147002854424358"/>
    <n v="21.07"/>
    <n v="9884"/>
    <n v="10.81"/>
    <n v="31695"/>
    <n v="149386"/>
    <n v="7"/>
    <n v="89"/>
  </r>
  <r>
    <x v="0"/>
    <x v="7"/>
    <x v="6"/>
    <x v="0"/>
    <x v="5"/>
    <n v="95446"/>
    <n v="107"/>
    <n v="149378"/>
    <n v="1396.0560747663551"/>
    <n v="10.26"/>
    <n v="16725"/>
    <n v="3.52"/>
    <n v="36185"/>
    <n v="113193"/>
    <n v="17"/>
    <n v="95"/>
  </r>
  <r>
    <x v="0"/>
    <x v="6"/>
    <x v="11"/>
    <x v="1"/>
    <x v="3"/>
    <n v="84063"/>
    <n v="2904"/>
    <n v="65496"/>
    <n v="22.553719008264462"/>
    <n v="14.4"/>
    <n v="17760"/>
    <n v="8.58"/>
    <n v="8455"/>
    <n v="57041"/>
    <n v="5"/>
    <n v="93"/>
  </r>
  <r>
    <x v="5"/>
    <x v="7"/>
    <x v="2"/>
    <x v="0"/>
    <x v="3"/>
    <n v="14211"/>
    <n v="4039"/>
    <n v="132715"/>
    <n v="32.858380787323597"/>
    <n v="10.39"/>
    <n v="7625"/>
    <n v="12.51"/>
    <n v="17635"/>
    <n v="115080"/>
    <n v="14"/>
    <n v="71"/>
  </r>
  <r>
    <x v="2"/>
    <x v="3"/>
    <x v="6"/>
    <x v="0"/>
    <x v="7"/>
    <n v="79353"/>
    <n v="2428"/>
    <n v="177074"/>
    <n v="72.92998352553542"/>
    <n v="15.54"/>
    <n v="19353"/>
    <n v="4.9400000000000004"/>
    <n v="14948"/>
    <n v="162126"/>
    <n v="11"/>
    <n v="75"/>
  </r>
  <r>
    <x v="3"/>
    <x v="0"/>
    <x v="3"/>
    <x v="0"/>
    <x v="4"/>
    <n v="27512"/>
    <n v="204"/>
    <n v="85155"/>
    <n v="417.4264705882353"/>
    <n v="11.45"/>
    <n v="8609"/>
    <n v="3.55"/>
    <n v="49115"/>
    <n v="36040"/>
    <n v="15"/>
    <n v="93"/>
  </r>
  <r>
    <x v="4"/>
    <x v="1"/>
    <x v="7"/>
    <x v="0"/>
    <x v="7"/>
    <n v="86685"/>
    <n v="1317"/>
    <n v="103815"/>
    <n v="78.826879271070609"/>
    <n v="16.43"/>
    <n v="2835"/>
    <n v="1.42"/>
    <n v="10645"/>
    <n v="93170"/>
    <n v="12"/>
    <n v="75"/>
  </r>
  <r>
    <x v="3"/>
    <x v="6"/>
    <x v="0"/>
    <x v="0"/>
    <x v="6"/>
    <n v="64295"/>
    <n v="1316"/>
    <n v="191447"/>
    <n v="145.47644376899697"/>
    <n v="9.1300000000000008"/>
    <n v="4235"/>
    <n v="14.86"/>
    <n v="35525"/>
    <n v="155922"/>
    <n v="15"/>
    <n v="86"/>
  </r>
  <r>
    <x v="3"/>
    <x v="3"/>
    <x v="8"/>
    <x v="0"/>
    <x v="7"/>
    <n v="20075"/>
    <n v="4319"/>
    <n v="192954"/>
    <n v="44.675619356332483"/>
    <n v="17.54"/>
    <n v="13843"/>
    <n v="8.0299999999999994"/>
    <n v="5822"/>
    <n v="187132"/>
    <n v="4"/>
    <n v="79"/>
  </r>
  <r>
    <x v="2"/>
    <x v="0"/>
    <x v="2"/>
    <x v="0"/>
    <x v="3"/>
    <n v="24561"/>
    <n v="3489"/>
    <n v="50684"/>
    <n v="14.526798509601605"/>
    <n v="24.83"/>
    <n v="10385"/>
    <n v="10.67"/>
    <n v="8211"/>
    <n v="42473"/>
    <n v="6"/>
    <n v="73"/>
  </r>
  <r>
    <x v="4"/>
    <x v="5"/>
    <x v="10"/>
    <x v="1"/>
    <x v="4"/>
    <n v="25404"/>
    <n v="260"/>
    <n v="174440"/>
    <n v="670.92307692307691"/>
    <n v="16.38"/>
    <n v="18359"/>
    <n v="2.0099999999999998"/>
    <n v="6777"/>
    <n v="167663"/>
    <n v="13"/>
    <n v="82"/>
  </r>
  <r>
    <x v="2"/>
    <x v="0"/>
    <x v="3"/>
    <x v="0"/>
    <x v="6"/>
    <n v="98072"/>
    <n v="4129"/>
    <n v="108072"/>
    <n v="26.173891983531121"/>
    <n v="10.87"/>
    <n v="12605"/>
    <n v="4.76"/>
    <n v="23888"/>
    <n v="84184"/>
    <n v="11"/>
    <n v="81"/>
  </r>
  <r>
    <x v="1"/>
    <x v="5"/>
    <x v="2"/>
    <x v="0"/>
    <x v="3"/>
    <n v="25751"/>
    <n v="2145"/>
    <n v="189600"/>
    <n v="88.391608391608386"/>
    <n v="7.62"/>
    <n v="7295"/>
    <n v="6.61"/>
    <n v="29013"/>
    <n v="160587"/>
    <n v="6"/>
    <n v="76"/>
  </r>
  <r>
    <x v="4"/>
    <x v="4"/>
    <x v="3"/>
    <x v="0"/>
    <x v="4"/>
    <n v="5045"/>
    <n v="1832"/>
    <n v="33212"/>
    <n v="18.12882096069869"/>
    <n v="11.8"/>
    <n v="1423"/>
    <n v="2.06"/>
    <n v="34063"/>
    <n v="-851"/>
    <n v="6"/>
    <n v="78"/>
  </r>
  <r>
    <x v="5"/>
    <x v="1"/>
    <x v="0"/>
    <x v="0"/>
    <x v="7"/>
    <n v="84236"/>
    <n v="4546"/>
    <n v="30501"/>
    <n v="6.709414870215574"/>
    <n v="23.1"/>
    <n v="13130"/>
    <n v="7.8"/>
    <n v="47233"/>
    <n v="-16732"/>
    <n v="2"/>
    <n v="79"/>
  </r>
  <r>
    <x v="3"/>
    <x v="7"/>
    <x v="2"/>
    <x v="0"/>
    <x v="2"/>
    <n v="18576"/>
    <n v="1857"/>
    <n v="26119"/>
    <n v="14.065158858373721"/>
    <n v="19.100000000000001"/>
    <n v="9483"/>
    <n v="3.22"/>
    <n v="29089"/>
    <n v="-2970"/>
    <n v="18"/>
    <n v="90"/>
  </r>
  <r>
    <x v="5"/>
    <x v="2"/>
    <x v="11"/>
    <x v="1"/>
    <x v="4"/>
    <n v="17328"/>
    <n v="2661"/>
    <n v="129143"/>
    <n v="48.531754979331076"/>
    <n v="20.5"/>
    <n v="9691"/>
    <n v="8.69"/>
    <n v="19328"/>
    <n v="109815"/>
    <n v="12"/>
    <n v="90"/>
  </r>
  <r>
    <x v="3"/>
    <x v="7"/>
    <x v="2"/>
    <x v="0"/>
    <x v="4"/>
    <n v="9593"/>
    <n v="338"/>
    <n v="142186"/>
    <n v="420.66863905325442"/>
    <n v="21.71"/>
    <n v="6408"/>
    <n v="4.97"/>
    <n v="3976"/>
    <n v="138210"/>
    <n v="4"/>
    <n v="80"/>
  </r>
  <r>
    <x v="4"/>
    <x v="7"/>
    <x v="1"/>
    <x v="0"/>
    <x v="2"/>
    <n v="95556"/>
    <n v="2317"/>
    <n v="163238"/>
    <n v="70.452309020284858"/>
    <n v="7.9"/>
    <n v="11625"/>
    <n v="5.18"/>
    <n v="2072"/>
    <n v="161166"/>
    <n v="2"/>
    <n v="89"/>
  </r>
  <r>
    <x v="0"/>
    <x v="3"/>
    <x v="11"/>
    <x v="1"/>
    <x v="3"/>
    <n v="90744"/>
    <n v="1567"/>
    <n v="65749"/>
    <n v="41.958519463943844"/>
    <n v="6.25"/>
    <n v="6248"/>
    <n v="3.47"/>
    <n v="43360"/>
    <n v="22389"/>
    <n v="19"/>
    <n v="78"/>
  </r>
  <r>
    <x v="3"/>
    <x v="6"/>
    <x v="9"/>
    <x v="1"/>
    <x v="4"/>
    <n v="28281"/>
    <n v="4865"/>
    <n v="135390"/>
    <n v="27.829393627954779"/>
    <n v="15.35"/>
    <n v="7082"/>
    <n v="14.62"/>
    <n v="38772"/>
    <n v="96618"/>
    <n v="7"/>
    <n v="78"/>
  </r>
  <r>
    <x v="5"/>
    <x v="2"/>
    <x v="7"/>
    <x v="0"/>
    <x v="0"/>
    <n v="35673"/>
    <n v="1882"/>
    <n v="69106"/>
    <n v="36.719447396386819"/>
    <n v="10.63"/>
    <n v="7593"/>
    <n v="3.35"/>
    <n v="7124"/>
    <n v="61982"/>
    <n v="16"/>
    <n v="92"/>
  </r>
  <r>
    <x v="1"/>
    <x v="0"/>
    <x v="1"/>
    <x v="0"/>
    <x v="4"/>
    <n v="70145"/>
    <n v="4864"/>
    <n v="85404"/>
    <n v="17.558388157894736"/>
    <n v="18.25"/>
    <n v="3118"/>
    <n v="1.73"/>
    <n v="45972"/>
    <n v="39432"/>
    <n v="0"/>
    <n v="70"/>
  </r>
  <r>
    <x v="2"/>
    <x v="2"/>
    <x v="1"/>
    <x v="0"/>
    <x v="0"/>
    <n v="5170"/>
    <n v="2451"/>
    <n v="110915"/>
    <n v="45.252957976336191"/>
    <n v="7.57"/>
    <n v="9035"/>
    <n v="13.86"/>
    <n v="3909"/>
    <n v="107006"/>
    <n v="15"/>
    <n v="78"/>
  </r>
  <r>
    <x v="3"/>
    <x v="1"/>
    <x v="5"/>
    <x v="0"/>
    <x v="5"/>
    <n v="23645"/>
    <n v="3628"/>
    <n v="198675"/>
    <n v="54.761576626240355"/>
    <n v="6.37"/>
    <n v="18398"/>
    <n v="12.24"/>
    <n v="45273"/>
    <n v="153402"/>
    <n v="20"/>
    <n v="89"/>
  </r>
  <r>
    <x v="1"/>
    <x v="5"/>
    <x v="8"/>
    <x v="0"/>
    <x v="1"/>
    <n v="15004"/>
    <n v="2947"/>
    <n v="96683"/>
    <n v="32.807261621988459"/>
    <n v="5.41"/>
    <n v="1201"/>
    <n v="13.89"/>
    <n v="33958"/>
    <n v="62725"/>
    <n v="20"/>
    <n v="78"/>
  </r>
  <r>
    <x v="2"/>
    <x v="6"/>
    <x v="9"/>
    <x v="1"/>
    <x v="1"/>
    <n v="17939"/>
    <n v="676"/>
    <n v="157989"/>
    <n v="233.71153846153845"/>
    <n v="10.220000000000001"/>
    <n v="10877"/>
    <n v="3.15"/>
    <n v="37946"/>
    <n v="120043"/>
    <n v="8"/>
    <n v="83"/>
  </r>
  <r>
    <x v="1"/>
    <x v="1"/>
    <x v="0"/>
    <x v="0"/>
    <x v="0"/>
    <n v="35972"/>
    <n v="1761"/>
    <n v="130104"/>
    <n v="73.880749574105621"/>
    <n v="18.11"/>
    <n v="5920"/>
    <n v="7.92"/>
    <n v="48543"/>
    <n v="81561"/>
    <n v="12"/>
    <n v="86"/>
  </r>
  <r>
    <x v="4"/>
    <x v="5"/>
    <x v="10"/>
    <x v="1"/>
    <x v="1"/>
    <n v="9228"/>
    <n v="1201"/>
    <n v="55132"/>
    <n v="45.905079100749376"/>
    <n v="8.2899999999999991"/>
    <n v="837"/>
    <n v="5.61"/>
    <n v="3897"/>
    <n v="51235"/>
    <n v="9"/>
    <n v="78"/>
  </r>
  <r>
    <x v="2"/>
    <x v="3"/>
    <x v="6"/>
    <x v="0"/>
    <x v="6"/>
    <n v="21965"/>
    <n v="1580"/>
    <n v="14004"/>
    <n v="8.8632911392405056"/>
    <n v="8.1999999999999993"/>
    <n v="10124"/>
    <n v="14.74"/>
    <n v="10716"/>
    <n v="3288"/>
    <n v="4"/>
    <n v="87"/>
  </r>
  <r>
    <x v="4"/>
    <x v="1"/>
    <x v="1"/>
    <x v="0"/>
    <x v="2"/>
    <n v="38098"/>
    <n v="3283"/>
    <n v="34836"/>
    <n v="10.611026500152299"/>
    <n v="7.97"/>
    <n v="13459"/>
    <n v="6.02"/>
    <n v="34513"/>
    <n v="323"/>
    <n v="8"/>
    <n v="72"/>
  </r>
  <r>
    <x v="3"/>
    <x v="4"/>
    <x v="2"/>
    <x v="0"/>
    <x v="1"/>
    <n v="36032"/>
    <n v="129"/>
    <n v="27373"/>
    <n v="212.19379844961242"/>
    <n v="9.18"/>
    <n v="11763"/>
    <n v="2.79"/>
    <n v="30921"/>
    <n v="-3548"/>
    <n v="19"/>
    <n v="77"/>
  </r>
  <r>
    <x v="2"/>
    <x v="6"/>
    <x v="1"/>
    <x v="0"/>
    <x v="0"/>
    <n v="46541"/>
    <n v="293"/>
    <n v="802"/>
    <n v="2.7372013651877132"/>
    <n v="19.100000000000001"/>
    <n v="2331"/>
    <n v="7.77"/>
    <n v="21706"/>
    <n v="-20904"/>
    <n v="8"/>
    <n v="87"/>
  </r>
  <r>
    <x v="0"/>
    <x v="0"/>
    <x v="2"/>
    <x v="0"/>
    <x v="2"/>
    <n v="50358"/>
    <n v="4031"/>
    <n v="116460"/>
    <n v="28.891094021334656"/>
    <n v="19.09"/>
    <n v="15277"/>
    <n v="14.33"/>
    <n v="25994"/>
    <n v="90466"/>
    <n v="12"/>
    <n v="72"/>
  </r>
  <r>
    <x v="1"/>
    <x v="1"/>
    <x v="10"/>
    <x v="1"/>
    <x v="2"/>
    <n v="20360"/>
    <n v="2266"/>
    <n v="73052"/>
    <n v="32.238305383936449"/>
    <n v="8.2200000000000006"/>
    <n v="8655"/>
    <n v="13.93"/>
    <n v="47966"/>
    <n v="25086"/>
    <n v="1"/>
    <n v="87"/>
  </r>
  <r>
    <x v="1"/>
    <x v="5"/>
    <x v="6"/>
    <x v="0"/>
    <x v="7"/>
    <n v="91859"/>
    <n v="4856"/>
    <n v="65509"/>
    <n v="13.490321252059308"/>
    <n v="21.05"/>
    <n v="14664"/>
    <n v="2.8"/>
    <n v="33183"/>
    <n v="32326"/>
    <n v="3"/>
    <n v="92"/>
  </r>
  <r>
    <x v="1"/>
    <x v="2"/>
    <x v="8"/>
    <x v="0"/>
    <x v="6"/>
    <n v="73919"/>
    <n v="827"/>
    <n v="127567"/>
    <n v="154.2527206771463"/>
    <n v="18.79"/>
    <n v="12421"/>
    <n v="14.25"/>
    <n v="29937"/>
    <n v="97630"/>
    <n v="8"/>
    <n v="73"/>
  </r>
  <r>
    <x v="0"/>
    <x v="6"/>
    <x v="1"/>
    <x v="0"/>
    <x v="2"/>
    <n v="21266"/>
    <n v="2746"/>
    <n v="161141"/>
    <n v="58.682083029861616"/>
    <n v="7.93"/>
    <n v="6236"/>
    <n v="12.2"/>
    <n v="21154"/>
    <n v="139987"/>
    <n v="5"/>
    <n v="74"/>
  </r>
  <r>
    <x v="5"/>
    <x v="4"/>
    <x v="8"/>
    <x v="0"/>
    <x v="2"/>
    <n v="52880"/>
    <n v="1778"/>
    <n v="160883"/>
    <n v="90.485376827896516"/>
    <n v="23.2"/>
    <n v="9276"/>
    <n v="4.95"/>
    <n v="2602"/>
    <n v="158281"/>
    <n v="9"/>
    <n v="93"/>
  </r>
  <r>
    <x v="4"/>
    <x v="4"/>
    <x v="9"/>
    <x v="1"/>
    <x v="4"/>
    <n v="97292"/>
    <n v="1754"/>
    <n v="187112"/>
    <n v="106.67730900798176"/>
    <n v="22.88"/>
    <n v="19399"/>
    <n v="3.76"/>
    <n v="2216"/>
    <n v="184896"/>
    <n v="10"/>
    <n v="78"/>
  </r>
  <r>
    <x v="4"/>
    <x v="3"/>
    <x v="8"/>
    <x v="0"/>
    <x v="4"/>
    <n v="30581"/>
    <n v="4915"/>
    <n v="86943"/>
    <n v="17.689318413021365"/>
    <n v="17.36"/>
    <n v="19323"/>
    <n v="7.41"/>
    <n v="27758"/>
    <n v="59185"/>
    <n v="9"/>
    <n v="73"/>
  </r>
  <r>
    <x v="2"/>
    <x v="5"/>
    <x v="3"/>
    <x v="0"/>
    <x v="6"/>
    <n v="49512"/>
    <n v="3271"/>
    <n v="16664"/>
    <n v="5.0944665239987774"/>
    <n v="20.36"/>
    <n v="11785"/>
    <n v="14.26"/>
    <n v="25577"/>
    <n v="-8913"/>
    <n v="4"/>
    <n v="82"/>
  </r>
  <r>
    <x v="4"/>
    <x v="4"/>
    <x v="9"/>
    <x v="1"/>
    <x v="1"/>
    <n v="36751"/>
    <n v="2984"/>
    <n v="47014"/>
    <n v="15.755361930294907"/>
    <n v="4.08"/>
    <n v="19774"/>
    <n v="3"/>
    <n v="21826"/>
    <n v="25188"/>
    <n v="9"/>
    <n v="89"/>
  </r>
  <r>
    <x v="3"/>
    <x v="5"/>
    <x v="5"/>
    <x v="0"/>
    <x v="7"/>
    <n v="59600"/>
    <n v="591"/>
    <n v="46783"/>
    <n v="79.159052453468703"/>
    <n v="22.47"/>
    <n v="10573"/>
    <n v="14.54"/>
    <n v="24982"/>
    <n v="21801"/>
    <n v="0"/>
    <n v="94"/>
  </r>
  <r>
    <x v="4"/>
    <x v="6"/>
    <x v="11"/>
    <x v="1"/>
    <x v="6"/>
    <n v="86106"/>
    <n v="239"/>
    <n v="62175"/>
    <n v="260.14644351464437"/>
    <n v="24.79"/>
    <n v="194"/>
    <n v="3.69"/>
    <n v="35698"/>
    <n v="26477"/>
    <n v="9"/>
    <n v="90"/>
  </r>
  <r>
    <x v="2"/>
    <x v="6"/>
    <x v="11"/>
    <x v="1"/>
    <x v="3"/>
    <n v="39649"/>
    <n v="3273"/>
    <n v="101360"/>
    <n v="30.968530400244425"/>
    <n v="20.55"/>
    <n v="13939"/>
    <n v="10.66"/>
    <n v="13171"/>
    <n v="88189"/>
    <n v="10"/>
    <n v="77"/>
  </r>
  <r>
    <x v="4"/>
    <x v="2"/>
    <x v="10"/>
    <x v="1"/>
    <x v="1"/>
    <n v="98691"/>
    <n v="2666"/>
    <n v="14722"/>
    <n v="5.5221305326331587"/>
    <n v="10.16"/>
    <n v="7915"/>
    <n v="9.73"/>
    <n v="17041"/>
    <n v="-2319"/>
    <n v="18"/>
    <n v="94"/>
  </r>
  <r>
    <x v="5"/>
    <x v="5"/>
    <x v="5"/>
    <x v="0"/>
    <x v="7"/>
    <n v="24684"/>
    <n v="2259"/>
    <n v="70113"/>
    <n v="31.037184594953519"/>
    <n v="15.67"/>
    <n v="2539"/>
    <n v="11.42"/>
    <n v="43044"/>
    <n v="27069"/>
    <n v="4"/>
    <n v="100"/>
  </r>
  <r>
    <x v="1"/>
    <x v="7"/>
    <x v="2"/>
    <x v="0"/>
    <x v="3"/>
    <n v="82293"/>
    <n v="842"/>
    <n v="168868"/>
    <n v="200.55581947743468"/>
    <n v="22.95"/>
    <n v="1842"/>
    <n v="5.0599999999999996"/>
    <n v="22930"/>
    <n v="145938"/>
    <n v="18"/>
    <n v="71"/>
  </r>
  <r>
    <x v="1"/>
    <x v="4"/>
    <x v="6"/>
    <x v="0"/>
    <x v="3"/>
    <n v="27525"/>
    <n v="3779"/>
    <n v="199555"/>
    <n v="52.806297962423919"/>
    <n v="16.28"/>
    <n v="7542"/>
    <n v="12.2"/>
    <n v="19367"/>
    <n v="180188"/>
    <n v="3"/>
    <n v="73"/>
  </r>
  <r>
    <x v="2"/>
    <x v="0"/>
    <x v="6"/>
    <x v="0"/>
    <x v="5"/>
    <n v="87927"/>
    <n v="2557"/>
    <n v="49290"/>
    <n v="19.276495893625341"/>
    <n v="8.4600000000000009"/>
    <n v="18707"/>
    <n v="7.7"/>
    <n v="15336"/>
    <n v="33954"/>
    <n v="10"/>
    <n v="80"/>
  </r>
  <r>
    <x v="3"/>
    <x v="3"/>
    <x v="8"/>
    <x v="0"/>
    <x v="1"/>
    <n v="37481"/>
    <n v="1785"/>
    <n v="156827"/>
    <n v="87.858263305322126"/>
    <n v="17.010000000000002"/>
    <n v="9492"/>
    <n v="11.84"/>
    <n v="27972"/>
    <n v="128855"/>
    <n v="5"/>
    <n v="88"/>
  </r>
  <r>
    <x v="0"/>
    <x v="3"/>
    <x v="11"/>
    <x v="1"/>
    <x v="4"/>
    <n v="30095"/>
    <n v="1620"/>
    <n v="160180"/>
    <n v="98.876543209876544"/>
    <n v="7.95"/>
    <n v="16842"/>
    <n v="10.210000000000001"/>
    <n v="2529"/>
    <n v="157651"/>
    <n v="16"/>
    <n v="92"/>
  </r>
  <r>
    <x v="1"/>
    <x v="5"/>
    <x v="8"/>
    <x v="0"/>
    <x v="2"/>
    <n v="49267"/>
    <n v="4594"/>
    <n v="86201"/>
    <n v="18.763822377013497"/>
    <n v="3.84"/>
    <n v="16915"/>
    <n v="7.11"/>
    <n v="41279"/>
    <n v="44922"/>
    <n v="6"/>
    <n v="93"/>
  </r>
  <r>
    <x v="5"/>
    <x v="2"/>
    <x v="6"/>
    <x v="0"/>
    <x v="3"/>
    <n v="79980"/>
    <n v="3628"/>
    <n v="174625"/>
    <n v="48.13257993384785"/>
    <n v="5.45"/>
    <n v="12446"/>
    <n v="8.0399999999999991"/>
    <n v="14524"/>
    <n v="160101"/>
    <n v="8"/>
    <n v="96"/>
  </r>
  <r>
    <x v="0"/>
    <x v="2"/>
    <x v="1"/>
    <x v="0"/>
    <x v="1"/>
    <n v="76326"/>
    <n v="654"/>
    <n v="70045"/>
    <n v="107.10244648318043"/>
    <n v="15.71"/>
    <n v="3047"/>
    <n v="2.12"/>
    <n v="40529"/>
    <n v="29516"/>
    <n v="16"/>
    <n v="76"/>
  </r>
  <r>
    <x v="3"/>
    <x v="2"/>
    <x v="1"/>
    <x v="0"/>
    <x v="6"/>
    <n v="19312"/>
    <n v="797"/>
    <n v="108938"/>
    <n v="136.68506900878293"/>
    <n v="7.8"/>
    <n v="19668"/>
    <n v="3.07"/>
    <n v="46551"/>
    <n v="62387"/>
    <n v="16"/>
    <n v="71"/>
  </r>
  <r>
    <x v="3"/>
    <x v="0"/>
    <x v="1"/>
    <x v="0"/>
    <x v="7"/>
    <n v="60687"/>
    <n v="758"/>
    <n v="84079"/>
    <n v="110.9221635883905"/>
    <n v="22.44"/>
    <n v="9311"/>
    <n v="6.17"/>
    <n v="18721"/>
    <n v="65358"/>
    <n v="15"/>
    <n v="79"/>
  </r>
  <r>
    <x v="1"/>
    <x v="7"/>
    <x v="11"/>
    <x v="1"/>
    <x v="3"/>
    <n v="6460"/>
    <n v="3355"/>
    <n v="25536"/>
    <n v="7.6113263785394931"/>
    <n v="5.19"/>
    <n v="11459"/>
    <n v="7.16"/>
    <n v="29622"/>
    <n v="-4086"/>
    <n v="17"/>
    <n v="76"/>
  </r>
  <r>
    <x v="3"/>
    <x v="4"/>
    <x v="3"/>
    <x v="0"/>
    <x v="2"/>
    <n v="2789"/>
    <n v="3502"/>
    <n v="31766"/>
    <n v="9.0708166761850375"/>
    <n v="19.07"/>
    <n v="17869"/>
    <n v="3.88"/>
    <n v="8968"/>
    <n v="22798"/>
    <n v="7"/>
    <n v="92"/>
  </r>
  <r>
    <x v="3"/>
    <x v="2"/>
    <x v="5"/>
    <x v="0"/>
    <x v="5"/>
    <n v="13357"/>
    <n v="3708"/>
    <n v="47071"/>
    <n v="12.694444444444445"/>
    <n v="5.89"/>
    <n v="18091"/>
    <n v="2.02"/>
    <n v="15034"/>
    <n v="32037"/>
    <n v="2"/>
    <n v="77"/>
  </r>
  <r>
    <x v="0"/>
    <x v="0"/>
    <x v="6"/>
    <x v="0"/>
    <x v="0"/>
    <n v="42040"/>
    <n v="4470"/>
    <n v="196207"/>
    <n v="43.894183445190158"/>
    <n v="10.53"/>
    <n v="295"/>
    <n v="13.18"/>
    <n v="19146"/>
    <n v="177061"/>
    <n v="18"/>
    <n v="92"/>
  </r>
  <r>
    <x v="1"/>
    <x v="5"/>
    <x v="2"/>
    <x v="0"/>
    <x v="1"/>
    <n v="56485"/>
    <n v="930"/>
    <n v="89100"/>
    <n v="95.806451612903231"/>
    <n v="6.32"/>
    <n v="8723"/>
    <n v="10.78"/>
    <n v="24520"/>
    <n v="64580"/>
    <n v="13"/>
    <n v="91"/>
  </r>
  <r>
    <x v="3"/>
    <x v="0"/>
    <x v="3"/>
    <x v="0"/>
    <x v="1"/>
    <n v="75605"/>
    <n v="498"/>
    <n v="140317"/>
    <n v="281.76104417670683"/>
    <n v="7.71"/>
    <n v="1333"/>
    <n v="1.06"/>
    <n v="13051"/>
    <n v="127266"/>
    <n v="15"/>
    <n v="89"/>
  </r>
  <r>
    <x v="1"/>
    <x v="2"/>
    <x v="8"/>
    <x v="0"/>
    <x v="7"/>
    <n v="46486"/>
    <n v="3623"/>
    <n v="196652"/>
    <n v="54.278774496273805"/>
    <n v="12.52"/>
    <n v="908"/>
    <n v="13.23"/>
    <n v="30237"/>
    <n v="166415"/>
    <n v="19"/>
    <n v="75"/>
  </r>
  <r>
    <x v="2"/>
    <x v="4"/>
    <x v="11"/>
    <x v="1"/>
    <x v="5"/>
    <n v="5810"/>
    <n v="2045"/>
    <n v="167391"/>
    <n v="81.85378973105135"/>
    <n v="15.46"/>
    <n v="19867"/>
    <n v="4.41"/>
    <n v="35757"/>
    <n v="131634"/>
    <n v="12"/>
    <n v="75"/>
  </r>
  <r>
    <x v="4"/>
    <x v="0"/>
    <x v="9"/>
    <x v="1"/>
    <x v="3"/>
    <n v="33791"/>
    <n v="4628"/>
    <n v="82404"/>
    <n v="17.805531547104582"/>
    <n v="18.809999999999999"/>
    <n v="5341"/>
    <n v="7.55"/>
    <n v="38025"/>
    <n v="44379"/>
    <n v="19"/>
    <n v="81"/>
  </r>
  <r>
    <x v="5"/>
    <x v="5"/>
    <x v="6"/>
    <x v="0"/>
    <x v="6"/>
    <n v="24362"/>
    <n v="3238"/>
    <n v="159251"/>
    <n v="49.181902408894381"/>
    <n v="24.19"/>
    <n v="7575"/>
    <n v="13.59"/>
    <n v="9473"/>
    <n v="149778"/>
    <n v="1"/>
    <n v="70"/>
  </r>
  <r>
    <x v="5"/>
    <x v="2"/>
    <x v="1"/>
    <x v="0"/>
    <x v="2"/>
    <n v="76674"/>
    <n v="2764"/>
    <n v="131846"/>
    <n v="47.701157742402316"/>
    <n v="16.649999999999999"/>
    <n v="10766"/>
    <n v="3.6"/>
    <n v="4474"/>
    <n v="127372"/>
    <n v="16"/>
    <n v="89"/>
  </r>
  <r>
    <x v="0"/>
    <x v="1"/>
    <x v="8"/>
    <x v="0"/>
    <x v="2"/>
    <n v="30509"/>
    <n v="1494"/>
    <n v="186744"/>
    <n v="124.99598393574297"/>
    <n v="17.510000000000002"/>
    <n v="10713"/>
    <n v="10.210000000000001"/>
    <n v="24180"/>
    <n v="162564"/>
    <n v="8"/>
    <n v="71"/>
  </r>
  <r>
    <x v="1"/>
    <x v="5"/>
    <x v="10"/>
    <x v="1"/>
    <x v="7"/>
    <n v="28162"/>
    <n v="948"/>
    <n v="48039"/>
    <n v="50.674050632911396"/>
    <n v="11.8"/>
    <n v="19495"/>
    <n v="2.09"/>
    <n v="9283"/>
    <n v="38756"/>
    <n v="11"/>
    <n v="77"/>
  </r>
  <r>
    <x v="0"/>
    <x v="6"/>
    <x v="3"/>
    <x v="0"/>
    <x v="5"/>
    <n v="54699"/>
    <n v="1536"/>
    <n v="101502"/>
    <n v="66.08203125"/>
    <n v="8.44"/>
    <n v="1746"/>
    <n v="8.23"/>
    <n v="43027"/>
    <n v="58475"/>
    <n v="12"/>
    <n v="95"/>
  </r>
  <r>
    <x v="4"/>
    <x v="7"/>
    <x v="0"/>
    <x v="0"/>
    <x v="2"/>
    <n v="85467"/>
    <n v="4891"/>
    <n v="24959"/>
    <n v="5.1030464117767327"/>
    <n v="10.89"/>
    <n v="10841"/>
    <n v="7.92"/>
    <n v="35232"/>
    <n v="-10273"/>
    <n v="18"/>
    <n v="84"/>
  </r>
  <r>
    <x v="3"/>
    <x v="3"/>
    <x v="10"/>
    <x v="1"/>
    <x v="3"/>
    <n v="51087"/>
    <n v="2153"/>
    <n v="47910"/>
    <n v="22.252670692057595"/>
    <n v="3.95"/>
    <n v="14630"/>
    <n v="7.75"/>
    <n v="35619"/>
    <n v="12291"/>
    <n v="16"/>
    <n v="78"/>
  </r>
  <r>
    <x v="2"/>
    <x v="1"/>
    <x v="9"/>
    <x v="1"/>
    <x v="6"/>
    <n v="98075"/>
    <n v="3197"/>
    <n v="9799"/>
    <n v="3.0650609946825149"/>
    <n v="15.72"/>
    <n v="15810"/>
    <n v="12.08"/>
    <n v="19709"/>
    <n v="-9910"/>
    <n v="11"/>
    <n v="79"/>
  </r>
  <r>
    <x v="5"/>
    <x v="7"/>
    <x v="5"/>
    <x v="0"/>
    <x v="1"/>
    <n v="38258"/>
    <n v="1735"/>
    <n v="138432"/>
    <n v="79.787896253602312"/>
    <n v="13.25"/>
    <n v="4398"/>
    <n v="2.2400000000000002"/>
    <n v="18941"/>
    <n v="119491"/>
    <n v="4"/>
    <n v="73"/>
  </r>
  <r>
    <x v="3"/>
    <x v="5"/>
    <x v="7"/>
    <x v="0"/>
    <x v="2"/>
    <n v="19200"/>
    <n v="180"/>
    <n v="53815"/>
    <n v="298.97222222222223"/>
    <n v="17.79"/>
    <n v="13007"/>
    <n v="10.36"/>
    <n v="48864"/>
    <n v="4951"/>
    <n v="16"/>
    <n v="82"/>
  </r>
  <r>
    <x v="0"/>
    <x v="7"/>
    <x v="4"/>
    <x v="1"/>
    <x v="1"/>
    <n v="98485"/>
    <n v="4356"/>
    <n v="100560"/>
    <n v="23.085399449035812"/>
    <n v="4.8"/>
    <n v="473"/>
    <n v="5.21"/>
    <n v="22393"/>
    <n v="78167"/>
    <n v="7"/>
    <n v="97"/>
  </r>
  <r>
    <x v="2"/>
    <x v="7"/>
    <x v="1"/>
    <x v="0"/>
    <x v="6"/>
    <n v="37111"/>
    <n v="1090"/>
    <n v="157223"/>
    <n v="144.24128440366974"/>
    <n v="3.57"/>
    <n v="8989"/>
    <n v="4.92"/>
    <n v="20305"/>
    <n v="136918"/>
    <n v="8"/>
    <n v="94"/>
  </r>
  <r>
    <x v="2"/>
    <x v="2"/>
    <x v="3"/>
    <x v="0"/>
    <x v="0"/>
    <n v="99096"/>
    <n v="859"/>
    <n v="54812"/>
    <n v="63.809080325960416"/>
    <n v="7.25"/>
    <n v="8825"/>
    <n v="10.56"/>
    <n v="23157"/>
    <n v="31655"/>
    <n v="9"/>
    <n v="78"/>
  </r>
  <r>
    <x v="3"/>
    <x v="0"/>
    <x v="9"/>
    <x v="1"/>
    <x v="2"/>
    <n v="72596"/>
    <n v="2691"/>
    <n v="78554"/>
    <n v="29.191378669639541"/>
    <n v="3.35"/>
    <n v="11568"/>
    <n v="5.4"/>
    <n v="9968"/>
    <n v="68586"/>
    <n v="5"/>
    <n v="92"/>
  </r>
  <r>
    <x v="3"/>
    <x v="0"/>
    <x v="1"/>
    <x v="0"/>
    <x v="6"/>
    <n v="17218"/>
    <n v="3559"/>
    <n v="9000"/>
    <n v="2.5288002247822421"/>
    <n v="6.75"/>
    <n v="1871"/>
    <n v="7.68"/>
    <n v="2104"/>
    <n v="6896"/>
    <n v="4"/>
    <n v="96"/>
  </r>
  <r>
    <x v="2"/>
    <x v="4"/>
    <x v="0"/>
    <x v="0"/>
    <x v="6"/>
    <n v="37544"/>
    <n v="4729"/>
    <n v="124342"/>
    <n v="26.29350814125608"/>
    <n v="19.690000000000001"/>
    <n v="3817"/>
    <n v="5.95"/>
    <n v="8279"/>
    <n v="116063"/>
    <n v="4"/>
    <n v="85"/>
  </r>
  <r>
    <x v="3"/>
    <x v="4"/>
    <x v="2"/>
    <x v="0"/>
    <x v="2"/>
    <n v="68238"/>
    <n v="3724"/>
    <n v="117905"/>
    <n v="31.660848549946294"/>
    <n v="8.8000000000000007"/>
    <n v="10124"/>
    <n v="13.81"/>
    <n v="41266"/>
    <n v="76639"/>
    <n v="20"/>
    <n v="76"/>
  </r>
  <r>
    <x v="4"/>
    <x v="4"/>
    <x v="10"/>
    <x v="1"/>
    <x v="7"/>
    <n v="12296"/>
    <n v="3291"/>
    <n v="90386"/>
    <n v="27.464600425402612"/>
    <n v="15.07"/>
    <n v="12447"/>
    <n v="8.93"/>
    <n v="47206"/>
    <n v="43180"/>
    <n v="18"/>
    <n v="91"/>
  </r>
  <r>
    <x v="1"/>
    <x v="7"/>
    <x v="7"/>
    <x v="0"/>
    <x v="1"/>
    <n v="60056"/>
    <n v="2970"/>
    <n v="103086"/>
    <n v="34.709090909090911"/>
    <n v="14.18"/>
    <n v="12926"/>
    <n v="11.02"/>
    <n v="41631"/>
    <n v="61455"/>
    <n v="13"/>
    <n v="84"/>
  </r>
  <r>
    <x v="4"/>
    <x v="7"/>
    <x v="6"/>
    <x v="0"/>
    <x v="1"/>
    <n v="76815"/>
    <n v="4028"/>
    <n v="162821"/>
    <n v="40.422293942403179"/>
    <n v="23.57"/>
    <n v="5588"/>
    <n v="14.9"/>
    <n v="24806"/>
    <n v="138015"/>
    <n v="14"/>
    <n v="87"/>
  </r>
  <r>
    <x v="4"/>
    <x v="0"/>
    <x v="9"/>
    <x v="1"/>
    <x v="2"/>
    <n v="4518"/>
    <n v="4616"/>
    <n v="108520"/>
    <n v="23.509532062391681"/>
    <n v="5.22"/>
    <n v="17637"/>
    <n v="12.55"/>
    <n v="37489"/>
    <n v="71031"/>
    <n v="1"/>
    <n v="91"/>
  </r>
  <r>
    <x v="4"/>
    <x v="1"/>
    <x v="8"/>
    <x v="0"/>
    <x v="4"/>
    <n v="19822"/>
    <n v="3878"/>
    <n v="181100"/>
    <n v="46.69932955131511"/>
    <n v="19.62"/>
    <n v="883"/>
    <n v="14.76"/>
    <n v="14487"/>
    <n v="166613"/>
    <n v="15"/>
    <n v="75"/>
  </r>
  <r>
    <x v="4"/>
    <x v="0"/>
    <x v="4"/>
    <x v="1"/>
    <x v="1"/>
    <n v="94881"/>
    <n v="828"/>
    <n v="192190"/>
    <n v="232.11352657004832"/>
    <n v="22.92"/>
    <n v="11976"/>
    <n v="7.85"/>
    <n v="13186"/>
    <n v="179004"/>
    <n v="14"/>
    <n v="92"/>
  </r>
  <r>
    <x v="5"/>
    <x v="2"/>
    <x v="6"/>
    <x v="0"/>
    <x v="7"/>
    <n v="11569"/>
    <n v="1813"/>
    <n v="25009"/>
    <n v="13.794263651406508"/>
    <n v="22.38"/>
    <n v="9919"/>
    <n v="4.78"/>
    <n v="6699"/>
    <n v="18310"/>
    <n v="5"/>
    <n v="78"/>
  </r>
  <r>
    <x v="1"/>
    <x v="1"/>
    <x v="3"/>
    <x v="0"/>
    <x v="6"/>
    <n v="3662"/>
    <n v="2717"/>
    <n v="112419"/>
    <n v="41.376150165623848"/>
    <n v="3.92"/>
    <n v="684"/>
    <n v="8.7899999999999991"/>
    <n v="36069"/>
    <n v="76350"/>
    <n v="4"/>
    <n v="81"/>
  </r>
  <r>
    <x v="3"/>
    <x v="7"/>
    <x v="6"/>
    <x v="0"/>
    <x v="5"/>
    <n v="97939"/>
    <n v="932"/>
    <n v="73251"/>
    <n v="78.595493562231766"/>
    <n v="9.15"/>
    <n v="18106"/>
    <n v="5.0599999999999996"/>
    <n v="2482"/>
    <n v="70769"/>
    <n v="18"/>
    <n v="85"/>
  </r>
  <r>
    <x v="3"/>
    <x v="6"/>
    <x v="6"/>
    <x v="0"/>
    <x v="5"/>
    <n v="80511"/>
    <n v="3646"/>
    <n v="123863"/>
    <n v="33.972298409215576"/>
    <n v="17.940000000000001"/>
    <n v="2355"/>
    <n v="6.99"/>
    <n v="48412"/>
    <n v="75451"/>
    <n v="3"/>
    <n v="95"/>
  </r>
  <r>
    <x v="0"/>
    <x v="6"/>
    <x v="4"/>
    <x v="1"/>
    <x v="2"/>
    <n v="70133"/>
    <n v="1862"/>
    <n v="188232"/>
    <n v="101.09129967776585"/>
    <n v="9.57"/>
    <n v="14787"/>
    <n v="14.97"/>
    <n v="38985"/>
    <n v="149247"/>
    <n v="10"/>
    <n v="85"/>
  </r>
  <r>
    <x v="0"/>
    <x v="7"/>
    <x v="7"/>
    <x v="0"/>
    <x v="6"/>
    <n v="24059"/>
    <n v="4777"/>
    <n v="123264"/>
    <n v="25.803642453422651"/>
    <n v="22.33"/>
    <n v="15688"/>
    <n v="9.39"/>
    <n v="13483"/>
    <n v="109781"/>
    <n v="8"/>
    <n v="89"/>
  </r>
  <r>
    <x v="4"/>
    <x v="7"/>
    <x v="9"/>
    <x v="1"/>
    <x v="6"/>
    <n v="87223"/>
    <n v="1198"/>
    <n v="142835"/>
    <n v="119.22787979966611"/>
    <n v="5.66"/>
    <n v="2473"/>
    <n v="4.54"/>
    <n v="27563"/>
    <n v="115272"/>
    <n v="14"/>
    <n v="70"/>
  </r>
  <r>
    <x v="3"/>
    <x v="7"/>
    <x v="7"/>
    <x v="0"/>
    <x v="1"/>
    <n v="28860"/>
    <n v="1122"/>
    <n v="93372"/>
    <n v="83.219251336898395"/>
    <n v="12.59"/>
    <n v="18789"/>
    <n v="14.37"/>
    <n v="9821"/>
    <n v="83551"/>
    <n v="11"/>
    <n v="81"/>
  </r>
  <r>
    <x v="2"/>
    <x v="5"/>
    <x v="10"/>
    <x v="1"/>
    <x v="4"/>
    <n v="82552"/>
    <n v="790"/>
    <n v="83467"/>
    <n v="105.65443037974684"/>
    <n v="7.99"/>
    <n v="1963"/>
    <n v="12.17"/>
    <n v="27663"/>
    <n v="55804"/>
    <n v="10"/>
    <n v="82"/>
  </r>
  <r>
    <x v="5"/>
    <x v="4"/>
    <x v="7"/>
    <x v="0"/>
    <x v="4"/>
    <n v="35138"/>
    <n v="2693"/>
    <n v="64955"/>
    <n v="24.119940586706274"/>
    <n v="13.82"/>
    <n v="3691"/>
    <n v="2.62"/>
    <n v="15575"/>
    <n v="49380"/>
    <n v="9"/>
    <n v="85"/>
  </r>
  <r>
    <x v="0"/>
    <x v="0"/>
    <x v="5"/>
    <x v="0"/>
    <x v="5"/>
    <n v="62913"/>
    <n v="1257"/>
    <n v="124801"/>
    <n v="99.284805091487669"/>
    <n v="24.37"/>
    <n v="16574"/>
    <n v="7.66"/>
    <n v="36002"/>
    <n v="88799"/>
    <n v="12"/>
    <n v="77"/>
  </r>
  <r>
    <x v="3"/>
    <x v="4"/>
    <x v="6"/>
    <x v="0"/>
    <x v="7"/>
    <n v="11952"/>
    <n v="1538"/>
    <n v="86057"/>
    <n v="55.953836150845255"/>
    <n v="16.48"/>
    <n v="14199"/>
    <n v="12"/>
    <n v="8176"/>
    <n v="77881"/>
    <n v="11"/>
    <n v="100"/>
  </r>
  <r>
    <x v="1"/>
    <x v="6"/>
    <x v="11"/>
    <x v="1"/>
    <x v="4"/>
    <n v="7265"/>
    <n v="4069"/>
    <n v="68685"/>
    <n v="16.880068812976162"/>
    <n v="19.7"/>
    <n v="19436"/>
    <n v="8.92"/>
    <n v="45733"/>
    <n v="22952"/>
    <n v="7"/>
    <n v="96"/>
  </r>
  <r>
    <x v="2"/>
    <x v="4"/>
    <x v="8"/>
    <x v="0"/>
    <x v="2"/>
    <n v="80526"/>
    <n v="1622"/>
    <n v="135735"/>
    <n v="83.683723797780516"/>
    <n v="23.94"/>
    <n v="16651"/>
    <n v="7.55"/>
    <n v="37367"/>
    <n v="98368"/>
    <n v="13"/>
    <n v="76"/>
  </r>
  <r>
    <x v="1"/>
    <x v="6"/>
    <x v="6"/>
    <x v="0"/>
    <x v="2"/>
    <n v="15810"/>
    <n v="3591"/>
    <n v="111281"/>
    <n v="30.988861041492619"/>
    <n v="9.17"/>
    <n v="7311"/>
    <n v="10.65"/>
    <n v="46596"/>
    <n v="64685"/>
    <n v="12"/>
    <n v="91"/>
  </r>
  <r>
    <x v="3"/>
    <x v="5"/>
    <x v="11"/>
    <x v="1"/>
    <x v="3"/>
    <n v="87929"/>
    <n v="4801"/>
    <n v="188920"/>
    <n v="39.350135388460735"/>
    <n v="16.14"/>
    <n v="4908"/>
    <n v="14.22"/>
    <n v="15596"/>
    <n v="173324"/>
    <n v="13"/>
    <n v="81"/>
  </r>
  <r>
    <x v="1"/>
    <x v="4"/>
    <x v="1"/>
    <x v="0"/>
    <x v="5"/>
    <n v="87084"/>
    <n v="4028"/>
    <n v="41486"/>
    <n v="10.299404170804369"/>
    <n v="17.600000000000001"/>
    <n v="314"/>
    <n v="10.28"/>
    <n v="30801"/>
    <n v="10685"/>
    <n v="16"/>
    <n v="92"/>
  </r>
  <r>
    <x v="3"/>
    <x v="3"/>
    <x v="9"/>
    <x v="1"/>
    <x v="3"/>
    <n v="16750"/>
    <n v="1356"/>
    <n v="190338"/>
    <n v="140.36725663716814"/>
    <n v="5.21"/>
    <n v="10132"/>
    <n v="7.41"/>
    <n v="14133"/>
    <n v="176205"/>
    <n v="13"/>
    <n v="81"/>
  </r>
  <r>
    <x v="5"/>
    <x v="5"/>
    <x v="11"/>
    <x v="1"/>
    <x v="7"/>
    <n v="34513"/>
    <n v="276"/>
    <n v="126005"/>
    <n v="456.53985507246375"/>
    <n v="19.850000000000001"/>
    <n v="2390"/>
    <n v="12.17"/>
    <n v="39832"/>
    <n v="86173"/>
    <n v="2"/>
    <n v="81"/>
  </r>
  <r>
    <x v="0"/>
    <x v="5"/>
    <x v="1"/>
    <x v="0"/>
    <x v="6"/>
    <n v="98837"/>
    <n v="4715"/>
    <n v="169881"/>
    <n v="36.029904559915167"/>
    <n v="8.81"/>
    <n v="3789"/>
    <n v="12.39"/>
    <n v="33742"/>
    <n v="136139"/>
    <n v="7"/>
    <n v="72"/>
  </r>
  <r>
    <x v="4"/>
    <x v="3"/>
    <x v="8"/>
    <x v="0"/>
    <x v="5"/>
    <n v="31883"/>
    <n v="4613"/>
    <n v="115255"/>
    <n v="24.984825493171471"/>
    <n v="9.0500000000000007"/>
    <n v="4134"/>
    <n v="1.33"/>
    <n v="23956"/>
    <n v="91299"/>
    <n v="4"/>
    <n v="77"/>
  </r>
  <r>
    <x v="3"/>
    <x v="7"/>
    <x v="5"/>
    <x v="0"/>
    <x v="4"/>
    <n v="5702"/>
    <n v="571"/>
    <n v="131671"/>
    <n v="230.59719789842381"/>
    <n v="24.59"/>
    <n v="17150"/>
    <n v="10.029999999999999"/>
    <n v="6693"/>
    <n v="124978"/>
    <n v="13"/>
    <n v="100"/>
  </r>
  <r>
    <x v="1"/>
    <x v="1"/>
    <x v="8"/>
    <x v="0"/>
    <x v="6"/>
    <n v="53720"/>
    <n v="2231"/>
    <n v="47989"/>
    <n v="21.510085163603765"/>
    <n v="9.3699999999999992"/>
    <n v="15431"/>
    <n v="2.9"/>
    <n v="15294"/>
    <n v="32695"/>
    <n v="17"/>
    <n v="88"/>
  </r>
  <r>
    <x v="4"/>
    <x v="4"/>
    <x v="4"/>
    <x v="1"/>
    <x v="7"/>
    <n v="98856"/>
    <n v="3653"/>
    <n v="150812"/>
    <n v="41.284423761292089"/>
    <n v="13.62"/>
    <n v="7314"/>
    <n v="11.95"/>
    <n v="33897"/>
    <n v="116915"/>
    <n v="16"/>
    <n v="83"/>
  </r>
  <r>
    <x v="0"/>
    <x v="2"/>
    <x v="10"/>
    <x v="1"/>
    <x v="7"/>
    <n v="15694"/>
    <n v="2655"/>
    <n v="27218"/>
    <n v="10.251600753295669"/>
    <n v="5.7"/>
    <n v="19803"/>
    <n v="13.88"/>
    <n v="49990"/>
    <n v="-22772"/>
    <n v="7"/>
    <n v="83"/>
  </r>
  <r>
    <x v="4"/>
    <x v="0"/>
    <x v="7"/>
    <x v="0"/>
    <x v="3"/>
    <n v="22163"/>
    <n v="170"/>
    <n v="134857"/>
    <n v="793.27647058823527"/>
    <n v="8.31"/>
    <n v="6915"/>
    <n v="11.42"/>
    <n v="33456"/>
    <n v="101401"/>
    <n v="0"/>
    <n v="76"/>
  </r>
  <r>
    <x v="5"/>
    <x v="4"/>
    <x v="7"/>
    <x v="0"/>
    <x v="0"/>
    <n v="28183"/>
    <n v="2377"/>
    <n v="19398"/>
    <n v="8.1607067732435841"/>
    <n v="17.329999999999998"/>
    <n v="7199"/>
    <n v="9.39"/>
    <n v="4531"/>
    <n v="14867"/>
    <n v="8"/>
    <n v="82"/>
  </r>
  <r>
    <x v="0"/>
    <x v="3"/>
    <x v="8"/>
    <x v="0"/>
    <x v="2"/>
    <n v="3463"/>
    <n v="1618"/>
    <n v="56784"/>
    <n v="35.095179233621757"/>
    <n v="16.38"/>
    <n v="8119"/>
    <n v="6.13"/>
    <n v="29777"/>
    <n v="27007"/>
    <n v="19"/>
    <n v="91"/>
  </r>
  <r>
    <x v="2"/>
    <x v="7"/>
    <x v="8"/>
    <x v="0"/>
    <x v="1"/>
    <n v="12317"/>
    <n v="4358"/>
    <n v="83508"/>
    <n v="19.162000917852225"/>
    <n v="21.6"/>
    <n v="14558"/>
    <n v="2.39"/>
    <n v="7921"/>
    <n v="75587"/>
    <n v="9"/>
    <n v="72"/>
  </r>
  <r>
    <x v="5"/>
    <x v="2"/>
    <x v="7"/>
    <x v="0"/>
    <x v="6"/>
    <n v="63567"/>
    <n v="1469"/>
    <n v="121207"/>
    <n v="82.50987066031314"/>
    <n v="6.04"/>
    <n v="498"/>
    <n v="6.76"/>
    <n v="49734"/>
    <n v="71473"/>
    <n v="2"/>
    <n v="78"/>
  </r>
  <r>
    <x v="4"/>
    <x v="5"/>
    <x v="9"/>
    <x v="1"/>
    <x v="1"/>
    <n v="87679"/>
    <n v="528"/>
    <n v="137558"/>
    <n v="260.52651515151513"/>
    <n v="13.47"/>
    <n v="3474"/>
    <n v="2.36"/>
    <n v="21676"/>
    <n v="115882"/>
    <n v="1"/>
    <n v="76"/>
  </r>
  <r>
    <x v="2"/>
    <x v="1"/>
    <x v="9"/>
    <x v="1"/>
    <x v="7"/>
    <n v="76425"/>
    <n v="4711"/>
    <n v="36806"/>
    <n v="7.8127786032689448"/>
    <n v="22.93"/>
    <n v="18092"/>
    <n v="12.21"/>
    <n v="19856"/>
    <n v="16950"/>
    <n v="5"/>
    <n v="74"/>
  </r>
  <r>
    <x v="0"/>
    <x v="7"/>
    <x v="9"/>
    <x v="1"/>
    <x v="5"/>
    <n v="97603"/>
    <n v="3586"/>
    <n v="105177"/>
    <n v="29.329894032348019"/>
    <n v="13.9"/>
    <n v="15667"/>
    <n v="9.8000000000000007"/>
    <n v="15441"/>
    <n v="89736"/>
    <n v="19"/>
    <n v="94"/>
  </r>
  <r>
    <x v="0"/>
    <x v="1"/>
    <x v="4"/>
    <x v="1"/>
    <x v="5"/>
    <n v="68608"/>
    <n v="3768"/>
    <n v="163238"/>
    <n v="43.32218683651805"/>
    <n v="8.8000000000000007"/>
    <n v="2501"/>
    <n v="12.65"/>
    <n v="5704"/>
    <n v="157534"/>
    <n v="11"/>
    <n v="89"/>
  </r>
  <r>
    <x v="4"/>
    <x v="7"/>
    <x v="10"/>
    <x v="1"/>
    <x v="5"/>
    <n v="51420"/>
    <n v="2243"/>
    <n v="152022"/>
    <n v="67.7761925991975"/>
    <n v="11.47"/>
    <n v="3825"/>
    <n v="3.76"/>
    <n v="15434"/>
    <n v="136588"/>
    <n v="15"/>
    <n v="77"/>
  </r>
  <r>
    <x v="0"/>
    <x v="3"/>
    <x v="6"/>
    <x v="0"/>
    <x v="0"/>
    <n v="22439"/>
    <n v="2768"/>
    <n v="3707"/>
    <n v="1.3392341040462428"/>
    <n v="23.52"/>
    <n v="12698"/>
    <n v="10.34"/>
    <n v="23638"/>
    <n v="-19931"/>
    <n v="11"/>
    <n v="75"/>
  </r>
  <r>
    <x v="3"/>
    <x v="1"/>
    <x v="10"/>
    <x v="1"/>
    <x v="6"/>
    <n v="72613"/>
    <n v="3656"/>
    <n v="66421"/>
    <n v="18.167669584245075"/>
    <n v="21.37"/>
    <n v="13270"/>
    <n v="9.01"/>
    <n v="35274"/>
    <n v="31147"/>
    <n v="6"/>
    <n v="97"/>
  </r>
  <r>
    <x v="5"/>
    <x v="5"/>
    <x v="2"/>
    <x v="0"/>
    <x v="1"/>
    <n v="33713"/>
    <n v="1624"/>
    <n v="134817"/>
    <n v="83.01539408866995"/>
    <n v="9.8699999999999992"/>
    <n v="1176"/>
    <n v="1.1499999999999999"/>
    <n v="8382"/>
    <n v="126435"/>
    <n v="16"/>
    <n v="84"/>
  </r>
  <r>
    <x v="1"/>
    <x v="5"/>
    <x v="6"/>
    <x v="0"/>
    <x v="2"/>
    <n v="29080"/>
    <n v="3764"/>
    <n v="144835"/>
    <n v="38.479011689691816"/>
    <n v="23.89"/>
    <n v="12027"/>
    <n v="5.96"/>
    <n v="26181"/>
    <n v="118654"/>
    <n v="16"/>
    <n v="85"/>
  </r>
  <r>
    <x v="0"/>
    <x v="2"/>
    <x v="10"/>
    <x v="1"/>
    <x v="2"/>
    <n v="76231"/>
    <n v="1602"/>
    <n v="51338"/>
    <n v="32.046192259675408"/>
    <n v="13.59"/>
    <n v="18602"/>
    <n v="14.03"/>
    <n v="33331"/>
    <n v="18007"/>
    <n v="4"/>
    <n v="94"/>
  </r>
  <r>
    <x v="5"/>
    <x v="0"/>
    <x v="11"/>
    <x v="1"/>
    <x v="0"/>
    <n v="50088"/>
    <n v="1952"/>
    <n v="70040"/>
    <n v="35.881147540983605"/>
    <n v="16.489999999999998"/>
    <n v="17002"/>
    <n v="12.95"/>
    <n v="33853"/>
    <n v="36187"/>
    <n v="14"/>
    <n v="70"/>
  </r>
  <r>
    <x v="2"/>
    <x v="2"/>
    <x v="5"/>
    <x v="0"/>
    <x v="5"/>
    <n v="84872"/>
    <n v="1507"/>
    <n v="199079"/>
    <n v="132.10285335102853"/>
    <n v="20.97"/>
    <n v="16729"/>
    <n v="2.41"/>
    <n v="29061"/>
    <n v="170018"/>
    <n v="1"/>
    <n v="86"/>
  </r>
  <r>
    <x v="4"/>
    <x v="2"/>
    <x v="0"/>
    <x v="0"/>
    <x v="4"/>
    <n v="16991"/>
    <n v="1936"/>
    <n v="137039"/>
    <n v="70.784607438016522"/>
    <n v="10.73"/>
    <n v="14411"/>
    <n v="8.7200000000000006"/>
    <n v="39617"/>
    <n v="97422"/>
    <n v="20"/>
    <n v="100"/>
  </r>
  <r>
    <x v="5"/>
    <x v="4"/>
    <x v="3"/>
    <x v="0"/>
    <x v="0"/>
    <n v="78927"/>
    <n v="1768"/>
    <n v="53428"/>
    <n v="30.219457013574662"/>
    <n v="21.54"/>
    <n v="3818"/>
    <n v="3.59"/>
    <n v="32171"/>
    <n v="21257"/>
    <n v="15"/>
    <n v="93"/>
  </r>
  <r>
    <x v="5"/>
    <x v="7"/>
    <x v="10"/>
    <x v="1"/>
    <x v="4"/>
    <n v="74677"/>
    <n v="383"/>
    <n v="180777"/>
    <n v="472.00261096605743"/>
    <n v="9.6199999999999992"/>
    <n v="127"/>
    <n v="1.79"/>
    <n v="28724"/>
    <n v="152053"/>
    <n v="9"/>
    <n v="74"/>
  </r>
  <r>
    <x v="1"/>
    <x v="5"/>
    <x v="6"/>
    <x v="0"/>
    <x v="3"/>
    <n v="78962"/>
    <n v="3062"/>
    <n v="155433"/>
    <n v="50.761920313520577"/>
    <n v="13.85"/>
    <n v="13403"/>
    <n v="7.73"/>
    <n v="44787"/>
    <n v="110646"/>
    <n v="5"/>
    <n v="73"/>
  </r>
  <r>
    <x v="2"/>
    <x v="5"/>
    <x v="4"/>
    <x v="1"/>
    <x v="5"/>
    <n v="45492"/>
    <n v="4900"/>
    <n v="180811"/>
    <n v="36.900204081632651"/>
    <n v="23.28"/>
    <n v="17920"/>
    <n v="1.88"/>
    <n v="8271"/>
    <n v="172540"/>
    <n v="17"/>
    <n v="74"/>
  </r>
  <r>
    <x v="5"/>
    <x v="2"/>
    <x v="9"/>
    <x v="1"/>
    <x v="6"/>
    <n v="4845"/>
    <n v="2955"/>
    <n v="160627"/>
    <n v="54.357698815566835"/>
    <n v="13.8"/>
    <n v="8464"/>
    <n v="13.78"/>
    <n v="26136"/>
    <n v="134491"/>
    <n v="8"/>
    <n v="78"/>
  </r>
  <r>
    <x v="0"/>
    <x v="3"/>
    <x v="8"/>
    <x v="0"/>
    <x v="2"/>
    <n v="73900"/>
    <n v="4805"/>
    <n v="158595"/>
    <n v="33.006243496357961"/>
    <n v="15.02"/>
    <n v="18583"/>
    <n v="7.46"/>
    <n v="22836"/>
    <n v="135759"/>
    <n v="14"/>
    <n v="72"/>
  </r>
  <r>
    <x v="2"/>
    <x v="6"/>
    <x v="9"/>
    <x v="1"/>
    <x v="6"/>
    <n v="89157"/>
    <n v="818"/>
    <n v="50994"/>
    <n v="62.339853300733495"/>
    <n v="6.78"/>
    <n v="15139"/>
    <n v="14.03"/>
    <n v="41943"/>
    <n v="9051"/>
    <n v="2"/>
    <n v="86"/>
  </r>
  <r>
    <x v="0"/>
    <x v="6"/>
    <x v="6"/>
    <x v="0"/>
    <x v="6"/>
    <n v="89365"/>
    <n v="1944"/>
    <n v="61720"/>
    <n v="31.748971193415638"/>
    <n v="16.8"/>
    <n v="9305"/>
    <n v="5.68"/>
    <n v="5424"/>
    <n v="56296"/>
    <n v="15"/>
    <n v="90"/>
  </r>
  <r>
    <x v="1"/>
    <x v="0"/>
    <x v="5"/>
    <x v="0"/>
    <x v="6"/>
    <n v="7313"/>
    <n v="2815"/>
    <n v="177856"/>
    <n v="63.181527531083482"/>
    <n v="17.57"/>
    <n v="14648"/>
    <n v="7.75"/>
    <n v="23685"/>
    <n v="154171"/>
    <n v="6"/>
    <n v="100"/>
  </r>
  <r>
    <x v="4"/>
    <x v="6"/>
    <x v="2"/>
    <x v="0"/>
    <x v="7"/>
    <n v="27650"/>
    <n v="4105"/>
    <n v="74498"/>
    <n v="18.148112058465287"/>
    <n v="16.75"/>
    <n v="9780"/>
    <n v="10.93"/>
    <n v="7547"/>
    <n v="66951"/>
    <n v="15"/>
    <n v="76"/>
  </r>
  <r>
    <x v="0"/>
    <x v="3"/>
    <x v="5"/>
    <x v="0"/>
    <x v="3"/>
    <n v="84557"/>
    <n v="3248"/>
    <n v="71424"/>
    <n v="21.990147783251231"/>
    <n v="22.15"/>
    <n v="16540"/>
    <n v="13.4"/>
    <n v="49316"/>
    <n v="22108"/>
    <n v="6"/>
    <n v="74"/>
  </r>
  <r>
    <x v="1"/>
    <x v="2"/>
    <x v="4"/>
    <x v="1"/>
    <x v="1"/>
    <n v="52286"/>
    <n v="1262"/>
    <n v="166953"/>
    <n v="132.29239302694137"/>
    <n v="22.36"/>
    <n v="16526"/>
    <n v="12.3"/>
    <n v="38623"/>
    <n v="128330"/>
    <n v="4"/>
    <n v="79"/>
  </r>
  <r>
    <x v="3"/>
    <x v="6"/>
    <x v="6"/>
    <x v="0"/>
    <x v="7"/>
    <n v="19110"/>
    <n v="2470"/>
    <n v="85768"/>
    <n v="34.723886639676117"/>
    <n v="14.77"/>
    <n v="11538"/>
    <n v="3.3"/>
    <n v="14002"/>
    <n v="71766"/>
    <n v="0"/>
    <n v="73"/>
  </r>
  <r>
    <x v="4"/>
    <x v="3"/>
    <x v="9"/>
    <x v="1"/>
    <x v="5"/>
    <n v="79028"/>
    <n v="4304"/>
    <n v="39175"/>
    <n v="9.101998141263941"/>
    <n v="9.93"/>
    <n v="3343"/>
    <n v="4.8600000000000003"/>
    <n v="42884"/>
    <n v="-3709"/>
    <n v="2"/>
    <n v="72"/>
  </r>
  <r>
    <x v="4"/>
    <x v="6"/>
    <x v="2"/>
    <x v="0"/>
    <x v="6"/>
    <n v="30598"/>
    <n v="3067"/>
    <n v="118997"/>
    <n v="38.799152266058037"/>
    <n v="19.37"/>
    <n v="16244"/>
    <n v="6.94"/>
    <n v="3051"/>
    <n v="115946"/>
    <n v="20"/>
    <n v="92"/>
  </r>
  <r>
    <x v="0"/>
    <x v="3"/>
    <x v="5"/>
    <x v="0"/>
    <x v="3"/>
    <n v="87936"/>
    <n v="3706"/>
    <n v="114123"/>
    <n v="30.794117647058822"/>
    <n v="20.9"/>
    <n v="10375"/>
    <n v="3.46"/>
    <n v="49741"/>
    <n v="64382"/>
    <n v="0"/>
    <n v="94"/>
  </r>
  <r>
    <x v="5"/>
    <x v="3"/>
    <x v="11"/>
    <x v="1"/>
    <x v="2"/>
    <n v="33349"/>
    <n v="2996"/>
    <n v="22841"/>
    <n v="7.6238317757009346"/>
    <n v="18.8"/>
    <n v="7778"/>
    <n v="10.26"/>
    <n v="17462"/>
    <n v="5379"/>
    <n v="18"/>
    <n v="83"/>
  </r>
  <r>
    <x v="3"/>
    <x v="5"/>
    <x v="7"/>
    <x v="0"/>
    <x v="6"/>
    <n v="98118"/>
    <n v="3221"/>
    <n v="81244"/>
    <n v="25.223222601676497"/>
    <n v="13.8"/>
    <n v="1468"/>
    <n v="5.75"/>
    <n v="15227"/>
    <n v="66017"/>
    <n v="12"/>
    <n v="97"/>
  </r>
  <r>
    <x v="4"/>
    <x v="2"/>
    <x v="5"/>
    <x v="0"/>
    <x v="4"/>
    <n v="25721"/>
    <n v="4557"/>
    <n v="132277"/>
    <n v="29.027210884353742"/>
    <n v="8.25"/>
    <n v="18432"/>
    <n v="11.21"/>
    <n v="4565"/>
    <n v="127712"/>
    <n v="6"/>
    <n v="72"/>
  </r>
  <r>
    <x v="0"/>
    <x v="1"/>
    <x v="2"/>
    <x v="0"/>
    <x v="6"/>
    <n v="52065"/>
    <n v="541"/>
    <n v="159986"/>
    <n v="295.72273567467653"/>
    <n v="15.83"/>
    <n v="12520"/>
    <n v="4.16"/>
    <n v="42131"/>
    <n v="117855"/>
    <n v="9"/>
    <n v="90"/>
  </r>
  <r>
    <x v="2"/>
    <x v="1"/>
    <x v="7"/>
    <x v="0"/>
    <x v="3"/>
    <n v="71311"/>
    <n v="4200"/>
    <n v="36115"/>
    <n v="8.598809523809523"/>
    <n v="24.89"/>
    <n v="9287"/>
    <n v="12.92"/>
    <n v="27432"/>
    <n v="8683"/>
    <n v="8"/>
    <n v="87"/>
  </r>
  <r>
    <x v="0"/>
    <x v="2"/>
    <x v="0"/>
    <x v="0"/>
    <x v="2"/>
    <n v="87318"/>
    <n v="3915"/>
    <n v="52748"/>
    <n v="13.473307790549169"/>
    <n v="15.2"/>
    <n v="15038"/>
    <n v="1.07"/>
    <n v="11399"/>
    <n v="41349"/>
    <n v="2"/>
    <n v="93"/>
  </r>
  <r>
    <x v="3"/>
    <x v="4"/>
    <x v="1"/>
    <x v="0"/>
    <x v="2"/>
    <n v="56410"/>
    <n v="3261"/>
    <n v="72332"/>
    <n v="22.180926096289483"/>
    <n v="18.95"/>
    <n v="13817"/>
    <n v="8.4499999999999993"/>
    <n v="23251"/>
    <n v="49081"/>
    <n v="16"/>
    <n v="99"/>
  </r>
  <r>
    <x v="1"/>
    <x v="4"/>
    <x v="1"/>
    <x v="0"/>
    <x v="0"/>
    <n v="30851"/>
    <n v="2278"/>
    <n v="197303"/>
    <n v="86.612379280070243"/>
    <n v="9.15"/>
    <n v="7452"/>
    <n v="11.96"/>
    <n v="17034"/>
    <n v="180269"/>
    <n v="0"/>
    <n v="79"/>
  </r>
  <r>
    <x v="1"/>
    <x v="1"/>
    <x v="9"/>
    <x v="1"/>
    <x v="0"/>
    <n v="78799"/>
    <n v="2037"/>
    <n v="191448"/>
    <n v="93.985272459499257"/>
    <n v="7.03"/>
    <n v="8243"/>
    <n v="10.38"/>
    <n v="10802"/>
    <n v="180646"/>
    <n v="15"/>
    <n v="75"/>
  </r>
  <r>
    <x v="2"/>
    <x v="1"/>
    <x v="3"/>
    <x v="0"/>
    <x v="7"/>
    <n v="64175"/>
    <n v="2769"/>
    <n v="156041"/>
    <n v="56.352834958468762"/>
    <n v="4.16"/>
    <n v="15194"/>
    <n v="13.11"/>
    <n v="191"/>
    <n v="155850"/>
    <n v="17"/>
    <n v="97"/>
  </r>
  <r>
    <x v="2"/>
    <x v="6"/>
    <x v="0"/>
    <x v="0"/>
    <x v="2"/>
    <n v="98959"/>
    <n v="3112"/>
    <n v="26138"/>
    <n v="8.3991002570694082"/>
    <n v="22.91"/>
    <n v="4212"/>
    <n v="9.83"/>
    <n v="3130"/>
    <n v="23008"/>
    <n v="7"/>
    <n v="84"/>
  </r>
  <r>
    <x v="3"/>
    <x v="3"/>
    <x v="9"/>
    <x v="1"/>
    <x v="0"/>
    <n v="12413"/>
    <n v="2696"/>
    <n v="26865"/>
    <n v="9.9647626112759635"/>
    <n v="12.54"/>
    <n v="8132"/>
    <n v="3.19"/>
    <n v="8231"/>
    <n v="18634"/>
    <n v="5"/>
    <n v="74"/>
  </r>
  <r>
    <x v="2"/>
    <x v="1"/>
    <x v="6"/>
    <x v="0"/>
    <x v="4"/>
    <n v="6895"/>
    <n v="2404"/>
    <n v="178835"/>
    <n v="74.390599001663887"/>
    <n v="17.579999999999998"/>
    <n v="4394"/>
    <n v="13.65"/>
    <n v="30075"/>
    <n v="148760"/>
    <n v="15"/>
    <n v="70"/>
  </r>
  <r>
    <x v="0"/>
    <x v="7"/>
    <x v="4"/>
    <x v="1"/>
    <x v="4"/>
    <n v="30616"/>
    <n v="2087"/>
    <n v="116591"/>
    <n v="55.865356971729753"/>
    <n v="21.48"/>
    <n v="11348"/>
    <n v="1.1599999999999999"/>
    <n v="12857"/>
    <n v="103734"/>
    <n v="1"/>
    <n v="95"/>
  </r>
  <r>
    <x v="4"/>
    <x v="0"/>
    <x v="5"/>
    <x v="0"/>
    <x v="1"/>
    <n v="80118"/>
    <n v="3174"/>
    <n v="35154"/>
    <n v="11.075614366729679"/>
    <n v="3.66"/>
    <n v="14331"/>
    <n v="10.44"/>
    <n v="32173"/>
    <n v="2981"/>
    <n v="5"/>
    <n v="87"/>
  </r>
  <r>
    <x v="3"/>
    <x v="2"/>
    <x v="0"/>
    <x v="0"/>
    <x v="6"/>
    <n v="27657"/>
    <n v="2449"/>
    <n v="110910"/>
    <n v="45.287872601061657"/>
    <n v="22.24"/>
    <n v="17869"/>
    <n v="12.44"/>
    <n v="32000"/>
    <n v="78910"/>
    <n v="15"/>
    <n v="93"/>
  </r>
  <r>
    <x v="1"/>
    <x v="5"/>
    <x v="1"/>
    <x v="0"/>
    <x v="4"/>
    <n v="72641"/>
    <n v="1089"/>
    <n v="8891"/>
    <n v="8.1643709825527999"/>
    <n v="13.04"/>
    <n v="12893"/>
    <n v="11.32"/>
    <n v="44198"/>
    <n v="-35307"/>
    <n v="10"/>
    <n v="73"/>
  </r>
  <r>
    <x v="4"/>
    <x v="5"/>
    <x v="9"/>
    <x v="1"/>
    <x v="6"/>
    <n v="73941"/>
    <n v="2592"/>
    <n v="91654"/>
    <n v="35.360339506172842"/>
    <n v="4.97"/>
    <n v="17838"/>
    <n v="13.36"/>
    <n v="21259"/>
    <n v="70395"/>
    <n v="15"/>
    <n v="87"/>
  </r>
  <r>
    <x v="2"/>
    <x v="1"/>
    <x v="10"/>
    <x v="1"/>
    <x v="7"/>
    <n v="45534"/>
    <n v="4417"/>
    <n v="49213"/>
    <n v="11.141725152818655"/>
    <n v="13.13"/>
    <n v="852"/>
    <n v="11.78"/>
    <n v="48814"/>
    <n v="399"/>
    <n v="18"/>
    <n v="91"/>
  </r>
  <r>
    <x v="1"/>
    <x v="7"/>
    <x v="2"/>
    <x v="0"/>
    <x v="2"/>
    <n v="70686"/>
    <n v="4940"/>
    <n v="118124"/>
    <n v="23.911740890688257"/>
    <n v="19.38"/>
    <n v="6879"/>
    <n v="11.32"/>
    <n v="22597"/>
    <n v="95527"/>
    <n v="20"/>
    <n v="72"/>
  </r>
  <r>
    <x v="5"/>
    <x v="2"/>
    <x v="11"/>
    <x v="1"/>
    <x v="3"/>
    <n v="88062"/>
    <n v="1063"/>
    <n v="164865"/>
    <n v="155.09407337723425"/>
    <n v="4.53"/>
    <n v="14657"/>
    <n v="3.23"/>
    <n v="37067"/>
    <n v="127798"/>
    <n v="9"/>
    <n v="76"/>
  </r>
  <r>
    <x v="2"/>
    <x v="5"/>
    <x v="5"/>
    <x v="0"/>
    <x v="3"/>
    <n v="35741"/>
    <n v="2108"/>
    <n v="6213"/>
    <n v="2.9473434535104364"/>
    <n v="24.53"/>
    <n v="14200"/>
    <n v="8.4700000000000006"/>
    <n v="26520"/>
    <n v="-20307"/>
    <n v="13"/>
    <n v="89"/>
  </r>
  <r>
    <x v="5"/>
    <x v="5"/>
    <x v="9"/>
    <x v="1"/>
    <x v="0"/>
    <n v="72990"/>
    <n v="3893"/>
    <n v="136760"/>
    <n v="35.129720010274852"/>
    <n v="7.94"/>
    <n v="10719"/>
    <n v="1.67"/>
    <n v="23214"/>
    <n v="113546"/>
    <n v="8"/>
    <n v="95"/>
  </r>
  <r>
    <x v="5"/>
    <x v="4"/>
    <x v="7"/>
    <x v="0"/>
    <x v="0"/>
    <n v="62831"/>
    <n v="4532"/>
    <n v="107348"/>
    <n v="23.68667255075022"/>
    <n v="13.46"/>
    <n v="3323"/>
    <n v="10.63"/>
    <n v="24888"/>
    <n v="82460"/>
    <n v="15"/>
    <n v="94"/>
  </r>
  <r>
    <x v="2"/>
    <x v="6"/>
    <x v="7"/>
    <x v="0"/>
    <x v="3"/>
    <n v="39811"/>
    <n v="1414"/>
    <n v="181656"/>
    <n v="128.46958981612448"/>
    <n v="19.72"/>
    <n v="12752"/>
    <n v="12.55"/>
    <n v="20670"/>
    <n v="160986"/>
    <n v="19"/>
    <n v="79"/>
  </r>
  <r>
    <x v="2"/>
    <x v="0"/>
    <x v="6"/>
    <x v="0"/>
    <x v="6"/>
    <n v="58852"/>
    <n v="3118"/>
    <n v="198442"/>
    <n v="63.644002565747272"/>
    <n v="20.53"/>
    <n v="12816"/>
    <n v="2.4700000000000002"/>
    <n v="29694"/>
    <n v="168748"/>
    <n v="12"/>
    <n v="78"/>
  </r>
  <r>
    <x v="5"/>
    <x v="2"/>
    <x v="1"/>
    <x v="0"/>
    <x v="4"/>
    <n v="10709"/>
    <n v="2374"/>
    <n v="88408"/>
    <n v="37.240101095197979"/>
    <n v="23"/>
    <n v="16221"/>
    <n v="2.77"/>
    <n v="9177"/>
    <n v="79231"/>
    <n v="6"/>
    <n v="91"/>
  </r>
  <r>
    <x v="3"/>
    <x v="3"/>
    <x v="6"/>
    <x v="0"/>
    <x v="3"/>
    <n v="72043"/>
    <n v="4051"/>
    <n v="32036"/>
    <n v="7.9081708220192546"/>
    <n v="20.12"/>
    <n v="2295"/>
    <n v="7.36"/>
    <n v="37444"/>
    <n v="-5408"/>
    <n v="2"/>
    <n v="74"/>
  </r>
  <r>
    <x v="1"/>
    <x v="2"/>
    <x v="7"/>
    <x v="0"/>
    <x v="3"/>
    <n v="74956"/>
    <n v="4960"/>
    <n v="28712"/>
    <n v="5.7887096774193552"/>
    <n v="12.31"/>
    <n v="7085"/>
    <n v="5.35"/>
    <n v="11016"/>
    <n v="17696"/>
    <n v="15"/>
    <n v="72"/>
  </r>
  <r>
    <x v="2"/>
    <x v="2"/>
    <x v="11"/>
    <x v="1"/>
    <x v="7"/>
    <n v="60041"/>
    <n v="3043"/>
    <n v="151030"/>
    <n v="49.631942162339797"/>
    <n v="22.53"/>
    <n v="18730"/>
    <n v="8.39"/>
    <n v="4598"/>
    <n v="146432"/>
    <n v="19"/>
    <n v="70"/>
  </r>
  <r>
    <x v="2"/>
    <x v="3"/>
    <x v="8"/>
    <x v="0"/>
    <x v="5"/>
    <n v="66322"/>
    <n v="4207"/>
    <n v="20607"/>
    <n v="4.8982647967672923"/>
    <n v="16.41"/>
    <n v="2689"/>
    <n v="8.8800000000000008"/>
    <n v="44043"/>
    <n v="-23436"/>
    <n v="8"/>
    <n v="82"/>
  </r>
  <r>
    <x v="0"/>
    <x v="1"/>
    <x v="0"/>
    <x v="0"/>
    <x v="5"/>
    <n v="94177"/>
    <n v="2963"/>
    <n v="112922"/>
    <n v="38.1106986162673"/>
    <n v="10.83"/>
    <n v="7366"/>
    <n v="10.94"/>
    <n v="8060"/>
    <n v="104862"/>
    <n v="9"/>
    <n v="86"/>
  </r>
  <r>
    <x v="5"/>
    <x v="1"/>
    <x v="2"/>
    <x v="0"/>
    <x v="6"/>
    <n v="20634"/>
    <n v="2719"/>
    <n v="62412"/>
    <n v="22.954027215888193"/>
    <n v="11.55"/>
    <n v="19055"/>
    <n v="10.27"/>
    <n v="26172"/>
    <n v="36240"/>
    <n v="11"/>
    <n v="96"/>
  </r>
  <r>
    <x v="1"/>
    <x v="1"/>
    <x v="5"/>
    <x v="0"/>
    <x v="5"/>
    <n v="5998"/>
    <n v="3620"/>
    <n v="59407"/>
    <n v="16.410773480662982"/>
    <n v="8.83"/>
    <n v="11118"/>
    <n v="7.03"/>
    <n v="11302"/>
    <n v="48105"/>
    <n v="10"/>
    <n v="81"/>
  </r>
  <r>
    <x v="0"/>
    <x v="3"/>
    <x v="10"/>
    <x v="1"/>
    <x v="4"/>
    <n v="69751"/>
    <n v="1407"/>
    <n v="185561"/>
    <n v="131.88415067519546"/>
    <n v="10.23"/>
    <n v="6729"/>
    <n v="3.18"/>
    <n v="35099"/>
    <n v="150462"/>
    <n v="1"/>
    <n v="99"/>
  </r>
  <r>
    <x v="1"/>
    <x v="6"/>
    <x v="2"/>
    <x v="0"/>
    <x v="5"/>
    <n v="77750"/>
    <n v="3706"/>
    <n v="172641"/>
    <n v="46.58418780356179"/>
    <n v="19.3"/>
    <n v="10891"/>
    <n v="1.74"/>
    <n v="33628"/>
    <n v="139013"/>
    <n v="3"/>
    <n v="83"/>
  </r>
  <r>
    <x v="1"/>
    <x v="6"/>
    <x v="5"/>
    <x v="0"/>
    <x v="0"/>
    <n v="16728"/>
    <n v="3631"/>
    <n v="14474"/>
    <n v="3.9862296887909667"/>
    <n v="21.49"/>
    <n v="5347"/>
    <n v="7.76"/>
    <n v="35100"/>
    <n v="-20626"/>
    <n v="0"/>
    <n v="92"/>
  </r>
  <r>
    <x v="4"/>
    <x v="2"/>
    <x v="3"/>
    <x v="0"/>
    <x v="7"/>
    <n v="93788"/>
    <n v="4151"/>
    <n v="80925"/>
    <n v="19.495302336786317"/>
    <n v="16.04"/>
    <n v="287"/>
    <n v="8.18"/>
    <n v="5398"/>
    <n v="75527"/>
    <n v="15"/>
    <n v="85"/>
  </r>
  <r>
    <x v="4"/>
    <x v="1"/>
    <x v="3"/>
    <x v="0"/>
    <x v="4"/>
    <n v="19116"/>
    <n v="1416"/>
    <n v="151936"/>
    <n v="107.29943502824858"/>
    <n v="14.55"/>
    <n v="14393"/>
    <n v="4.91"/>
    <n v="19984"/>
    <n v="131952"/>
    <n v="7"/>
    <n v="91"/>
  </r>
  <r>
    <x v="0"/>
    <x v="0"/>
    <x v="7"/>
    <x v="0"/>
    <x v="3"/>
    <n v="8258"/>
    <n v="429"/>
    <n v="197142"/>
    <n v="459.53846153846155"/>
    <n v="21.51"/>
    <n v="3517"/>
    <n v="7.83"/>
    <n v="14962"/>
    <n v="182180"/>
    <n v="11"/>
    <n v="77"/>
  </r>
  <r>
    <x v="3"/>
    <x v="5"/>
    <x v="3"/>
    <x v="0"/>
    <x v="1"/>
    <n v="28639"/>
    <n v="1307"/>
    <n v="55401"/>
    <n v="42.387911247130837"/>
    <n v="3.11"/>
    <n v="19036"/>
    <n v="7.76"/>
    <n v="13818"/>
    <n v="41583"/>
    <n v="17"/>
    <n v="96"/>
  </r>
  <r>
    <x v="4"/>
    <x v="2"/>
    <x v="4"/>
    <x v="1"/>
    <x v="7"/>
    <n v="18501"/>
    <n v="2898"/>
    <n v="96664"/>
    <n v="33.355417529330573"/>
    <n v="10.15"/>
    <n v="9831"/>
    <n v="8.07"/>
    <n v="49104"/>
    <n v="47560"/>
    <n v="2"/>
    <n v="83"/>
  </r>
  <r>
    <x v="2"/>
    <x v="5"/>
    <x v="10"/>
    <x v="1"/>
    <x v="5"/>
    <n v="48783"/>
    <n v="2990"/>
    <n v="130702"/>
    <n v="43.713043478260872"/>
    <n v="18.510000000000002"/>
    <n v="11159"/>
    <n v="14.17"/>
    <n v="38365"/>
    <n v="92337"/>
    <n v="14"/>
    <n v="70"/>
  </r>
  <r>
    <x v="2"/>
    <x v="3"/>
    <x v="9"/>
    <x v="1"/>
    <x v="7"/>
    <n v="31824"/>
    <n v="1442"/>
    <n v="14977"/>
    <n v="10.386269070735089"/>
    <n v="12.4"/>
    <n v="17286"/>
    <n v="5.21"/>
    <n v="31532"/>
    <n v="-16555"/>
    <n v="8"/>
    <n v="70"/>
  </r>
  <r>
    <x v="3"/>
    <x v="6"/>
    <x v="0"/>
    <x v="0"/>
    <x v="7"/>
    <n v="82660"/>
    <n v="2655"/>
    <n v="197050"/>
    <n v="74.218455743879474"/>
    <n v="23.38"/>
    <n v="10253"/>
    <n v="11.72"/>
    <n v="44394"/>
    <n v="152656"/>
    <n v="0"/>
    <n v="92"/>
  </r>
  <r>
    <x v="1"/>
    <x v="6"/>
    <x v="8"/>
    <x v="0"/>
    <x v="0"/>
    <n v="81825"/>
    <n v="1411"/>
    <n v="28941"/>
    <n v="20.510985116938343"/>
    <n v="22.65"/>
    <n v="16627"/>
    <n v="1.66"/>
    <n v="13909"/>
    <n v="15032"/>
    <n v="14"/>
    <n v="92"/>
  </r>
  <r>
    <x v="0"/>
    <x v="2"/>
    <x v="0"/>
    <x v="0"/>
    <x v="6"/>
    <n v="95861"/>
    <n v="3004"/>
    <n v="110977"/>
    <n v="36.943075898801595"/>
    <n v="23.88"/>
    <n v="19303"/>
    <n v="4.1399999999999997"/>
    <n v="42551"/>
    <n v="68426"/>
    <n v="6"/>
    <n v="74"/>
  </r>
  <r>
    <x v="3"/>
    <x v="3"/>
    <x v="1"/>
    <x v="0"/>
    <x v="4"/>
    <n v="63027"/>
    <n v="3874"/>
    <n v="128460"/>
    <n v="33.159525038719671"/>
    <n v="5.49"/>
    <n v="1304"/>
    <n v="5.61"/>
    <n v="33973"/>
    <n v="94487"/>
    <n v="3"/>
    <n v="72"/>
  </r>
  <r>
    <x v="5"/>
    <x v="3"/>
    <x v="9"/>
    <x v="1"/>
    <x v="7"/>
    <n v="42622"/>
    <n v="1034"/>
    <n v="156175"/>
    <n v="151.03965183752419"/>
    <n v="13.73"/>
    <n v="19549"/>
    <n v="8.31"/>
    <n v="17409"/>
    <n v="138766"/>
    <n v="2"/>
    <n v="90"/>
  </r>
  <r>
    <x v="3"/>
    <x v="2"/>
    <x v="0"/>
    <x v="0"/>
    <x v="0"/>
    <n v="68029"/>
    <n v="2641"/>
    <n v="35030"/>
    <n v="13.26391518364256"/>
    <n v="4.12"/>
    <n v="18481"/>
    <n v="8.34"/>
    <n v="15106"/>
    <n v="19924"/>
    <n v="8"/>
    <n v="93"/>
  </r>
  <r>
    <x v="4"/>
    <x v="1"/>
    <x v="2"/>
    <x v="0"/>
    <x v="6"/>
    <n v="17802"/>
    <n v="316"/>
    <n v="165955"/>
    <n v="525.17405063291142"/>
    <n v="9.77"/>
    <n v="13339"/>
    <n v="3.06"/>
    <n v="8356"/>
    <n v="157599"/>
    <n v="4"/>
    <n v="92"/>
  </r>
  <r>
    <x v="2"/>
    <x v="7"/>
    <x v="8"/>
    <x v="0"/>
    <x v="3"/>
    <n v="45743"/>
    <n v="3825"/>
    <n v="14633"/>
    <n v="3.8256209150326796"/>
    <n v="24.8"/>
    <n v="4140"/>
    <n v="5.5"/>
    <n v="7416"/>
    <n v="7217"/>
    <n v="12"/>
    <n v="93"/>
  </r>
  <r>
    <x v="2"/>
    <x v="7"/>
    <x v="0"/>
    <x v="0"/>
    <x v="5"/>
    <n v="24524"/>
    <n v="2102"/>
    <n v="162349"/>
    <n v="77.235490009514749"/>
    <n v="17.98"/>
    <n v="14476"/>
    <n v="14.1"/>
    <n v="40528"/>
    <n v="121821"/>
    <n v="4"/>
    <n v="79"/>
  </r>
  <r>
    <x v="5"/>
    <x v="2"/>
    <x v="2"/>
    <x v="0"/>
    <x v="6"/>
    <n v="48088"/>
    <n v="3927"/>
    <n v="116600"/>
    <n v="29.691876750700281"/>
    <n v="22.8"/>
    <n v="19609"/>
    <n v="1.81"/>
    <n v="49607"/>
    <n v="66993"/>
    <n v="20"/>
    <n v="90"/>
  </r>
  <r>
    <x v="1"/>
    <x v="0"/>
    <x v="5"/>
    <x v="0"/>
    <x v="0"/>
    <n v="90972"/>
    <n v="2649"/>
    <n v="38275"/>
    <n v="14.448848622121556"/>
    <n v="12.57"/>
    <n v="12953"/>
    <n v="12.93"/>
    <n v="43435"/>
    <n v="-5160"/>
    <n v="8"/>
    <n v="77"/>
  </r>
  <r>
    <x v="4"/>
    <x v="2"/>
    <x v="6"/>
    <x v="0"/>
    <x v="3"/>
    <n v="49617"/>
    <n v="1482"/>
    <n v="10366"/>
    <n v="6.9946018893387318"/>
    <n v="7.23"/>
    <n v="10420"/>
    <n v="3.21"/>
    <n v="49535"/>
    <n v="-39169"/>
    <n v="5"/>
    <n v="83"/>
  </r>
  <r>
    <x v="5"/>
    <x v="2"/>
    <x v="6"/>
    <x v="0"/>
    <x v="2"/>
    <n v="54777"/>
    <n v="2679"/>
    <n v="73807"/>
    <n v="27.550205300485256"/>
    <n v="24.08"/>
    <n v="14451"/>
    <n v="9.51"/>
    <n v="21392"/>
    <n v="52415"/>
    <n v="10"/>
    <n v="89"/>
  </r>
  <r>
    <x v="5"/>
    <x v="3"/>
    <x v="11"/>
    <x v="1"/>
    <x v="3"/>
    <n v="22220"/>
    <n v="3021"/>
    <n v="58966"/>
    <n v="19.518702416418403"/>
    <n v="23.93"/>
    <n v="6745"/>
    <n v="11.74"/>
    <n v="46780"/>
    <n v="12186"/>
    <n v="1"/>
    <n v="74"/>
  </r>
  <r>
    <x v="5"/>
    <x v="7"/>
    <x v="8"/>
    <x v="0"/>
    <x v="0"/>
    <n v="17500"/>
    <n v="4647"/>
    <n v="148898"/>
    <n v="32.041747363890686"/>
    <n v="13.21"/>
    <n v="9661"/>
    <n v="10.82"/>
    <n v="17007"/>
    <n v="131891"/>
    <n v="19"/>
    <n v="80"/>
  </r>
  <r>
    <x v="2"/>
    <x v="2"/>
    <x v="6"/>
    <x v="0"/>
    <x v="6"/>
    <n v="18811"/>
    <n v="4410"/>
    <n v="29805"/>
    <n v="6.7585034013605441"/>
    <n v="21.71"/>
    <n v="797"/>
    <n v="3.3"/>
    <n v="14686"/>
    <n v="15119"/>
    <n v="6"/>
    <n v="96"/>
  </r>
  <r>
    <x v="1"/>
    <x v="0"/>
    <x v="10"/>
    <x v="1"/>
    <x v="6"/>
    <n v="79350"/>
    <n v="2417"/>
    <n v="113158"/>
    <n v="46.817542407943733"/>
    <n v="21.73"/>
    <n v="7136"/>
    <n v="5.66"/>
    <n v="19968"/>
    <n v="93190"/>
    <n v="4"/>
    <n v="98"/>
  </r>
  <r>
    <x v="4"/>
    <x v="1"/>
    <x v="10"/>
    <x v="1"/>
    <x v="6"/>
    <n v="86408"/>
    <n v="3800"/>
    <n v="44900"/>
    <n v="11.815789473684211"/>
    <n v="19.78"/>
    <n v="13506"/>
    <n v="13.94"/>
    <n v="1848"/>
    <n v="43052"/>
    <n v="2"/>
    <n v="96"/>
  </r>
  <r>
    <x v="1"/>
    <x v="6"/>
    <x v="6"/>
    <x v="0"/>
    <x v="6"/>
    <n v="65804"/>
    <n v="521"/>
    <n v="104900"/>
    <n v="201.34357005758159"/>
    <n v="8.19"/>
    <n v="12034"/>
    <n v="3.98"/>
    <n v="28683"/>
    <n v="76217"/>
    <n v="12"/>
    <n v="88"/>
  </r>
  <r>
    <x v="5"/>
    <x v="2"/>
    <x v="3"/>
    <x v="0"/>
    <x v="3"/>
    <n v="91017"/>
    <n v="2336"/>
    <n v="88234"/>
    <n v="37.771404109589042"/>
    <n v="18.510000000000002"/>
    <n v="12584"/>
    <n v="5.12"/>
    <n v="17712"/>
    <n v="70522"/>
    <n v="16"/>
    <n v="96"/>
  </r>
  <r>
    <x v="5"/>
    <x v="1"/>
    <x v="7"/>
    <x v="0"/>
    <x v="7"/>
    <n v="57353"/>
    <n v="3110"/>
    <n v="38159"/>
    <n v="12.269774919614148"/>
    <n v="10.119999999999999"/>
    <n v="14971"/>
    <n v="8.9600000000000009"/>
    <n v="25964"/>
    <n v="12195"/>
    <n v="12"/>
    <n v="73"/>
  </r>
  <r>
    <x v="1"/>
    <x v="1"/>
    <x v="5"/>
    <x v="0"/>
    <x v="3"/>
    <n v="26819"/>
    <n v="2139"/>
    <n v="13619"/>
    <n v="6.3669939223936423"/>
    <n v="3.02"/>
    <n v="10792"/>
    <n v="5.69"/>
    <n v="29343"/>
    <n v="-15724"/>
    <n v="16"/>
    <n v="99"/>
  </r>
  <r>
    <x v="2"/>
    <x v="5"/>
    <x v="1"/>
    <x v="0"/>
    <x v="2"/>
    <n v="63641"/>
    <n v="210"/>
    <n v="174543"/>
    <n v="831.15714285714284"/>
    <n v="7.04"/>
    <n v="3777"/>
    <n v="8.6"/>
    <n v="18846"/>
    <n v="155697"/>
    <n v="13"/>
    <n v="73"/>
  </r>
  <r>
    <x v="4"/>
    <x v="6"/>
    <x v="1"/>
    <x v="0"/>
    <x v="3"/>
    <n v="26827"/>
    <n v="1434"/>
    <n v="52256"/>
    <n v="36.440725244072524"/>
    <n v="11.75"/>
    <n v="3595"/>
    <n v="1.03"/>
    <n v="39152"/>
    <n v="13104"/>
    <n v="1"/>
    <n v="97"/>
  </r>
  <r>
    <x v="2"/>
    <x v="1"/>
    <x v="11"/>
    <x v="1"/>
    <x v="3"/>
    <n v="5475"/>
    <n v="1287"/>
    <n v="134512"/>
    <n v="104.51592851592852"/>
    <n v="5.44"/>
    <n v="7277"/>
    <n v="11.77"/>
    <n v="12851"/>
    <n v="121661"/>
    <n v="4"/>
    <n v="85"/>
  </r>
  <r>
    <x v="3"/>
    <x v="6"/>
    <x v="5"/>
    <x v="0"/>
    <x v="3"/>
    <n v="21561"/>
    <n v="2264"/>
    <n v="74925"/>
    <n v="33.094081272084807"/>
    <n v="21.23"/>
    <n v="17956"/>
    <n v="1.99"/>
    <n v="29868"/>
    <n v="45057"/>
    <n v="11"/>
    <n v="87"/>
  </r>
  <r>
    <x v="3"/>
    <x v="0"/>
    <x v="11"/>
    <x v="1"/>
    <x v="7"/>
    <n v="85007"/>
    <n v="4797"/>
    <n v="152850"/>
    <n v="31.86366479049406"/>
    <n v="8.0500000000000007"/>
    <n v="2987"/>
    <n v="6.12"/>
    <n v="11196"/>
    <n v="141654"/>
    <n v="19"/>
    <n v="90"/>
  </r>
  <r>
    <x v="1"/>
    <x v="6"/>
    <x v="5"/>
    <x v="0"/>
    <x v="0"/>
    <n v="60456"/>
    <n v="3520"/>
    <n v="179748"/>
    <n v="51.064772727272725"/>
    <n v="7.78"/>
    <n v="17577"/>
    <n v="12.64"/>
    <n v="10810"/>
    <n v="168938"/>
    <n v="13"/>
    <n v="81"/>
  </r>
  <r>
    <x v="5"/>
    <x v="2"/>
    <x v="0"/>
    <x v="0"/>
    <x v="1"/>
    <n v="88214"/>
    <n v="4933"/>
    <n v="7129"/>
    <n v="1.4451652138658018"/>
    <n v="6.04"/>
    <n v="5397"/>
    <n v="13.43"/>
    <n v="30446"/>
    <n v="-23317"/>
    <n v="2"/>
    <n v="74"/>
  </r>
  <r>
    <x v="0"/>
    <x v="4"/>
    <x v="7"/>
    <x v="0"/>
    <x v="3"/>
    <n v="32845"/>
    <n v="3643"/>
    <n v="64429"/>
    <n v="17.685698600054899"/>
    <n v="18.72"/>
    <n v="1943"/>
    <n v="14.45"/>
    <n v="49646"/>
    <n v="14783"/>
    <n v="12"/>
    <n v="84"/>
  </r>
  <r>
    <x v="2"/>
    <x v="5"/>
    <x v="3"/>
    <x v="0"/>
    <x v="1"/>
    <n v="45980"/>
    <n v="3005"/>
    <n v="119219"/>
    <n v="39.673544093178037"/>
    <n v="16"/>
    <n v="205"/>
    <n v="11.3"/>
    <n v="27722"/>
    <n v="91497"/>
    <n v="20"/>
    <n v="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F8D65-7AA5-4926-A1B7-CF3A771FEC71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:B15" firstHeaderRow="1" firstDataRow="1" firstDataCol="1"/>
  <pivotFields count="16">
    <pivotField showAll="0"/>
    <pivotField showAll="0"/>
    <pivotField axis="axisRow" showAll="0" sortType="descending">
      <items count="13">
        <item x="7"/>
        <item x="0"/>
        <item x="8"/>
        <item x="3"/>
        <item x="9"/>
        <item x="5"/>
        <item x="6"/>
        <item x="1"/>
        <item x="11"/>
        <item x="1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numFmtId="2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3">
    <i>
      <x v="2"/>
    </i>
    <i>
      <x v="6"/>
    </i>
    <i>
      <x v="7"/>
    </i>
    <i>
      <x v="11"/>
    </i>
    <i>
      <x v="10"/>
    </i>
    <i>
      <x v="4"/>
    </i>
    <i>
      <x v="3"/>
    </i>
    <i>
      <x v="8"/>
    </i>
    <i>
      <x v="5"/>
    </i>
    <i>
      <x/>
    </i>
    <i>
      <x v="9"/>
    </i>
    <i>
      <x v="1"/>
    </i>
    <i t="grand">
      <x/>
    </i>
  </rowItems>
  <colItems count="1">
    <i/>
  </colItems>
  <dataFields count="1">
    <dataField name="Sum of Revenue (Crore ₹)" fld="7" baseField="0" baseItem="0"/>
  </dataFields>
  <formats count="16"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2" type="button" dataOnly="0" labelOnly="1" outline="0" axis="axisRow" fieldPosition="0"/>
    </format>
    <format dxfId="60">
      <pivotArea dataOnly="0" labelOnly="1" fieldPosition="0">
        <references count="1">
          <reference field="2" count="0"/>
        </references>
      </pivotArea>
    </format>
    <format dxfId="59">
      <pivotArea dataOnly="0" labelOnly="1" grandRow="1" outline="0" fieldPosition="0"/>
    </format>
    <format dxfId="58">
      <pivotArea dataOnly="0" labelOnly="1" outline="0" axis="axisValues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2" type="button" dataOnly="0" labelOnly="1" outline="0" axis="axisRow" fieldPosition="0"/>
    </format>
    <format dxfId="54">
      <pivotArea dataOnly="0" labelOnly="1" fieldPosition="0">
        <references count="1">
          <reference field="2" count="0"/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  <format dxfId="51">
      <pivotArea field="2" type="button" dataOnly="0" labelOnly="1" outline="0" axis="axisRow" fieldPosition="0"/>
    </format>
    <format dxfId="50">
      <pivotArea dataOnly="0" labelOnly="1" outline="0" axis="axisValues" fieldPosition="0"/>
    </format>
    <format dxfId="49">
      <pivotArea grandRow="1" outline="0" collapsedLevelsAreSubtotals="1" fieldPosition="0"/>
    </format>
    <format dxfId="48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5A86B3-3D00-4F0B-AD1F-1C4FAE2DC89A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:B9" firstHeaderRow="1" firstDataRow="1" firstDataCol="1"/>
  <pivotFields count="16">
    <pivotField axis="axisRow" showAll="0">
      <items count="7">
        <item x="2"/>
        <item x="3"/>
        <item x="1"/>
        <item x="0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Growth %" fld="11" subtotal="average" baseField="0" baseItem="0" numFmtId="165"/>
  </dataFields>
  <formats count="1">
    <format dxfId="47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2FF111-D188-4E38-91A4-CCA228212F0E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:B5" firstHeaderRow="1" firstDataRow="1" firstDataCol="1"/>
  <pivotFields count="16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2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Profit Margin %" fld="9" subtotal="average" baseField="3" baseItem="0" numFmtId="2"/>
  </dataFields>
  <formats count="1">
    <format dxfId="46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405AFC-6E49-49E7-AC1F-7FB040E13759}" name="PivotTable4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B11" firstHeaderRow="1" firstDataRow="1" firstDataCol="1"/>
  <pivotFields count="16">
    <pivotField showAll="0"/>
    <pivotField axis="axisRow" showAll="0" sortType="descending">
      <items count="9">
        <item x="6"/>
        <item x="5"/>
        <item x="7"/>
        <item x="4"/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 v="7"/>
    </i>
    <i>
      <x v="2"/>
    </i>
    <i>
      <x v="1"/>
    </i>
    <i>
      <x v="4"/>
    </i>
    <i>
      <x v="5"/>
    </i>
    <i>
      <x/>
    </i>
    <i>
      <x v="6"/>
    </i>
    <i>
      <x v="3"/>
    </i>
    <i t="grand">
      <x/>
    </i>
  </rowItems>
  <colItems count="1">
    <i/>
  </colItems>
  <dataFields count="1">
    <dataField name="Sum of Patients Treated" fld="5" baseField="0" baseItem="0" numFmtId="43"/>
  </dataFields>
  <formats count="1">
    <format dxfId="45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B53B7C-2F8E-4F23-9997-1E564912F243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B8" firstHeaderRow="1" firstDataRow="1" firstDataCol="1"/>
  <pivotFields count="16">
    <pivotField showAll="0"/>
    <pivotField showAll="0"/>
    <pivotField axis="axisRow" showAll="0" measureFilter="1" sortType="descending">
      <items count="13">
        <item x="7"/>
        <item x="0"/>
        <item x="8"/>
        <item x="3"/>
        <item x="9"/>
        <item x="5"/>
        <item x="6"/>
        <item x="1"/>
        <item x="11"/>
        <item x="1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numFmtId="2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2"/>
    </i>
    <i>
      <x v="6"/>
    </i>
    <i>
      <x v="7"/>
    </i>
    <i>
      <x v="11"/>
    </i>
    <i>
      <x v="10"/>
    </i>
    <i t="grand">
      <x/>
    </i>
  </rowItems>
  <colItems count="1">
    <i/>
  </colItems>
  <dataFields count="1">
    <dataField name="Sum of Revenue (Crore ₹)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E2783C-312E-42E8-9EA9-F8A8066E84C8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2:C15" firstHeaderRow="0" firstDataRow="1" firstDataCol="1"/>
  <pivotFields count="16">
    <pivotField showAll="0"/>
    <pivotField showAll="0"/>
    <pivotField axis="axisRow" showAll="0" sortType="descending">
      <items count="13">
        <item x="7"/>
        <item x="0"/>
        <item x="8"/>
        <item x="3"/>
        <item x="9"/>
        <item x="5"/>
        <item x="6"/>
        <item x="1"/>
        <item x="11"/>
        <item x="1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2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13">
    <i>
      <x v="6"/>
    </i>
    <i>
      <x v="11"/>
    </i>
    <i>
      <x v="1"/>
    </i>
    <i>
      <x/>
    </i>
    <i>
      <x v="2"/>
    </i>
    <i>
      <x v="7"/>
    </i>
    <i>
      <x v="8"/>
    </i>
    <i>
      <x v="5"/>
    </i>
    <i>
      <x v="4"/>
    </i>
    <i>
      <x v="3"/>
    </i>
    <i>
      <x v="10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R&amp;D Spend (Crore ₹)" fld="10" subtotal="average" baseField="2" baseItem="0" numFmtId="44"/>
    <dataField name="Average of Profit Margin %" fld="9" subtotal="average" baseField="2" baseItem="0" numFmtId="2"/>
  </dataFields>
  <formats count="2">
    <format dxfId="4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1E1BCA-8B1D-4CF1-A242-873C6FB422EE}" name="PivotTable7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:C15" firstHeaderRow="0" firstDataRow="1" firstDataCol="1"/>
  <pivotFields count="16">
    <pivotField showAll="0"/>
    <pivotField showAll="0"/>
    <pivotField axis="axisRow" showAll="0">
      <items count="13">
        <item x="7"/>
        <item x="0"/>
        <item x="8"/>
        <item x="3"/>
        <item x="9"/>
        <item x="5"/>
        <item x="6"/>
        <item x="1"/>
        <item x="11"/>
        <item x="10"/>
        <item x="4"/>
        <item x="2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dataField="1" showAll="0"/>
    <pivotField dataField="1"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xports (Crore ₹)" fld="12" baseField="0" baseItem="0" numFmtId="43"/>
    <dataField name="Sum of Domestic Sales (Crore ₹)" fld="13" baseField="0" baseItem="0" numFmtId="43"/>
  </dataFields>
  <formats count="2">
    <format dxfId="4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B9FB7F-EE60-4B32-A536-005B067BB362}" name="PivotTable8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16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Customer Satisfaction %" fld="15" subtotal="average" baseField="3" baseItem="0" numFmtId="2"/>
  </dataFields>
  <formats count="1">
    <format dxfId="28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982535-584B-437C-9BCF-33F006D3D966}" name="PivotTable9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:B15" firstHeaderRow="1" firstDataRow="1" firstDataCol="1"/>
  <pivotFields count="16">
    <pivotField showAll="0"/>
    <pivotField showAll="0"/>
    <pivotField axis="axisRow" showAll="0">
      <items count="13">
        <item x="7"/>
        <item x="0"/>
        <item x="8"/>
        <item x="3"/>
        <item x="9"/>
        <item x="5"/>
        <item x="6"/>
        <item x="1"/>
        <item x="11"/>
        <item x="10"/>
        <item x="4"/>
        <item x="2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Revenue By Doctor" fld="8" subtotal="average" baseField="2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33212-9F43-473B-8AFD-BE46F4A7711B}" name="PivotTable10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:B11" firstHeaderRow="1" firstDataRow="1" firstDataCol="1"/>
  <pivotFields count="16">
    <pivotField showAll="0"/>
    <pivotField showAll="0"/>
    <pivotField showAll="0"/>
    <pivotField showAll="0"/>
    <pivotField axis="axisRow" showAll="0" sortType="descending">
      <items count="9">
        <item x="0"/>
        <item x="1"/>
        <item x="6"/>
        <item x="4"/>
        <item x="2"/>
        <item x="3"/>
        <item x="7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numFmtId="2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9">
    <i>
      <x v="5"/>
    </i>
    <i>
      <x v="3"/>
    </i>
    <i>
      <x v="6"/>
    </i>
    <i>
      <x v="2"/>
    </i>
    <i>
      <x/>
    </i>
    <i>
      <x v="4"/>
    </i>
    <i>
      <x v="1"/>
    </i>
    <i>
      <x v="7"/>
    </i>
    <i t="grand">
      <x/>
    </i>
  </rowItems>
  <colItems count="1">
    <i/>
  </colItems>
  <dataFields count="1">
    <dataField name="Sum of Revenue (Crore ₹)" fld="7" baseField="0" baseItem="0" numFmtId="43"/>
  </dataFields>
  <formats count="1">
    <format dxfId="1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2CB49E-236A-4603-AD4F-1CE281F6081C}" name="Table1" displayName="Table1" ref="A1:P501" totalsRowShown="0" headerRowDxfId="64" headerRowBorderDxfId="65" tableBorderDxfId="66">
  <autoFilter ref="A1:P501" xr:uid="{5A2CB49E-236A-4603-AD4F-1CE281F6081C}"/>
  <tableColumns count="16">
    <tableColumn id="1" xr3:uid="{CF120939-2404-4678-B2B0-D7F2430D3CAB}" name="Year"/>
    <tableColumn id="2" xr3:uid="{4825ECC5-3F66-472A-BBAD-2CEC26C0D023}" name="State"/>
    <tableColumn id="3" xr3:uid="{DBB6E50E-AC1A-4EE1-9236-49603BD6904C}" name="Company / Hospital"/>
    <tableColumn id="4" xr3:uid="{387314BA-9950-4F16-8700-D17428C053CF}" name="Sector Type"/>
    <tableColumn id="5" xr3:uid="{8F832A8B-C0EA-4F4E-94A5-BC892B9CE4B0}" name="Product / Medicine Type"/>
    <tableColumn id="6" xr3:uid="{F5D9A374-5724-4ECB-B295-DD62D6AE2F7A}" name="Patients Treated"/>
    <tableColumn id="7" xr3:uid="{3BB562BC-F2F7-4D26-B9D9-A734DED99C90}" name="Doctors / Staff"/>
    <tableColumn id="8" xr3:uid="{6BD9B5EB-73DD-450F-83EC-E8FA11A2641F}" name="Revenue (Crore ₹)"/>
    <tableColumn id="16" xr3:uid="{930A3D27-F2E2-408B-85D0-DA0901E04D26}" name="Revenue By Doctor" dataDxfId="26">
      <calculatedColumnFormula>Table1[[#This Row],[Revenue (Crore ₹)]]/Table1[[#This Row],[Doctors / Staff]]</calculatedColumnFormula>
    </tableColumn>
    <tableColumn id="9" xr3:uid="{4B19245C-BFA4-46E0-B016-B721A3EF7B94}" name="Profit Margin %"/>
    <tableColumn id="10" xr3:uid="{4FC49C2D-526C-4C63-9B41-BA8F6B3226FB}" name="R&amp;D Spend (Crore ₹)"/>
    <tableColumn id="11" xr3:uid="{8F727034-8BD1-466F-82C8-E0E0AAA12422}" name="Growth %"/>
    <tableColumn id="12" xr3:uid="{882F36A7-2DC6-40DC-A75A-67072873AA3B}" name="Exports (Crore ₹)"/>
    <tableColumn id="13" xr3:uid="{C4EBA387-ADAD-49CB-9649-89FD0901FF1A}" name="Domestic Sales (Crore ₹)"/>
    <tableColumn id="14" xr3:uid="{1857AB87-B654-4245-9379-B8574C109D8E}" name="Drug Approvals / Patents"/>
    <tableColumn id="15" xr3:uid="{4A912B02-0F5A-4136-BE18-0FA678D56748}" name="Customer Satisfaction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topLeftCell="A2" workbookViewId="0">
      <selection activeCell="C9" sqref="C9"/>
    </sheetView>
  </sheetViews>
  <sheetFormatPr defaultRowHeight="14.4" x14ac:dyDescent="0.3"/>
  <cols>
    <col min="1" max="1" width="9.109375" bestFit="1" customWidth="1"/>
    <col min="2" max="2" width="11.44140625" bestFit="1" customWidth="1"/>
    <col min="3" max="3" width="22.33203125" bestFit="1" customWidth="1"/>
    <col min="4" max="4" width="15.33203125" bestFit="1" customWidth="1"/>
    <col min="5" max="5" width="26.5546875" bestFit="1" customWidth="1"/>
    <col min="6" max="6" width="19.21875" bestFit="1" customWidth="1"/>
    <col min="7" max="7" width="17.77734375" bestFit="1" customWidth="1"/>
    <col min="8" max="8" width="20.6640625" bestFit="1" customWidth="1"/>
    <col min="9" max="9" width="21.6640625" bestFit="1" customWidth="1"/>
    <col min="10" max="10" width="18.5546875" bestFit="1" customWidth="1"/>
    <col min="11" max="11" width="23" bestFit="1" customWidth="1"/>
    <col min="12" max="12" width="13.5546875" bestFit="1" customWidth="1"/>
    <col min="13" max="13" width="19.5546875" bestFit="1" customWidth="1"/>
    <col min="14" max="14" width="26" bestFit="1" customWidth="1"/>
    <col min="15" max="15" width="26.77734375" bestFit="1" customWidth="1"/>
    <col min="16" max="16" width="26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>
        <v>2023</v>
      </c>
      <c r="B2" t="s">
        <v>15</v>
      </c>
      <c r="C2" t="s">
        <v>16</v>
      </c>
      <c r="D2" t="s">
        <v>17</v>
      </c>
      <c r="E2" t="s">
        <v>18</v>
      </c>
      <c r="F2">
        <v>74794</v>
      </c>
      <c r="G2">
        <v>2534</v>
      </c>
      <c r="H2">
        <v>43669</v>
      </c>
      <c r="I2" s="11">
        <f>Table1[[#This Row],[Revenue (Crore ₹)]]/Table1[[#This Row],[Doctors / Staff]]</f>
        <v>17.233228097868981</v>
      </c>
      <c r="J2">
        <v>10.39</v>
      </c>
      <c r="K2">
        <v>5302</v>
      </c>
      <c r="L2">
        <v>11.88</v>
      </c>
      <c r="M2">
        <v>32972</v>
      </c>
      <c r="N2">
        <v>10697</v>
      </c>
      <c r="O2">
        <v>16</v>
      </c>
      <c r="P2">
        <v>86</v>
      </c>
    </row>
    <row r="3" spans="1:16" x14ac:dyDescent="0.3">
      <c r="A3">
        <v>2022</v>
      </c>
      <c r="B3" t="s">
        <v>19</v>
      </c>
      <c r="C3" t="s">
        <v>20</v>
      </c>
      <c r="D3" t="s">
        <v>17</v>
      </c>
      <c r="E3" t="s">
        <v>18</v>
      </c>
      <c r="F3">
        <v>89277</v>
      </c>
      <c r="G3">
        <v>392</v>
      </c>
      <c r="H3">
        <v>106952</v>
      </c>
      <c r="I3" s="11">
        <f>Table1[[#This Row],[Revenue (Crore ₹)]]/Table1[[#This Row],[Doctors / Staff]]</f>
        <v>272.83673469387753</v>
      </c>
      <c r="J3">
        <v>4.22</v>
      </c>
      <c r="K3">
        <v>10117</v>
      </c>
      <c r="L3">
        <v>7.78</v>
      </c>
      <c r="M3">
        <v>36281</v>
      </c>
      <c r="N3">
        <v>70671</v>
      </c>
      <c r="O3">
        <v>8</v>
      </c>
      <c r="P3">
        <v>99</v>
      </c>
    </row>
    <row r="4" spans="1:16" x14ac:dyDescent="0.3">
      <c r="A4">
        <v>2020</v>
      </c>
      <c r="B4" t="s">
        <v>21</v>
      </c>
      <c r="C4" t="s">
        <v>22</v>
      </c>
      <c r="D4" t="s">
        <v>17</v>
      </c>
      <c r="E4" t="s">
        <v>23</v>
      </c>
      <c r="F4">
        <v>58281</v>
      </c>
      <c r="G4">
        <v>4027</v>
      </c>
      <c r="H4">
        <v>167974</v>
      </c>
      <c r="I4" s="11">
        <f>Table1[[#This Row],[Revenue (Crore ₹)]]/Table1[[#This Row],[Doctors / Staff]]</f>
        <v>41.711944375465606</v>
      </c>
      <c r="J4">
        <v>11.49</v>
      </c>
      <c r="K4">
        <v>14985</v>
      </c>
      <c r="L4">
        <v>9.4600000000000009</v>
      </c>
      <c r="M4">
        <v>16413</v>
      </c>
      <c r="N4">
        <v>151561</v>
      </c>
      <c r="O4">
        <v>20</v>
      </c>
      <c r="P4">
        <v>70</v>
      </c>
    </row>
    <row r="5" spans="1:16" x14ac:dyDescent="0.3">
      <c r="A5">
        <v>2022</v>
      </c>
      <c r="B5" t="s">
        <v>24</v>
      </c>
      <c r="C5" t="s">
        <v>25</v>
      </c>
      <c r="D5" t="s">
        <v>17</v>
      </c>
      <c r="E5" t="s">
        <v>26</v>
      </c>
      <c r="F5">
        <v>99946</v>
      </c>
      <c r="G5">
        <v>677</v>
      </c>
      <c r="H5">
        <v>76883</v>
      </c>
      <c r="I5" s="11">
        <f>Table1[[#This Row],[Revenue (Crore ₹)]]/Table1[[#This Row],[Doctors / Staff]]</f>
        <v>113.5642540620384</v>
      </c>
      <c r="J5">
        <v>15.34</v>
      </c>
      <c r="K5">
        <v>9303</v>
      </c>
      <c r="L5">
        <v>2.77</v>
      </c>
      <c r="M5">
        <v>32256</v>
      </c>
      <c r="N5">
        <v>44627</v>
      </c>
      <c r="O5">
        <v>0</v>
      </c>
      <c r="P5">
        <v>79</v>
      </c>
    </row>
    <row r="6" spans="1:16" x14ac:dyDescent="0.3">
      <c r="A6">
        <v>2022</v>
      </c>
      <c r="B6" t="s">
        <v>19</v>
      </c>
      <c r="C6" t="s">
        <v>27</v>
      </c>
      <c r="D6" t="s">
        <v>28</v>
      </c>
      <c r="E6" t="s">
        <v>23</v>
      </c>
      <c r="F6">
        <v>79708</v>
      </c>
      <c r="G6">
        <v>1637</v>
      </c>
      <c r="H6">
        <v>99970</v>
      </c>
      <c r="I6" s="11">
        <f>Table1[[#This Row],[Revenue (Crore ₹)]]/Table1[[#This Row],[Doctors / Staff]]</f>
        <v>61.069028711056809</v>
      </c>
      <c r="J6">
        <v>12.97</v>
      </c>
      <c r="K6">
        <v>11882</v>
      </c>
      <c r="L6">
        <v>4.9800000000000004</v>
      </c>
      <c r="M6">
        <v>26478</v>
      </c>
      <c r="N6">
        <v>73492</v>
      </c>
      <c r="O6">
        <v>19</v>
      </c>
      <c r="P6">
        <v>79</v>
      </c>
    </row>
    <row r="7" spans="1:16" x14ac:dyDescent="0.3">
      <c r="A7">
        <v>2020</v>
      </c>
      <c r="B7" t="s">
        <v>21</v>
      </c>
      <c r="C7" t="s">
        <v>29</v>
      </c>
      <c r="D7" t="s">
        <v>17</v>
      </c>
      <c r="E7" t="s">
        <v>30</v>
      </c>
      <c r="F7">
        <v>50045</v>
      </c>
      <c r="G7">
        <v>993</v>
      </c>
      <c r="H7">
        <v>116343</v>
      </c>
      <c r="I7" s="11">
        <f>Table1[[#This Row],[Revenue (Crore ₹)]]/Table1[[#This Row],[Doctors / Staff]]</f>
        <v>117.16314199395771</v>
      </c>
      <c r="J7">
        <v>13.99</v>
      </c>
      <c r="K7">
        <v>6888</v>
      </c>
      <c r="L7">
        <v>12.05</v>
      </c>
      <c r="M7">
        <v>6063</v>
      </c>
      <c r="N7">
        <v>110280</v>
      </c>
      <c r="O7">
        <v>6</v>
      </c>
      <c r="P7">
        <v>91</v>
      </c>
    </row>
    <row r="8" spans="1:16" x14ac:dyDescent="0.3">
      <c r="A8">
        <v>2021</v>
      </c>
      <c r="B8" t="s">
        <v>21</v>
      </c>
      <c r="C8" t="s">
        <v>22</v>
      </c>
      <c r="D8" t="s">
        <v>17</v>
      </c>
      <c r="E8" t="s">
        <v>30</v>
      </c>
      <c r="F8">
        <v>27286</v>
      </c>
      <c r="G8">
        <v>3564</v>
      </c>
      <c r="H8">
        <v>73038</v>
      </c>
      <c r="I8" s="11">
        <f>Table1[[#This Row],[Revenue (Crore ₹)]]/Table1[[#This Row],[Doctors / Staff]]</f>
        <v>20.493265993265993</v>
      </c>
      <c r="J8">
        <v>20.190000000000001</v>
      </c>
      <c r="K8">
        <v>15758</v>
      </c>
      <c r="L8">
        <v>11.36</v>
      </c>
      <c r="M8">
        <v>35679</v>
      </c>
      <c r="N8">
        <v>37359</v>
      </c>
      <c r="O8">
        <v>18</v>
      </c>
      <c r="P8">
        <v>100</v>
      </c>
    </row>
    <row r="9" spans="1:16" x14ac:dyDescent="0.3">
      <c r="A9">
        <v>2022</v>
      </c>
      <c r="B9" t="s">
        <v>21</v>
      </c>
      <c r="C9" t="s">
        <v>29</v>
      </c>
      <c r="D9" t="s">
        <v>17</v>
      </c>
      <c r="E9" t="s">
        <v>31</v>
      </c>
      <c r="F9">
        <v>89788</v>
      </c>
      <c r="G9">
        <v>2164</v>
      </c>
      <c r="H9">
        <v>21965</v>
      </c>
      <c r="I9" s="11">
        <f>Table1[[#This Row],[Revenue (Crore ₹)]]/Table1[[#This Row],[Doctors / Staff]]</f>
        <v>10.150184842883549</v>
      </c>
      <c r="J9">
        <v>8.6999999999999993</v>
      </c>
      <c r="K9">
        <v>10791</v>
      </c>
      <c r="L9">
        <v>2.52</v>
      </c>
      <c r="M9">
        <v>32087</v>
      </c>
      <c r="N9">
        <v>-10122</v>
      </c>
      <c r="O9">
        <v>8</v>
      </c>
      <c r="P9">
        <v>84</v>
      </c>
    </row>
    <row r="10" spans="1:16" x14ac:dyDescent="0.3">
      <c r="A10">
        <v>2021</v>
      </c>
      <c r="B10" t="s">
        <v>15</v>
      </c>
      <c r="C10" t="s">
        <v>32</v>
      </c>
      <c r="D10" t="s">
        <v>17</v>
      </c>
      <c r="E10" t="s">
        <v>30</v>
      </c>
      <c r="F10">
        <v>40629</v>
      </c>
      <c r="G10">
        <v>1139</v>
      </c>
      <c r="H10">
        <v>181263</v>
      </c>
      <c r="I10" s="11">
        <f>Table1[[#This Row],[Revenue (Crore ₹)]]/Table1[[#This Row],[Doctors / Staff]]</f>
        <v>159.14223002633889</v>
      </c>
      <c r="J10">
        <v>18.149999999999999</v>
      </c>
      <c r="K10">
        <v>18570</v>
      </c>
      <c r="L10">
        <v>10.39</v>
      </c>
      <c r="M10">
        <v>40027</v>
      </c>
      <c r="N10">
        <v>141236</v>
      </c>
      <c r="O10">
        <v>11</v>
      </c>
      <c r="P10">
        <v>98</v>
      </c>
    </row>
    <row r="11" spans="1:16" x14ac:dyDescent="0.3">
      <c r="A11">
        <v>2024</v>
      </c>
      <c r="B11" t="s">
        <v>33</v>
      </c>
      <c r="C11" t="s">
        <v>25</v>
      </c>
      <c r="D11" t="s">
        <v>17</v>
      </c>
      <c r="E11" t="s">
        <v>23</v>
      </c>
      <c r="F11">
        <v>84663</v>
      </c>
      <c r="G11">
        <v>2406</v>
      </c>
      <c r="H11">
        <v>18278</v>
      </c>
      <c r="I11" s="11">
        <f>Table1[[#This Row],[Revenue (Crore ₹)]]/Table1[[#This Row],[Doctors / Staff]]</f>
        <v>7.5968412302576889</v>
      </c>
      <c r="J11">
        <v>13.74</v>
      </c>
      <c r="K11">
        <v>15355</v>
      </c>
      <c r="L11">
        <v>8.5399999999999991</v>
      </c>
      <c r="M11">
        <v>45375</v>
      </c>
      <c r="N11">
        <v>-27097</v>
      </c>
      <c r="O11">
        <v>2</v>
      </c>
      <c r="P11">
        <v>91</v>
      </c>
    </row>
    <row r="12" spans="1:16" x14ac:dyDescent="0.3">
      <c r="A12">
        <v>2023</v>
      </c>
      <c r="B12" t="s">
        <v>34</v>
      </c>
      <c r="C12" t="s">
        <v>35</v>
      </c>
      <c r="D12" t="s">
        <v>17</v>
      </c>
      <c r="E12" t="s">
        <v>18</v>
      </c>
      <c r="F12">
        <v>42615</v>
      </c>
      <c r="G12">
        <v>2251</v>
      </c>
      <c r="H12">
        <v>59747</v>
      </c>
      <c r="I12" s="11">
        <f>Table1[[#This Row],[Revenue (Crore ₹)]]/Table1[[#This Row],[Doctors / Staff]]</f>
        <v>26.542425588627278</v>
      </c>
      <c r="J12">
        <v>17.7</v>
      </c>
      <c r="K12">
        <v>8430</v>
      </c>
      <c r="L12">
        <v>8.1199999999999992</v>
      </c>
      <c r="M12">
        <v>30172</v>
      </c>
      <c r="N12">
        <v>29575</v>
      </c>
      <c r="O12">
        <v>5</v>
      </c>
      <c r="P12">
        <v>72</v>
      </c>
    </row>
    <row r="13" spans="1:16" x14ac:dyDescent="0.3">
      <c r="A13">
        <v>2021</v>
      </c>
      <c r="B13" t="s">
        <v>36</v>
      </c>
      <c r="C13" t="s">
        <v>16</v>
      </c>
      <c r="D13" t="s">
        <v>17</v>
      </c>
      <c r="E13" t="s">
        <v>23</v>
      </c>
      <c r="F13">
        <v>61487</v>
      </c>
      <c r="G13">
        <v>4167</v>
      </c>
      <c r="H13">
        <v>3264</v>
      </c>
      <c r="I13" s="11">
        <f>Table1[[#This Row],[Revenue (Crore ₹)]]/Table1[[#This Row],[Doctors / Staff]]</f>
        <v>0.78329733621310293</v>
      </c>
      <c r="J13">
        <v>20.93</v>
      </c>
      <c r="K13">
        <v>12089</v>
      </c>
      <c r="L13">
        <v>7.92</v>
      </c>
      <c r="M13">
        <v>29381</v>
      </c>
      <c r="N13">
        <v>-26117</v>
      </c>
      <c r="O13">
        <v>9</v>
      </c>
      <c r="P13">
        <v>74</v>
      </c>
    </row>
    <row r="14" spans="1:16" x14ac:dyDescent="0.3">
      <c r="A14">
        <v>2024</v>
      </c>
      <c r="B14" t="s">
        <v>21</v>
      </c>
      <c r="C14" t="s">
        <v>22</v>
      </c>
      <c r="D14" t="s">
        <v>17</v>
      </c>
      <c r="E14" t="s">
        <v>18</v>
      </c>
      <c r="F14">
        <v>66388</v>
      </c>
      <c r="G14">
        <v>3355</v>
      </c>
      <c r="H14">
        <v>88199</v>
      </c>
      <c r="I14" s="11">
        <f>Table1[[#This Row],[Revenue (Crore ₹)]]/Table1[[#This Row],[Doctors / Staff]]</f>
        <v>26.28882265275708</v>
      </c>
      <c r="J14">
        <v>22.48</v>
      </c>
      <c r="K14">
        <v>8851</v>
      </c>
      <c r="L14">
        <v>10.82</v>
      </c>
      <c r="M14">
        <v>20343</v>
      </c>
      <c r="N14">
        <v>67856</v>
      </c>
      <c r="O14">
        <v>6</v>
      </c>
      <c r="P14">
        <v>82</v>
      </c>
    </row>
    <row r="15" spans="1:16" x14ac:dyDescent="0.3">
      <c r="A15">
        <v>2025</v>
      </c>
      <c r="B15" t="s">
        <v>34</v>
      </c>
      <c r="C15" t="s">
        <v>25</v>
      </c>
      <c r="D15" t="s">
        <v>17</v>
      </c>
      <c r="E15" t="s">
        <v>31</v>
      </c>
      <c r="F15">
        <v>26431</v>
      </c>
      <c r="G15">
        <v>1565</v>
      </c>
      <c r="H15">
        <v>162744</v>
      </c>
      <c r="I15" s="11">
        <f>Table1[[#This Row],[Revenue (Crore ₹)]]/Table1[[#This Row],[Doctors / Staff]]</f>
        <v>103.98977635782748</v>
      </c>
      <c r="J15">
        <v>6.2</v>
      </c>
      <c r="K15">
        <v>3605</v>
      </c>
      <c r="L15">
        <v>11.73</v>
      </c>
      <c r="M15">
        <v>32210</v>
      </c>
      <c r="N15">
        <v>130534</v>
      </c>
      <c r="O15">
        <v>20</v>
      </c>
      <c r="P15">
        <v>74</v>
      </c>
    </row>
    <row r="16" spans="1:16" x14ac:dyDescent="0.3">
      <c r="A16">
        <v>2020</v>
      </c>
      <c r="B16" t="s">
        <v>33</v>
      </c>
      <c r="C16" t="s">
        <v>37</v>
      </c>
      <c r="D16" t="s">
        <v>17</v>
      </c>
      <c r="E16" t="s">
        <v>38</v>
      </c>
      <c r="F16">
        <v>10461</v>
      </c>
      <c r="G16">
        <v>3514</v>
      </c>
      <c r="H16">
        <v>150361</v>
      </c>
      <c r="I16" s="11">
        <f>Table1[[#This Row],[Revenue (Crore ₹)]]/Table1[[#This Row],[Doctors / Staff]]</f>
        <v>42.789129197495733</v>
      </c>
      <c r="J16">
        <v>3.85</v>
      </c>
      <c r="K16">
        <v>18293</v>
      </c>
      <c r="L16">
        <v>6.58</v>
      </c>
      <c r="M16">
        <v>6496</v>
      </c>
      <c r="N16">
        <v>143865</v>
      </c>
      <c r="O16">
        <v>8</v>
      </c>
      <c r="P16">
        <v>93</v>
      </c>
    </row>
    <row r="17" spans="1:16" x14ac:dyDescent="0.3">
      <c r="A17">
        <v>2020</v>
      </c>
      <c r="B17" t="s">
        <v>39</v>
      </c>
      <c r="C17" t="s">
        <v>29</v>
      </c>
      <c r="D17" t="s">
        <v>17</v>
      </c>
      <c r="E17" t="s">
        <v>26</v>
      </c>
      <c r="F17">
        <v>93785</v>
      </c>
      <c r="G17">
        <v>698</v>
      </c>
      <c r="H17">
        <v>88962</v>
      </c>
      <c r="I17" s="11">
        <f>Table1[[#This Row],[Revenue (Crore ₹)]]/Table1[[#This Row],[Doctors / Staff]]</f>
        <v>127.45272206303724</v>
      </c>
      <c r="J17">
        <v>13.05</v>
      </c>
      <c r="K17">
        <v>2208</v>
      </c>
      <c r="L17">
        <v>5.59</v>
      </c>
      <c r="M17">
        <v>31771</v>
      </c>
      <c r="N17">
        <v>57191</v>
      </c>
      <c r="O17">
        <v>8</v>
      </c>
      <c r="P17">
        <v>85</v>
      </c>
    </row>
    <row r="18" spans="1:16" x14ac:dyDescent="0.3">
      <c r="A18">
        <v>2020</v>
      </c>
      <c r="B18" t="s">
        <v>39</v>
      </c>
      <c r="C18" t="s">
        <v>40</v>
      </c>
      <c r="D18" t="s">
        <v>28</v>
      </c>
      <c r="E18" t="s">
        <v>41</v>
      </c>
      <c r="F18">
        <v>67906</v>
      </c>
      <c r="G18">
        <v>386</v>
      </c>
      <c r="H18">
        <v>169598</v>
      </c>
      <c r="I18" s="11">
        <f>Table1[[#This Row],[Revenue (Crore ₹)]]/Table1[[#This Row],[Doctors / Staff]]</f>
        <v>439.37305699481863</v>
      </c>
      <c r="J18">
        <v>4.5199999999999996</v>
      </c>
      <c r="K18">
        <v>9528</v>
      </c>
      <c r="L18">
        <v>6.96</v>
      </c>
      <c r="M18">
        <v>13684</v>
      </c>
      <c r="N18">
        <v>155914</v>
      </c>
      <c r="O18">
        <v>17</v>
      </c>
      <c r="P18">
        <v>70</v>
      </c>
    </row>
    <row r="19" spans="1:16" x14ac:dyDescent="0.3">
      <c r="A19">
        <v>2025</v>
      </c>
      <c r="B19" t="s">
        <v>34</v>
      </c>
      <c r="C19" t="s">
        <v>42</v>
      </c>
      <c r="D19" t="s">
        <v>28</v>
      </c>
      <c r="E19" t="s">
        <v>23</v>
      </c>
      <c r="F19">
        <v>59935</v>
      </c>
      <c r="G19">
        <v>2499</v>
      </c>
      <c r="H19">
        <v>191815</v>
      </c>
      <c r="I19" s="11">
        <f>Table1[[#This Row],[Revenue (Crore ₹)]]/Table1[[#This Row],[Doctors / Staff]]</f>
        <v>76.756702681072426</v>
      </c>
      <c r="J19">
        <v>3.56</v>
      </c>
      <c r="K19">
        <v>11021</v>
      </c>
      <c r="L19">
        <v>10.98</v>
      </c>
      <c r="M19">
        <v>26545</v>
      </c>
      <c r="N19">
        <v>165270</v>
      </c>
      <c r="O19">
        <v>17</v>
      </c>
      <c r="P19">
        <v>72</v>
      </c>
    </row>
    <row r="20" spans="1:16" x14ac:dyDescent="0.3">
      <c r="A20">
        <v>2024</v>
      </c>
      <c r="B20" t="s">
        <v>24</v>
      </c>
      <c r="C20" t="s">
        <v>37</v>
      </c>
      <c r="D20" t="s">
        <v>17</v>
      </c>
      <c r="E20" t="s">
        <v>43</v>
      </c>
      <c r="F20">
        <v>52143</v>
      </c>
      <c r="G20">
        <v>2384</v>
      </c>
      <c r="H20">
        <v>21449</v>
      </c>
      <c r="I20" s="11">
        <f>Table1[[#This Row],[Revenue (Crore ₹)]]/Table1[[#This Row],[Doctors / Staff]]</f>
        <v>8.9970637583892614</v>
      </c>
      <c r="J20">
        <v>15.39</v>
      </c>
      <c r="K20">
        <v>3821</v>
      </c>
      <c r="L20">
        <v>9.52</v>
      </c>
      <c r="M20">
        <v>34395</v>
      </c>
      <c r="N20">
        <v>-12946</v>
      </c>
      <c r="O20">
        <v>7</v>
      </c>
      <c r="P20">
        <v>80</v>
      </c>
    </row>
    <row r="21" spans="1:16" x14ac:dyDescent="0.3">
      <c r="A21">
        <v>2021</v>
      </c>
      <c r="B21" t="s">
        <v>15</v>
      </c>
      <c r="C21" t="s">
        <v>37</v>
      </c>
      <c r="D21" t="s">
        <v>17</v>
      </c>
      <c r="E21" t="s">
        <v>41</v>
      </c>
      <c r="F21">
        <v>35687</v>
      </c>
      <c r="G21">
        <v>2016</v>
      </c>
      <c r="H21">
        <v>150241</v>
      </c>
      <c r="I21" s="11">
        <f>Table1[[#This Row],[Revenue (Crore ₹)]]/Table1[[#This Row],[Doctors / Staff]]</f>
        <v>74.524305555555557</v>
      </c>
      <c r="J21">
        <v>13.84</v>
      </c>
      <c r="K21">
        <v>13540</v>
      </c>
      <c r="L21">
        <v>13.42</v>
      </c>
      <c r="M21">
        <v>5269</v>
      </c>
      <c r="N21">
        <v>144972</v>
      </c>
      <c r="O21">
        <v>10</v>
      </c>
      <c r="P21">
        <v>88</v>
      </c>
    </row>
    <row r="22" spans="1:16" x14ac:dyDescent="0.3">
      <c r="A22">
        <v>2020</v>
      </c>
      <c r="B22" t="s">
        <v>36</v>
      </c>
      <c r="C22" t="s">
        <v>27</v>
      </c>
      <c r="D22" t="s">
        <v>28</v>
      </c>
      <c r="E22" t="s">
        <v>41</v>
      </c>
      <c r="F22">
        <v>66851</v>
      </c>
      <c r="G22">
        <v>3960</v>
      </c>
      <c r="H22">
        <v>108184</v>
      </c>
      <c r="I22" s="11">
        <f>Table1[[#This Row],[Revenue (Crore ₹)]]/Table1[[#This Row],[Doctors / Staff]]</f>
        <v>27.319191919191919</v>
      </c>
      <c r="J22">
        <v>6.8</v>
      </c>
      <c r="K22">
        <v>16902</v>
      </c>
      <c r="L22">
        <v>9.86</v>
      </c>
      <c r="M22">
        <v>31442</v>
      </c>
      <c r="N22">
        <v>76742</v>
      </c>
      <c r="O22">
        <v>5</v>
      </c>
      <c r="P22">
        <v>73</v>
      </c>
    </row>
    <row r="23" spans="1:16" x14ac:dyDescent="0.3">
      <c r="A23">
        <v>2024</v>
      </c>
      <c r="B23" t="s">
        <v>33</v>
      </c>
      <c r="C23" t="s">
        <v>40</v>
      </c>
      <c r="D23" t="s">
        <v>28</v>
      </c>
      <c r="E23" t="s">
        <v>43</v>
      </c>
      <c r="F23">
        <v>59684</v>
      </c>
      <c r="G23">
        <v>1823</v>
      </c>
      <c r="H23">
        <v>167901</v>
      </c>
      <c r="I23" s="11">
        <f>Table1[[#This Row],[Revenue (Crore ₹)]]/Table1[[#This Row],[Doctors / Staff]]</f>
        <v>92.101481075150843</v>
      </c>
      <c r="J23">
        <v>19.940000000000001</v>
      </c>
      <c r="K23">
        <v>19703</v>
      </c>
      <c r="L23">
        <v>6.25</v>
      </c>
      <c r="M23">
        <v>25523</v>
      </c>
      <c r="N23">
        <v>142378</v>
      </c>
      <c r="O23">
        <v>13</v>
      </c>
      <c r="P23">
        <v>81</v>
      </c>
    </row>
    <row r="24" spans="1:16" x14ac:dyDescent="0.3">
      <c r="A24">
        <v>2023</v>
      </c>
      <c r="B24" t="s">
        <v>15</v>
      </c>
      <c r="C24" t="s">
        <v>20</v>
      </c>
      <c r="D24" t="s">
        <v>17</v>
      </c>
      <c r="E24" t="s">
        <v>41</v>
      </c>
      <c r="F24">
        <v>44034</v>
      </c>
      <c r="G24">
        <v>227</v>
      </c>
      <c r="H24">
        <v>189700</v>
      </c>
      <c r="I24" s="11">
        <f>Table1[[#This Row],[Revenue (Crore ₹)]]/Table1[[#This Row],[Doctors / Staff]]</f>
        <v>835.68281938325993</v>
      </c>
      <c r="J24">
        <v>24.98</v>
      </c>
      <c r="K24">
        <v>16144</v>
      </c>
      <c r="L24">
        <v>6.29</v>
      </c>
      <c r="M24">
        <v>41469</v>
      </c>
      <c r="N24">
        <v>148231</v>
      </c>
      <c r="O24">
        <v>8</v>
      </c>
      <c r="P24">
        <v>86</v>
      </c>
    </row>
    <row r="25" spans="1:16" x14ac:dyDescent="0.3">
      <c r="A25">
        <v>2022</v>
      </c>
      <c r="B25" t="s">
        <v>34</v>
      </c>
      <c r="C25" t="s">
        <v>25</v>
      </c>
      <c r="D25" t="s">
        <v>17</v>
      </c>
      <c r="E25" t="s">
        <v>30</v>
      </c>
      <c r="F25">
        <v>13523</v>
      </c>
      <c r="G25">
        <v>556</v>
      </c>
      <c r="H25">
        <v>107633</v>
      </c>
      <c r="I25" s="11">
        <f>Table1[[#This Row],[Revenue (Crore ₹)]]/Table1[[#This Row],[Doctors / Staff]]</f>
        <v>193.58453237410072</v>
      </c>
      <c r="J25">
        <v>23.97</v>
      </c>
      <c r="K25">
        <v>13232</v>
      </c>
      <c r="L25">
        <v>2.88</v>
      </c>
      <c r="M25">
        <v>28673</v>
      </c>
      <c r="N25">
        <v>78960</v>
      </c>
      <c r="O25">
        <v>3</v>
      </c>
      <c r="P25">
        <v>74</v>
      </c>
    </row>
    <row r="26" spans="1:16" x14ac:dyDescent="0.3">
      <c r="A26">
        <v>2022</v>
      </c>
      <c r="B26" t="s">
        <v>33</v>
      </c>
      <c r="C26" t="s">
        <v>37</v>
      </c>
      <c r="D26" t="s">
        <v>17</v>
      </c>
      <c r="E26" t="s">
        <v>26</v>
      </c>
      <c r="F26">
        <v>1435</v>
      </c>
      <c r="G26">
        <v>1832</v>
      </c>
      <c r="H26">
        <v>83125</v>
      </c>
      <c r="I26" s="11">
        <f>Table1[[#This Row],[Revenue (Crore ₹)]]/Table1[[#This Row],[Doctors / Staff]]</f>
        <v>45.373908296943235</v>
      </c>
      <c r="J26">
        <v>20.079999999999998</v>
      </c>
      <c r="K26">
        <v>19033</v>
      </c>
      <c r="L26">
        <v>1.75</v>
      </c>
      <c r="M26">
        <v>40917</v>
      </c>
      <c r="N26">
        <v>42208</v>
      </c>
      <c r="O26">
        <v>9</v>
      </c>
      <c r="P26">
        <v>70</v>
      </c>
    </row>
    <row r="27" spans="1:16" x14ac:dyDescent="0.3">
      <c r="A27">
        <v>2020</v>
      </c>
      <c r="B27" t="s">
        <v>21</v>
      </c>
      <c r="C27" t="s">
        <v>42</v>
      </c>
      <c r="D27" t="s">
        <v>28</v>
      </c>
      <c r="E27" t="s">
        <v>30</v>
      </c>
      <c r="F27">
        <v>58741</v>
      </c>
      <c r="G27">
        <v>168</v>
      </c>
      <c r="H27">
        <v>27418</v>
      </c>
      <c r="I27" s="11">
        <f>Table1[[#This Row],[Revenue (Crore ₹)]]/Table1[[#This Row],[Doctors / Staff]]</f>
        <v>163.20238095238096</v>
      </c>
      <c r="J27">
        <v>3.64</v>
      </c>
      <c r="K27">
        <v>17154</v>
      </c>
      <c r="L27">
        <v>14.5</v>
      </c>
      <c r="M27">
        <v>47578</v>
      </c>
      <c r="N27">
        <v>-20160</v>
      </c>
      <c r="O27">
        <v>2</v>
      </c>
      <c r="P27">
        <v>93</v>
      </c>
    </row>
    <row r="28" spans="1:16" x14ac:dyDescent="0.3">
      <c r="A28">
        <v>2020</v>
      </c>
      <c r="B28" t="s">
        <v>34</v>
      </c>
      <c r="C28" t="s">
        <v>22</v>
      </c>
      <c r="D28" t="s">
        <v>17</v>
      </c>
      <c r="E28" t="s">
        <v>43</v>
      </c>
      <c r="F28">
        <v>50714</v>
      </c>
      <c r="G28">
        <v>1200</v>
      </c>
      <c r="H28">
        <v>125216</v>
      </c>
      <c r="I28" s="11">
        <f>Table1[[#This Row],[Revenue (Crore ₹)]]/Table1[[#This Row],[Doctors / Staff]]</f>
        <v>104.34666666666666</v>
      </c>
      <c r="J28">
        <v>15.7</v>
      </c>
      <c r="K28">
        <v>17152</v>
      </c>
      <c r="L28">
        <v>9.6999999999999993</v>
      </c>
      <c r="M28">
        <v>19099</v>
      </c>
      <c r="N28">
        <v>106117</v>
      </c>
      <c r="O28">
        <v>8</v>
      </c>
      <c r="P28">
        <v>100</v>
      </c>
    </row>
    <row r="29" spans="1:16" x14ac:dyDescent="0.3">
      <c r="A29">
        <v>2024</v>
      </c>
      <c r="B29" t="s">
        <v>33</v>
      </c>
      <c r="C29" t="s">
        <v>29</v>
      </c>
      <c r="D29" t="s">
        <v>17</v>
      </c>
      <c r="E29" t="s">
        <v>31</v>
      </c>
      <c r="F29">
        <v>89464</v>
      </c>
      <c r="G29">
        <v>1256</v>
      </c>
      <c r="H29">
        <v>158038</v>
      </c>
      <c r="I29" s="11">
        <f>Table1[[#This Row],[Revenue (Crore ₹)]]/Table1[[#This Row],[Doctors / Staff]]</f>
        <v>125.82643312101911</v>
      </c>
      <c r="J29">
        <v>7.24</v>
      </c>
      <c r="K29">
        <v>14767</v>
      </c>
      <c r="L29">
        <v>9.93</v>
      </c>
      <c r="M29">
        <v>23810</v>
      </c>
      <c r="N29">
        <v>134228</v>
      </c>
      <c r="O29">
        <v>16</v>
      </c>
      <c r="P29">
        <v>87</v>
      </c>
    </row>
    <row r="30" spans="1:16" x14ac:dyDescent="0.3">
      <c r="A30">
        <v>2022</v>
      </c>
      <c r="B30" t="s">
        <v>36</v>
      </c>
      <c r="C30" t="s">
        <v>35</v>
      </c>
      <c r="D30" t="s">
        <v>17</v>
      </c>
      <c r="E30" t="s">
        <v>31</v>
      </c>
      <c r="F30">
        <v>46814</v>
      </c>
      <c r="G30">
        <v>329</v>
      </c>
      <c r="H30">
        <v>127206</v>
      </c>
      <c r="I30" s="11">
        <f>Table1[[#This Row],[Revenue (Crore ₹)]]/Table1[[#This Row],[Doctors / Staff]]</f>
        <v>386.64437689969606</v>
      </c>
      <c r="J30">
        <v>23.39</v>
      </c>
      <c r="K30">
        <v>873</v>
      </c>
      <c r="L30">
        <v>13.45</v>
      </c>
      <c r="M30">
        <v>17683</v>
      </c>
      <c r="N30">
        <v>109523</v>
      </c>
      <c r="O30">
        <v>17</v>
      </c>
      <c r="P30">
        <v>75</v>
      </c>
    </row>
    <row r="31" spans="1:16" x14ac:dyDescent="0.3">
      <c r="A31">
        <v>2024</v>
      </c>
      <c r="B31" t="s">
        <v>15</v>
      </c>
      <c r="C31" t="s">
        <v>44</v>
      </c>
      <c r="D31" t="s">
        <v>28</v>
      </c>
      <c r="E31" t="s">
        <v>38</v>
      </c>
      <c r="F31">
        <v>72592</v>
      </c>
      <c r="G31">
        <v>3052</v>
      </c>
      <c r="H31">
        <v>1450</v>
      </c>
      <c r="I31" s="11">
        <f>Table1[[#This Row],[Revenue (Crore ₹)]]/Table1[[#This Row],[Doctors / Staff]]</f>
        <v>0.47509829619921362</v>
      </c>
      <c r="J31">
        <v>20.89</v>
      </c>
      <c r="K31">
        <v>15151</v>
      </c>
      <c r="L31">
        <v>2.67</v>
      </c>
      <c r="M31">
        <v>48142</v>
      </c>
      <c r="N31">
        <v>-46692</v>
      </c>
      <c r="O31">
        <v>1</v>
      </c>
      <c r="P31">
        <v>90</v>
      </c>
    </row>
    <row r="32" spans="1:16" x14ac:dyDescent="0.3">
      <c r="A32">
        <v>2022</v>
      </c>
      <c r="B32" t="s">
        <v>15</v>
      </c>
      <c r="C32" t="s">
        <v>37</v>
      </c>
      <c r="D32" t="s">
        <v>17</v>
      </c>
      <c r="E32" t="s">
        <v>30</v>
      </c>
      <c r="F32">
        <v>45701</v>
      </c>
      <c r="G32">
        <v>1897</v>
      </c>
      <c r="H32">
        <v>115043</v>
      </c>
      <c r="I32" s="11">
        <f>Table1[[#This Row],[Revenue (Crore ₹)]]/Table1[[#This Row],[Doctors / Staff]]</f>
        <v>60.644702161307329</v>
      </c>
      <c r="J32">
        <v>9.9700000000000006</v>
      </c>
      <c r="K32">
        <v>17641</v>
      </c>
      <c r="L32">
        <v>4.5599999999999996</v>
      </c>
      <c r="M32">
        <v>47660</v>
      </c>
      <c r="N32">
        <v>67383</v>
      </c>
      <c r="O32">
        <v>11</v>
      </c>
      <c r="P32">
        <v>71</v>
      </c>
    </row>
    <row r="33" spans="1:16" x14ac:dyDescent="0.3">
      <c r="A33">
        <v>2024</v>
      </c>
      <c r="B33" t="s">
        <v>39</v>
      </c>
      <c r="C33" t="s">
        <v>42</v>
      </c>
      <c r="D33" t="s">
        <v>28</v>
      </c>
      <c r="E33" t="s">
        <v>30</v>
      </c>
      <c r="F33">
        <v>83830</v>
      </c>
      <c r="G33">
        <v>208</v>
      </c>
      <c r="H33">
        <v>93596</v>
      </c>
      <c r="I33" s="11">
        <f>Table1[[#This Row],[Revenue (Crore ₹)]]/Table1[[#This Row],[Doctors / Staff]]</f>
        <v>449.98076923076923</v>
      </c>
      <c r="J33">
        <v>7.59</v>
      </c>
      <c r="K33">
        <v>3087</v>
      </c>
      <c r="L33">
        <v>8.7799999999999994</v>
      </c>
      <c r="M33">
        <v>7914</v>
      </c>
      <c r="N33">
        <v>85682</v>
      </c>
      <c r="O33">
        <v>5</v>
      </c>
      <c r="P33">
        <v>99</v>
      </c>
    </row>
    <row r="34" spans="1:16" x14ac:dyDescent="0.3">
      <c r="A34">
        <v>2024</v>
      </c>
      <c r="B34" t="s">
        <v>21</v>
      </c>
      <c r="C34" t="s">
        <v>16</v>
      </c>
      <c r="D34" t="s">
        <v>17</v>
      </c>
      <c r="E34" t="s">
        <v>23</v>
      </c>
      <c r="F34">
        <v>98038</v>
      </c>
      <c r="G34">
        <v>889</v>
      </c>
      <c r="H34">
        <v>140565</v>
      </c>
      <c r="I34" s="11">
        <f>Table1[[#This Row],[Revenue (Crore ₹)]]/Table1[[#This Row],[Doctors / Staff]]</f>
        <v>158.11586051743532</v>
      </c>
      <c r="J34">
        <v>8.44</v>
      </c>
      <c r="K34">
        <v>11884</v>
      </c>
      <c r="L34">
        <v>8.4</v>
      </c>
      <c r="M34">
        <v>4907</v>
      </c>
      <c r="N34">
        <v>135658</v>
      </c>
      <c r="O34">
        <v>8</v>
      </c>
      <c r="P34">
        <v>86</v>
      </c>
    </row>
    <row r="35" spans="1:16" x14ac:dyDescent="0.3">
      <c r="A35">
        <v>2022</v>
      </c>
      <c r="B35" t="s">
        <v>36</v>
      </c>
      <c r="C35" t="s">
        <v>37</v>
      </c>
      <c r="D35" t="s">
        <v>17</v>
      </c>
      <c r="E35" t="s">
        <v>31</v>
      </c>
      <c r="F35">
        <v>66815</v>
      </c>
      <c r="G35">
        <v>3526</v>
      </c>
      <c r="H35">
        <v>129508</v>
      </c>
      <c r="I35" s="11">
        <f>Table1[[#This Row],[Revenue (Crore ₹)]]/Table1[[#This Row],[Doctors / Staff]]</f>
        <v>36.72943845717527</v>
      </c>
      <c r="J35">
        <v>10.79</v>
      </c>
      <c r="K35">
        <v>6863</v>
      </c>
      <c r="L35">
        <v>12.9</v>
      </c>
      <c r="M35">
        <v>27644</v>
      </c>
      <c r="N35">
        <v>101864</v>
      </c>
      <c r="O35">
        <v>7</v>
      </c>
      <c r="P35">
        <v>92</v>
      </c>
    </row>
    <row r="36" spans="1:16" x14ac:dyDescent="0.3">
      <c r="A36">
        <v>2020</v>
      </c>
      <c r="B36" t="s">
        <v>34</v>
      </c>
      <c r="C36" t="s">
        <v>27</v>
      </c>
      <c r="D36" t="s">
        <v>28</v>
      </c>
      <c r="E36" t="s">
        <v>31</v>
      </c>
      <c r="F36">
        <v>90045</v>
      </c>
      <c r="G36">
        <v>697</v>
      </c>
      <c r="H36">
        <v>128987</v>
      </c>
      <c r="I36" s="11">
        <f>Table1[[#This Row],[Revenue (Crore ₹)]]/Table1[[#This Row],[Doctors / Staff]]</f>
        <v>185.06025824964132</v>
      </c>
      <c r="J36">
        <v>7.12</v>
      </c>
      <c r="K36">
        <v>14459</v>
      </c>
      <c r="L36">
        <v>10.91</v>
      </c>
      <c r="M36">
        <v>45052</v>
      </c>
      <c r="N36">
        <v>83935</v>
      </c>
      <c r="O36">
        <v>0</v>
      </c>
      <c r="P36">
        <v>72</v>
      </c>
    </row>
    <row r="37" spans="1:16" x14ac:dyDescent="0.3">
      <c r="A37">
        <v>2020</v>
      </c>
      <c r="B37" t="s">
        <v>36</v>
      </c>
      <c r="C37" t="s">
        <v>32</v>
      </c>
      <c r="D37" t="s">
        <v>17</v>
      </c>
      <c r="E37" t="s">
        <v>26</v>
      </c>
      <c r="F37">
        <v>1475</v>
      </c>
      <c r="G37">
        <v>4234</v>
      </c>
      <c r="H37">
        <v>114224</v>
      </c>
      <c r="I37" s="11">
        <f>Table1[[#This Row],[Revenue (Crore ₹)]]/Table1[[#This Row],[Doctors / Staff]]</f>
        <v>26.977798771846953</v>
      </c>
      <c r="J37">
        <v>11.84</v>
      </c>
      <c r="K37">
        <v>9019</v>
      </c>
      <c r="L37">
        <v>12.47</v>
      </c>
      <c r="M37">
        <v>15594</v>
      </c>
      <c r="N37">
        <v>98630</v>
      </c>
      <c r="O37">
        <v>3</v>
      </c>
      <c r="P37">
        <v>79</v>
      </c>
    </row>
    <row r="38" spans="1:16" x14ac:dyDescent="0.3">
      <c r="A38">
        <v>2024</v>
      </c>
      <c r="B38" t="s">
        <v>39</v>
      </c>
      <c r="C38" t="s">
        <v>44</v>
      </c>
      <c r="D38" t="s">
        <v>28</v>
      </c>
      <c r="E38" t="s">
        <v>23</v>
      </c>
      <c r="F38">
        <v>29429</v>
      </c>
      <c r="G38">
        <v>4741</v>
      </c>
      <c r="H38">
        <v>177041</v>
      </c>
      <c r="I38" s="11">
        <f>Table1[[#This Row],[Revenue (Crore ₹)]]/Table1[[#This Row],[Doctors / Staff]]</f>
        <v>37.342543767137734</v>
      </c>
      <c r="J38">
        <v>6.56</v>
      </c>
      <c r="K38">
        <v>1304</v>
      </c>
      <c r="L38">
        <v>7.2</v>
      </c>
      <c r="M38">
        <v>175</v>
      </c>
      <c r="N38">
        <v>176866</v>
      </c>
      <c r="O38">
        <v>20</v>
      </c>
      <c r="P38">
        <v>79</v>
      </c>
    </row>
    <row r="39" spans="1:16" x14ac:dyDescent="0.3">
      <c r="A39">
        <v>2020</v>
      </c>
      <c r="B39" t="s">
        <v>19</v>
      </c>
      <c r="C39" t="s">
        <v>40</v>
      </c>
      <c r="D39" t="s">
        <v>28</v>
      </c>
      <c r="E39" t="s">
        <v>31</v>
      </c>
      <c r="F39">
        <v>91156</v>
      </c>
      <c r="G39">
        <v>2150</v>
      </c>
      <c r="H39">
        <v>29255</v>
      </c>
      <c r="I39" s="11">
        <f>Table1[[#This Row],[Revenue (Crore ₹)]]/Table1[[#This Row],[Doctors / Staff]]</f>
        <v>13.606976744186046</v>
      </c>
      <c r="J39">
        <v>18.52</v>
      </c>
      <c r="K39">
        <v>11094</v>
      </c>
      <c r="L39">
        <v>5.7</v>
      </c>
      <c r="M39">
        <v>5121</v>
      </c>
      <c r="N39">
        <v>24134</v>
      </c>
      <c r="O39">
        <v>11</v>
      </c>
      <c r="P39">
        <v>87</v>
      </c>
    </row>
    <row r="40" spans="1:16" x14ac:dyDescent="0.3">
      <c r="A40">
        <v>2021</v>
      </c>
      <c r="B40" t="s">
        <v>24</v>
      </c>
      <c r="C40" t="s">
        <v>25</v>
      </c>
      <c r="D40" t="s">
        <v>17</v>
      </c>
      <c r="E40" t="s">
        <v>23</v>
      </c>
      <c r="F40">
        <v>30938</v>
      </c>
      <c r="G40">
        <v>3883</v>
      </c>
      <c r="H40">
        <v>136973</v>
      </c>
      <c r="I40" s="11">
        <f>Table1[[#This Row],[Revenue (Crore ₹)]]/Table1[[#This Row],[Doctors / Staff]]</f>
        <v>35.2750450682462</v>
      </c>
      <c r="J40">
        <v>7.99</v>
      </c>
      <c r="K40">
        <v>11280</v>
      </c>
      <c r="L40">
        <v>14.27</v>
      </c>
      <c r="M40">
        <v>25563</v>
      </c>
      <c r="N40">
        <v>111410</v>
      </c>
      <c r="O40">
        <v>9</v>
      </c>
      <c r="P40">
        <v>94</v>
      </c>
    </row>
    <row r="41" spans="1:16" x14ac:dyDescent="0.3">
      <c r="A41">
        <v>2021</v>
      </c>
      <c r="B41" t="s">
        <v>15</v>
      </c>
      <c r="C41" t="s">
        <v>40</v>
      </c>
      <c r="D41" t="s">
        <v>28</v>
      </c>
      <c r="E41" t="s">
        <v>41</v>
      </c>
      <c r="F41">
        <v>96403</v>
      </c>
      <c r="G41">
        <v>4669</v>
      </c>
      <c r="H41">
        <v>2450</v>
      </c>
      <c r="I41" s="11">
        <f>Table1[[#This Row],[Revenue (Crore ₹)]]/Table1[[#This Row],[Doctors / Staff]]</f>
        <v>0.52473763118440775</v>
      </c>
      <c r="J41">
        <v>4.41</v>
      </c>
      <c r="K41">
        <v>14940</v>
      </c>
      <c r="L41">
        <v>14.91</v>
      </c>
      <c r="M41">
        <v>8031</v>
      </c>
      <c r="N41">
        <v>-5581</v>
      </c>
      <c r="O41">
        <v>17</v>
      </c>
      <c r="P41">
        <v>79</v>
      </c>
    </row>
    <row r="42" spans="1:16" x14ac:dyDescent="0.3">
      <c r="A42">
        <v>2025</v>
      </c>
      <c r="B42" t="s">
        <v>34</v>
      </c>
      <c r="C42" t="s">
        <v>22</v>
      </c>
      <c r="D42" t="s">
        <v>17</v>
      </c>
      <c r="E42" t="s">
        <v>26</v>
      </c>
      <c r="F42">
        <v>90610</v>
      </c>
      <c r="G42">
        <v>953</v>
      </c>
      <c r="H42">
        <v>28465</v>
      </c>
      <c r="I42" s="11">
        <f>Table1[[#This Row],[Revenue (Crore ₹)]]/Table1[[#This Row],[Doctors / Staff]]</f>
        <v>29.868835257082896</v>
      </c>
      <c r="J42">
        <v>14.8</v>
      </c>
      <c r="K42">
        <v>12720</v>
      </c>
      <c r="L42">
        <v>6.12</v>
      </c>
      <c r="M42">
        <v>49601</v>
      </c>
      <c r="N42">
        <v>-21136</v>
      </c>
      <c r="O42">
        <v>13</v>
      </c>
      <c r="P42">
        <v>95</v>
      </c>
    </row>
    <row r="43" spans="1:16" x14ac:dyDescent="0.3">
      <c r="A43">
        <v>2023</v>
      </c>
      <c r="B43" t="s">
        <v>24</v>
      </c>
      <c r="C43" t="s">
        <v>20</v>
      </c>
      <c r="D43" t="s">
        <v>17</v>
      </c>
      <c r="E43" t="s">
        <v>23</v>
      </c>
      <c r="F43">
        <v>84940</v>
      </c>
      <c r="G43">
        <v>4382</v>
      </c>
      <c r="H43">
        <v>173769</v>
      </c>
      <c r="I43" s="11">
        <f>Table1[[#This Row],[Revenue (Crore ₹)]]/Table1[[#This Row],[Doctors / Staff]]</f>
        <v>39.655180282975813</v>
      </c>
      <c r="J43">
        <v>23.35</v>
      </c>
      <c r="K43">
        <v>2135</v>
      </c>
      <c r="L43">
        <v>10.17</v>
      </c>
      <c r="M43">
        <v>40280</v>
      </c>
      <c r="N43">
        <v>133489</v>
      </c>
      <c r="O43">
        <v>16</v>
      </c>
      <c r="P43">
        <v>77</v>
      </c>
    </row>
    <row r="44" spans="1:16" x14ac:dyDescent="0.3">
      <c r="A44">
        <v>2021</v>
      </c>
      <c r="B44" t="s">
        <v>33</v>
      </c>
      <c r="C44" t="s">
        <v>27</v>
      </c>
      <c r="D44" t="s">
        <v>28</v>
      </c>
      <c r="E44" t="s">
        <v>38</v>
      </c>
      <c r="F44">
        <v>27985</v>
      </c>
      <c r="G44">
        <v>2929</v>
      </c>
      <c r="H44">
        <v>79358</v>
      </c>
      <c r="I44" s="11">
        <f>Table1[[#This Row],[Revenue (Crore ₹)]]/Table1[[#This Row],[Doctors / Staff]]</f>
        <v>27.093888699214748</v>
      </c>
      <c r="J44">
        <v>3.62</v>
      </c>
      <c r="K44">
        <v>10607</v>
      </c>
      <c r="L44">
        <v>12</v>
      </c>
      <c r="M44">
        <v>4393</v>
      </c>
      <c r="N44">
        <v>74965</v>
      </c>
      <c r="O44">
        <v>12</v>
      </c>
      <c r="P44">
        <v>84</v>
      </c>
    </row>
    <row r="45" spans="1:16" x14ac:dyDescent="0.3">
      <c r="A45">
        <v>2024</v>
      </c>
      <c r="B45" t="s">
        <v>34</v>
      </c>
      <c r="C45" t="s">
        <v>40</v>
      </c>
      <c r="D45" t="s">
        <v>28</v>
      </c>
      <c r="E45" t="s">
        <v>26</v>
      </c>
      <c r="F45">
        <v>60924</v>
      </c>
      <c r="G45">
        <v>1051</v>
      </c>
      <c r="H45">
        <v>157536</v>
      </c>
      <c r="I45" s="11">
        <f>Table1[[#This Row],[Revenue (Crore ₹)]]/Table1[[#This Row],[Doctors / Staff]]</f>
        <v>149.89153187440533</v>
      </c>
      <c r="J45">
        <v>16.91</v>
      </c>
      <c r="K45">
        <v>1221</v>
      </c>
      <c r="L45">
        <v>4.5</v>
      </c>
      <c r="M45">
        <v>44568</v>
      </c>
      <c r="N45">
        <v>112968</v>
      </c>
      <c r="O45">
        <v>17</v>
      </c>
      <c r="P45">
        <v>78</v>
      </c>
    </row>
    <row r="46" spans="1:16" x14ac:dyDescent="0.3">
      <c r="A46">
        <v>2021</v>
      </c>
      <c r="B46" t="s">
        <v>21</v>
      </c>
      <c r="C46" t="s">
        <v>40</v>
      </c>
      <c r="D46" t="s">
        <v>28</v>
      </c>
      <c r="E46" t="s">
        <v>31</v>
      </c>
      <c r="F46">
        <v>53405</v>
      </c>
      <c r="G46">
        <v>113</v>
      </c>
      <c r="H46">
        <v>93389</v>
      </c>
      <c r="I46" s="11">
        <f>Table1[[#This Row],[Revenue (Crore ₹)]]/Table1[[#This Row],[Doctors / Staff]]</f>
        <v>826.45132743362831</v>
      </c>
      <c r="J46">
        <v>7.08</v>
      </c>
      <c r="K46">
        <v>1003</v>
      </c>
      <c r="L46">
        <v>10.08</v>
      </c>
      <c r="M46">
        <v>39574</v>
      </c>
      <c r="N46">
        <v>53815</v>
      </c>
      <c r="O46">
        <v>8</v>
      </c>
      <c r="P46">
        <v>71</v>
      </c>
    </row>
    <row r="47" spans="1:16" x14ac:dyDescent="0.3">
      <c r="A47">
        <v>2020</v>
      </c>
      <c r="B47" t="s">
        <v>34</v>
      </c>
      <c r="C47" t="s">
        <v>20</v>
      </c>
      <c r="D47" t="s">
        <v>17</v>
      </c>
      <c r="E47" t="s">
        <v>18</v>
      </c>
      <c r="F47">
        <v>21427</v>
      </c>
      <c r="G47">
        <v>1276</v>
      </c>
      <c r="H47">
        <v>84813</v>
      </c>
      <c r="I47" s="11">
        <f>Table1[[#This Row],[Revenue (Crore ₹)]]/Table1[[#This Row],[Doctors / Staff]]</f>
        <v>66.467868338557992</v>
      </c>
      <c r="J47">
        <v>14.83</v>
      </c>
      <c r="K47">
        <v>15365</v>
      </c>
      <c r="L47">
        <v>1.88</v>
      </c>
      <c r="M47">
        <v>14053</v>
      </c>
      <c r="N47">
        <v>70760</v>
      </c>
      <c r="O47">
        <v>20</v>
      </c>
      <c r="P47">
        <v>99</v>
      </c>
    </row>
    <row r="48" spans="1:16" x14ac:dyDescent="0.3">
      <c r="A48">
        <v>2021</v>
      </c>
      <c r="B48" t="s">
        <v>36</v>
      </c>
      <c r="C48" t="s">
        <v>42</v>
      </c>
      <c r="D48" t="s">
        <v>28</v>
      </c>
      <c r="E48" t="s">
        <v>26</v>
      </c>
      <c r="F48">
        <v>21923</v>
      </c>
      <c r="G48">
        <v>4382</v>
      </c>
      <c r="H48">
        <v>180196</v>
      </c>
      <c r="I48" s="11">
        <f>Table1[[#This Row],[Revenue (Crore ₹)]]/Table1[[#This Row],[Doctors / Staff]]</f>
        <v>41.121862163395711</v>
      </c>
      <c r="J48">
        <v>5.73</v>
      </c>
      <c r="K48">
        <v>16586</v>
      </c>
      <c r="L48">
        <v>11.8</v>
      </c>
      <c r="M48">
        <v>40388</v>
      </c>
      <c r="N48">
        <v>139808</v>
      </c>
      <c r="O48">
        <v>12</v>
      </c>
      <c r="P48">
        <v>83</v>
      </c>
    </row>
    <row r="49" spans="1:16" x14ac:dyDescent="0.3">
      <c r="A49">
        <v>2020</v>
      </c>
      <c r="B49" t="s">
        <v>36</v>
      </c>
      <c r="C49" t="s">
        <v>37</v>
      </c>
      <c r="D49" t="s">
        <v>17</v>
      </c>
      <c r="E49" t="s">
        <v>23</v>
      </c>
      <c r="F49">
        <v>81041</v>
      </c>
      <c r="G49">
        <v>1948</v>
      </c>
      <c r="H49">
        <v>102125</v>
      </c>
      <c r="I49" s="11">
        <f>Table1[[#This Row],[Revenue (Crore ₹)]]/Table1[[#This Row],[Doctors / Staff]]</f>
        <v>52.425564681724843</v>
      </c>
      <c r="J49">
        <v>23.32</v>
      </c>
      <c r="K49">
        <v>3639</v>
      </c>
      <c r="L49">
        <v>2.98</v>
      </c>
      <c r="M49">
        <v>28307</v>
      </c>
      <c r="N49">
        <v>73818</v>
      </c>
      <c r="O49">
        <v>14</v>
      </c>
      <c r="P49">
        <v>79</v>
      </c>
    </row>
    <row r="50" spans="1:16" x14ac:dyDescent="0.3">
      <c r="A50">
        <v>2024</v>
      </c>
      <c r="B50" t="s">
        <v>19</v>
      </c>
      <c r="C50" t="s">
        <v>29</v>
      </c>
      <c r="D50" t="s">
        <v>17</v>
      </c>
      <c r="E50" t="s">
        <v>41</v>
      </c>
      <c r="F50">
        <v>35239</v>
      </c>
      <c r="G50">
        <v>1164</v>
      </c>
      <c r="H50">
        <v>82502</v>
      </c>
      <c r="I50" s="11">
        <f>Table1[[#This Row],[Revenue (Crore ₹)]]/Table1[[#This Row],[Doctors / Staff]]</f>
        <v>70.878006872852239</v>
      </c>
      <c r="J50">
        <v>7.7</v>
      </c>
      <c r="K50">
        <v>4608</v>
      </c>
      <c r="L50">
        <v>10.199999999999999</v>
      </c>
      <c r="M50">
        <v>46417</v>
      </c>
      <c r="N50">
        <v>36085</v>
      </c>
      <c r="O50">
        <v>14</v>
      </c>
      <c r="P50">
        <v>86</v>
      </c>
    </row>
    <row r="51" spans="1:16" x14ac:dyDescent="0.3">
      <c r="A51">
        <v>2021</v>
      </c>
      <c r="B51" t="s">
        <v>24</v>
      </c>
      <c r="C51" t="s">
        <v>25</v>
      </c>
      <c r="D51" t="s">
        <v>17</v>
      </c>
      <c r="E51" t="s">
        <v>30</v>
      </c>
      <c r="F51">
        <v>66236</v>
      </c>
      <c r="G51">
        <v>4660</v>
      </c>
      <c r="H51">
        <v>150923</v>
      </c>
      <c r="I51" s="11">
        <f>Table1[[#This Row],[Revenue (Crore ₹)]]/Table1[[#This Row],[Doctors / Staff]]</f>
        <v>32.386909871244633</v>
      </c>
      <c r="J51">
        <v>14.19</v>
      </c>
      <c r="K51">
        <v>18067</v>
      </c>
      <c r="L51">
        <v>2.93</v>
      </c>
      <c r="M51">
        <v>49508</v>
      </c>
      <c r="N51">
        <v>101415</v>
      </c>
      <c r="O51">
        <v>10</v>
      </c>
      <c r="P51">
        <v>74</v>
      </c>
    </row>
    <row r="52" spans="1:16" x14ac:dyDescent="0.3">
      <c r="A52">
        <v>2023</v>
      </c>
      <c r="B52" t="s">
        <v>36</v>
      </c>
      <c r="C52" t="s">
        <v>37</v>
      </c>
      <c r="D52" t="s">
        <v>17</v>
      </c>
      <c r="E52" t="s">
        <v>41</v>
      </c>
      <c r="F52">
        <v>17322</v>
      </c>
      <c r="G52">
        <v>2862</v>
      </c>
      <c r="H52">
        <v>26966</v>
      </c>
      <c r="I52" s="11">
        <f>Table1[[#This Row],[Revenue (Crore ₹)]]/Table1[[#This Row],[Doctors / Staff]]</f>
        <v>9.4220824598183093</v>
      </c>
      <c r="J52">
        <v>8.57</v>
      </c>
      <c r="K52">
        <v>9416</v>
      </c>
      <c r="L52">
        <v>9.41</v>
      </c>
      <c r="M52">
        <v>48573</v>
      </c>
      <c r="N52">
        <v>-21607</v>
      </c>
      <c r="O52">
        <v>19</v>
      </c>
      <c r="P52">
        <v>84</v>
      </c>
    </row>
    <row r="53" spans="1:16" x14ac:dyDescent="0.3">
      <c r="A53">
        <v>2020</v>
      </c>
      <c r="B53" t="s">
        <v>24</v>
      </c>
      <c r="C53" t="s">
        <v>25</v>
      </c>
      <c r="D53" t="s">
        <v>17</v>
      </c>
      <c r="E53" t="s">
        <v>43</v>
      </c>
      <c r="F53">
        <v>27700</v>
      </c>
      <c r="G53">
        <v>1858</v>
      </c>
      <c r="H53">
        <v>41679</v>
      </c>
      <c r="I53" s="11">
        <f>Table1[[#This Row],[Revenue (Crore ₹)]]/Table1[[#This Row],[Doctors / Staff]]</f>
        <v>22.432185145317547</v>
      </c>
      <c r="J53">
        <v>13.24</v>
      </c>
      <c r="K53">
        <v>16585</v>
      </c>
      <c r="L53">
        <v>7.03</v>
      </c>
      <c r="M53">
        <v>25178</v>
      </c>
      <c r="N53">
        <v>16501</v>
      </c>
      <c r="O53">
        <v>5</v>
      </c>
      <c r="P53">
        <v>94</v>
      </c>
    </row>
    <row r="54" spans="1:16" x14ac:dyDescent="0.3">
      <c r="A54">
        <v>2021</v>
      </c>
      <c r="B54" t="s">
        <v>19</v>
      </c>
      <c r="C54" t="s">
        <v>29</v>
      </c>
      <c r="D54" t="s">
        <v>17</v>
      </c>
      <c r="E54" t="s">
        <v>18</v>
      </c>
      <c r="F54">
        <v>65177</v>
      </c>
      <c r="G54">
        <v>3087</v>
      </c>
      <c r="H54">
        <v>8805</v>
      </c>
      <c r="I54" s="11">
        <f>Table1[[#This Row],[Revenue (Crore ₹)]]/Table1[[#This Row],[Doctors / Staff]]</f>
        <v>2.8522837706511175</v>
      </c>
      <c r="J54">
        <v>22.21</v>
      </c>
      <c r="K54">
        <v>6696</v>
      </c>
      <c r="L54">
        <v>6.8</v>
      </c>
      <c r="M54">
        <v>27227</v>
      </c>
      <c r="N54">
        <v>-18422</v>
      </c>
      <c r="O54">
        <v>10</v>
      </c>
      <c r="P54">
        <v>79</v>
      </c>
    </row>
    <row r="55" spans="1:16" x14ac:dyDescent="0.3">
      <c r="A55">
        <v>2021</v>
      </c>
      <c r="B55" t="s">
        <v>24</v>
      </c>
      <c r="C55" t="s">
        <v>22</v>
      </c>
      <c r="D55" t="s">
        <v>17</v>
      </c>
      <c r="E55" t="s">
        <v>43</v>
      </c>
      <c r="F55">
        <v>42860</v>
      </c>
      <c r="G55">
        <v>491</v>
      </c>
      <c r="H55">
        <v>30215</v>
      </c>
      <c r="I55" s="11">
        <f>Table1[[#This Row],[Revenue (Crore ₹)]]/Table1[[#This Row],[Doctors / Staff]]</f>
        <v>61.537678207739305</v>
      </c>
      <c r="J55">
        <v>20.18</v>
      </c>
      <c r="K55">
        <v>138</v>
      </c>
      <c r="L55">
        <v>9.09</v>
      </c>
      <c r="M55">
        <v>8706</v>
      </c>
      <c r="N55">
        <v>21509</v>
      </c>
      <c r="O55">
        <v>15</v>
      </c>
      <c r="P55">
        <v>84</v>
      </c>
    </row>
    <row r="56" spans="1:16" x14ac:dyDescent="0.3">
      <c r="A56">
        <v>2023</v>
      </c>
      <c r="B56" t="s">
        <v>19</v>
      </c>
      <c r="C56" t="s">
        <v>16</v>
      </c>
      <c r="D56" t="s">
        <v>17</v>
      </c>
      <c r="E56" t="s">
        <v>30</v>
      </c>
      <c r="F56">
        <v>10256</v>
      </c>
      <c r="G56">
        <v>1639</v>
      </c>
      <c r="H56">
        <v>180978</v>
      </c>
      <c r="I56" s="11">
        <f>Table1[[#This Row],[Revenue (Crore ₹)]]/Table1[[#This Row],[Doctors / Staff]]</f>
        <v>110.41976815131177</v>
      </c>
      <c r="J56">
        <v>14.84</v>
      </c>
      <c r="K56">
        <v>776</v>
      </c>
      <c r="L56">
        <v>9.7100000000000009</v>
      </c>
      <c r="M56">
        <v>19260</v>
      </c>
      <c r="N56">
        <v>161718</v>
      </c>
      <c r="O56">
        <v>8</v>
      </c>
      <c r="P56">
        <v>77</v>
      </c>
    </row>
    <row r="57" spans="1:16" x14ac:dyDescent="0.3">
      <c r="A57">
        <v>2022</v>
      </c>
      <c r="B57" t="s">
        <v>19</v>
      </c>
      <c r="C57" t="s">
        <v>16</v>
      </c>
      <c r="D57" t="s">
        <v>17</v>
      </c>
      <c r="E57" t="s">
        <v>38</v>
      </c>
      <c r="F57">
        <v>36115</v>
      </c>
      <c r="G57">
        <v>1576</v>
      </c>
      <c r="H57">
        <v>117080</v>
      </c>
      <c r="I57" s="11">
        <f>Table1[[#This Row],[Revenue (Crore ₹)]]/Table1[[#This Row],[Doctors / Staff]]</f>
        <v>74.289340101522839</v>
      </c>
      <c r="J57">
        <v>17.940000000000001</v>
      </c>
      <c r="K57">
        <v>9796</v>
      </c>
      <c r="L57">
        <v>8.6199999999999992</v>
      </c>
      <c r="M57">
        <v>26464</v>
      </c>
      <c r="N57">
        <v>90616</v>
      </c>
      <c r="O57">
        <v>2</v>
      </c>
      <c r="P57">
        <v>78</v>
      </c>
    </row>
    <row r="58" spans="1:16" x14ac:dyDescent="0.3">
      <c r="A58">
        <v>2022</v>
      </c>
      <c r="B58" t="s">
        <v>24</v>
      </c>
      <c r="C58" t="s">
        <v>42</v>
      </c>
      <c r="D58" t="s">
        <v>28</v>
      </c>
      <c r="E58" t="s">
        <v>23</v>
      </c>
      <c r="F58">
        <v>66038</v>
      </c>
      <c r="G58">
        <v>2710</v>
      </c>
      <c r="H58">
        <v>47722</v>
      </c>
      <c r="I58" s="11">
        <f>Table1[[#This Row],[Revenue (Crore ₹)]]/Table1[[#This Row],[Doctors / Staff]]</f>
        <v>17.60959409594096</v>
      </c>
      <c r="J58">
        <v>8.5500000000000007</v>
      </c>
      <c r="K58">
        <v>55</v>
      </c>
      <c r="L58">
        <v>9.0399999999999991</v>
      </c>
      <c r="M58">
        <v>34584</v>
      </c>
      <c r="N58">
        <v>13138</v>
      </c>
      <c r="O58">
        <v>3</v>
      </c>
      <c r="P58">
        <v>92</v>
      </c>
    </row>
    <row r="59" spans="1:16" x14ac:dyDescent="0.3">
      <c r="A59">
        <v>2022</v>
      </c>
      <c r="B59" t="s">
        <v>15</v>
      </c>
      <c r="C59" t="s">
        <v>22</v>
      </c>
      <c r="D59" t="s">
        <v>17</v>
      </c>
      <c r="E59" t="s">
        <v>31</v>
      </c>
      <c r="F59">
        <v>90699</v>
      </c>
      <c r="G59">
        <v>4089</v>
      </c>
      <c r="H59">
        <v>127509</v>
      </c>
      <c r="I59" s="11">
        <f>Table1[[#This Row],[Revenue (Crore ₹)]]/Table1[[#This Row],[Doctors / Staff]]</f>
        <v>31.183418928833454</v>
      </c>
      <c r="J59">
        <v>8.76</v>
      </c>
      <c r="K59">
        <v>2609</v>
      </c>
      <c r="L59">
        <v>8.5</v>
      </c>
      <c r="M59">
        <v>30151</v>
      </c>
      <c r="N59">
        <v>97358</v>
      </c>
      <c r="O59">
        <v>4</v>
      </c>
      <c r="P59">
        <v>80</v>
      </c>
    </row>
    <row r="60" spans="1:16" x14ac:dyDescent="0.3">
      <c r="A60">
        <v>2021</v>
      </c>
      <c r="B60" t="s">
        <v>21</v>
      </c>
      <c r="C60" t="s">
        <v>27</v>
      </c>
      <c r="D60" t="s">
        <v>28</v>
      </c>
      <c r="E60" t="s">
        <v>26</v>
      </c>
      <c r="F60">
        <v>50192</v>
      </c>
      <c r="G60">
        <v>4122</v>
      </c>
      <c r="H60">
        <v>137839</v>
      </c>
      <c r="I60" s="11">
        <f>Table1[[#This Row],[Revenue (Crore ₹)]]/Table1[[#This Row],[Doctors / Staff]]</f>
        <v>33.439835031538088</v>
      </c>
      <c r="J60">
        <v>10.72</v>
      </c>
      <c r="K60">
        <v>15552</v>
      </c>
      <c r="L60">
        <v>4.74</v>
      </c>
      <c r="M60">
        <v>43602</v>
      </c>
      <c r="N60">
        <v>94237</v>
      </c>
      <c r="O60">
        <v>2</v>
      </c>
      <c r="P60">
        <v>72</v>
      </c>
    </row>
    <row r="61" spans="1:16" x14ac:dyDescent="0.3">
      <c r="A61">
        <v>2021</v>
      </c>
      <c r="B61" t="s">
        <v>15</v>
      </c>
      <c r="C61" t="s">
        <v>40</v>
      </c>
      <c r="D61" t="s">
        <v>28</v>
      </c>
      <c r="E61" t="s">
        <v>43</v>
      </c>
      <c r="F61">
        <v>4804</v>
      </c>
      <c r="G61">
        <v>1258</v>
      </c>
      <c r="H61">
        <v>103333</v>
      </c>
      <c r="I61" s="11">
        <f>Table1[[#This Row],[Revenue (Crore ₹)]]/Table1[[#This Row],[Doctors / Staff]]</f>
        <v>82.140699523052461</v>
      </c>
      <c r="J61">
        <v>19.71</v>
      </c>
      <c r="K61">
        <v>1723</v>
      </c>
      <c r="L61">
        <v>1.19</v>
      </c>
      <c r="M61">
        <v>31627</v>
      </c>
      <c r="N61">
        <v>71706</v>
      </c>
      <c r="O61">
        <v>6</v>
      </c>
      <c r="P61">
        <v>86</v>
      </c>
    </row>
    <row r="62" spans="1:16" x14ac:dyDescent="0.3">
      <c r="A62">
        <v>2023</v>
      </c>
      <c r="B62" t="s">
        <v>34</v>
      </c>
      <c r="C62" t="s">
        <v>42</v>
      </c>
      <c r="D62" t="s">
        <v>28</v>
      </c>
      <c r="E62" t="s">
        <v>18</v>
      </c>
      <c r="F62">
        <v>57409</v>
      </c>
      <c r="G62">
        <v>3905</v>
      </c>
      <c r="H62">
        <v>138946</v>
      </c>
      <c r="I62" s="11">
        <f>Table1[[#This Row],[Revenue (Crore ₹)]]/Table1[[#This Row],[Doctors / Staff]]</f>
        <v>35.58156209987196</v>
      </c>
      <c r="J62">
        <v>9.1999999999999993</v>
      </c>
      <c r="K62">
        <v>13165</v>
      </c>
      <c r="L62">
        <v>2.37</v>
      </c>
      <c r="M62">
        <v>7660</v>
      </c>
      <c r="N62">
        <v>131286</v>
      </c>
      <c r="O62">
        <v>13</v>
      </c>
      <c r="P62">
        <v>82</v>
      </c>
    </row>
    <row r="63" spans="1:16" x14ac:dyDescent="0.3">
      <c r="A63">
        <v>2022</v>
      </c>
      <c r="B63" t="s">
        <v>34</v>
      </c>
      <c r="C63" t="s">
        <v>42</v>
      </c>
      <c r="D63" t="s">
        <v>28</v>
      </c>
      <c r="E63" t="s">
        <v>41</v>
      </c>
      <c r="F63">
        <v>49102</v>
      </c>
      <c r="G63">
        <v>3470</v>
      </c>
      <c r="H63">
        <v>68737</v>
      </c>
      <c r="I63" s="11">
        <f>Table1[[#This Row],[Revenue (Crore ₹)]]/Table1[[#This Row],[Doctors / Staff]]</f>
        <v>19.808933717579251</v>
      </c>
      <c r="J63">
        <v>21.68</v>
      </c>
      <c r="K63">
        <v>12289</v>
      </c>
      <c r="L63">
        <v>14.15</v>
      </c>
      <c r="M63">
        <v>15882</v>
      </c>
      <c r="N63">
        <v>52855</v>
      </c>
      <c r="O63">
        <v>11</v>
      </c>
      <c r="P63">
        <v>95</v>
      </c>
    </row>
    <row r="64" spans="1:16" x14ac:dyDescent="0.3">
      <c r="A64">
        <v>2023</v>
      </c>
      <c r="B64" t="s">
        <v>39</v>
      </c>
      <c r="C64" t="s">
        <v>37</v>
      </c>
      <c r="D64" t="s">
        <v>17</v>
      </c>
      <c r="E64" t="s">
        <v>18</v>
      </c>
      <c r="F64">
        <v>15118</v>
      </c>
      <c r="G64">
        <v>1558</v>
      </c>
      <c r="H64">
        <v>57805</v>
      </c>
      <c r="I64" s="11">
        <f>Table1[[#This Row],[Revenue (Crore ₹)]]/Table1[[#This Row],[Doctors / Staff]]</f>
        <v>37.102053915275995</v>
      </c>
      <c r="J64">
        <v>12</v>
      </c>
      <c r="K64">
        <v>484</v>
      </c>
      <c r="L64">
        <v>12.74</v>
      </c>
      <c r="M64">
        <v>10378</v>
      </c>
      <c r="N64">
        <v>47427</v>
      </c>
      <c r="O64">
        <v>9</v>
      </c>
      <c r="P64">
        <v>91</v>
      </c>
    </row>
    <row r="65" spans="1:16" x14ac:dyDescent="0.3">
      <c r="A65">
        <v>2022</v>
      </c>
      <c r="B65" t="s">
        <v>39</v>
      </c>
      <c r="C65" t="s">
        <v>40</v>
      </c>
      <c r="D65" t="s">
        <v>28</v>
      </c>
      <c r="E65" t="s">
        <v>41</v>
      </c>
      <c r="F65">
        <v>38061</v>
      </c>
      <c r="G65">
        <v>4016</v>
      </c>
      <c r="H65">
        <v>702</v>
      </c>
      <c r="I65" s="11">
        <f>Table1[[#This Row],[Revenue (Crore ₹)]]/Table1[[#This Row],[Doctors / Staff]]</f>
        <v>0.17480079681274902</v>
      </c>
      <c r="J65">
        <v>10.65</v>
      </c>
      <c r="K65">
        <v>12622</v>
      </c>
      <c r="L65">
        <v>5.13</v>
      </c>
      <c r="M65">
        <v>5707</v>
      </c>
      <c r="N65">
        <v>-5005</v>
      </c>
      <c r="O65">
        <v>6</v>
      </c>
      <c r="P65">
        <v>97</v>
      </c>
    </row>
    <row r="66" spans="1:16" x14ac:dyDescent="0.3">
      <c r="A66">
        <v>2023</v>
      </c>
      <c r="B66" t="s">
        <v>24</v>
      </c>
      <c r="C66" t="s">
        <v>22</v>
      </c>
      <c r="D66" t="s">
        <v>17</v>
      </c>
      <c r="E66" t="s">
        <v>31</v>
      </c>
      <c r="F66">
        <v>9176</v>
      </c>
      <c r="G66">
        <v>2114</v>
      </c>
      <c r="H66">
        <v>101496</v>
      </c>
      <c r="I66" s="11">
        <f>Table1[[#This Row],[Revenue (Crore ₹)]]/Table1[[#This Row],[Doctors / Staff]]</f>
        <v>48.011352885525071</v>
      </c>
      <c r="J66">
        <v>14.59</v>
      </c>
      <c r="K66">
        <v>10310</v>
      </c>
      <c r="L66">
        <v>5.07</v>
      </c>
      <c r="M66">
        <v>14409</v>
      </c>
      <c r="N66">
        <v>87087</v>
      </c>
      <c r="O66">
        <v>7</v>
      </c>
      <c r="P66">
        <v>70</v>
      </c>
    </row>
    <row r="67" spans="1:16" x14ac:dyDescent="0.3">
      <c r="A67">
        <v>2023</v>
      </c>
      <c r="B67" t="s">
        <v>34</v>
      </c>
      <c r="C67" t="s">
        <v>16</v>
      </c>
      <c r="D67" t="s">
        <v>17</v>
      </c>
      <c r="E67" t="s">
        <v>43</v>
      </c>
      <c r="F67">
        <v>85870</v>
      </c>
      <c r="G67">
        <v>4778</v>
      </c>
      <c r="H67">
        <v>53337</v>
      </c>
      <c r="I67" s="11">
        <f>Table1[[#This Row],[Revenue (Crore ₹)]]/Table1[[#This Row],[Doctors / Staff]]</f>
        <v>11.163038928421933</v>
      </c>
      <c r="J67">
        <v>18.809999999999999</v>
      </c>
      <c r="K67">
        <v>11458</v>
      </c>
      <c r="L67">
        <v>12.12</v>
      </c>
      <c r="M67">
        <v>3467</v>
      </c>
      <c r="N67">
        <v>49870</v>
      </c>
      <c r="O67">
        <v>13</v>
      </c>
      <c r="P67">
        <v>98</v>
      </c>
    </row>
    <row r="68" spans="1:16" x14ac:dyDescent="0.3">
      <c r="A68">
        <v>2021</v>
      </c>
      <c r="B68" t="s">
        <v>39</v>
      </c>
      <c r="C68" t="s">
        <v>20</v>
      </c>
      <c r="D68" t="s">
        <v>17</v>
      </c>
      <c r="E68" t="s">
        <v>18</v>
      </c>
      <c r="F68">
        <v>2226</v>
      </c>
      <c r="G68">
        <v>2673</v>
      </c>
      <c r="H68">
        <v>125287</v>
      </c>
      <c r="I68" s="11">
        <f>Table1[[#This Row],[Revenue (Crore ₹)]]/Table1[[#This Row],[Doctors / Staff]]</f>
        <v>46.871305649083425</v>
      </c>
      <c r="J68">
        <v>19.57</v>
      </c>
      <c r="K68">
        <v>15789</v>
      </c>
      <c r="L68">
        <v>1.18</v>
      </c>
      <c r="M68">
        <v>7993</v>
      </c>
      <c r="N68">
        <v>117294</v>
      </c>
      <c r="O68">
        <v>19</v>
      </c>
      <c r="P68">
        <v>76</v>
      </c>
    </row>
    <row r="69" spans="1:16" x14ac:dyDescent="0.3">
      <c r="A69">
        <v>2023</v>
      </c>
      <c r="B69" t="s">
        <v>19</v>
      </c>
      <c r="C69" t="s">
        <v>32</v>
      </c>
      <c r="D69" t="s">
        <v>17</v>
      </c>
      <c r="E69" t="s">
        <v>31</v>
      </c>
      <c r="F69">
        <v>74316</v>
      </c>
      <c r="G69">
        <v>1203</v>
      </c>
      <c r="H69">
        <v>38472</v>
      </c>
      <c r="I69" s="11">
        <f>Table1[[#This Row],[Revenue (Crore ₹)]]/Table1[[#This Row],[Doctors / Staff]]</f>
        <v>31.980049875311721</v>
      </c>
      <c r="J69">
        <v>20.03</v>
      </c>
      <c r="K69">
        <v>7916</v>
      </c>
      <c r="L69">
        <v>14.22</v>
      </c>
      <c r="M69">
        <v>38617</v>
      </c>
      <c r="N69">
        <v>-145</v>
      </c>
      <c r="O69">
        <v>14</v>
      </c>
      <c r="P69">
        <v>70</v>
      </c>
    </row>
    <row r="70" spans="1:16" x14ac:dyDescent="0.3">
      <c r="A70">
        <v>2024</v>
      </c>
      <c r="B70" t="s">
        <v>33</v>
      </c>
      <c r="C70" t="s">
        <v>44</v>
      </c>
      <c r="D70" t="s">
        <v>28</v>
      </c>
      <c r="E70" t="s">
        <v>41</v>
      </c>
      <c r="F70">
        <v>26151</v>
      </c>
      <c r="G70">
        <v>3082</v>
      </c>
      <c r="H70">
        <v>67039</v>
      </c>
      <c r="I70" s="11">
        <f>Table1[[#This Row],[Revenue (Crore ₹)]]/Table1[[#This Row],[Doctors / Staff]]</f>
        <v>21.751784555483454</v>
      </c>
      <c r="J70">
        <v>22.27</v>
      </c>
      <c r="K70">
        <v>1942</v>
      </c>
      <c r="L70">
        <v>11.22</v>
      </c>
      <c r="M70">
        <v>48488</v>
      </c>
      <c r="N70">
        <v>18551</v>
      </c>
      <c r="O70">
        <v>0</v>
      </c>
      <c r="P70">
        <v>75</v>
      </c>
    </row>
    <row r="71" spans="1:16" x14ac:dyDescent="0.3">
      <c r="A71">
        <v>2022</v>
      </c>
      <c r="B71" t="s">
        <v>19</v>
      </c>
      <c r="C71" t="s">
        <v>25</v>
      </c>
      <c r="D71" t="s">
        <v>17</v>
      </c>
      <c r="E71" t="s">
        <v>30</v>
      </c>
      <c r="F71">
        <v>89748</v>
      </c>
      <c r="G71">
        <v>4874</v>
      </c>
      <c r="H71">
        <v>141736</v>
      </c>
      <c r="I71" s="11">
        <f>Table1[[#This Row],[Revenue (Crore ₹)]]/Table1[[#This Row],[Doctors / Staff]]</f>
        <v>29.080016413623309</v>
      </c>
      <c r="J71">
        <v>24.08</v>
      </c>
      <c r="K71">
        <v>18174</v>
      </c>
      <c r="L71">
        <v>8.32</v>
      </c>
      <c r="M71">
        <v>20632</v>
      </c>
      <c r="N71">
        <v>121104</v>
      </c>
      <c r="O71">
        <v>0</v>
      </c>
      <c r="P71">
        <v>86</v>
      </c>
    </row>
    <row r="72" spans="1:16" x14ac:dyDescent="0.3">
      <c r="A72">
        <v>2024</v>
      </c>
      <c r="B72" t="s">
        <v>39</v>
      </c>
      <c r="C72" t="s">
        <v>27</v>
      </c>
      <c r="D72" t="s">
        <v>28</v>
      </c>
      <c r="E72" t="s">
        <v>41</v>
      </c>
      <c r="F72">
        <v>56883</v>
      </c>
      <c r="G72">
        <v>1584</v>
      </c>
      <c r="H72">
        <v>168769</v>
      </c>
      <c r="I72" s="11">
        <f>Table1[[#This Row],[Revenue (Crore ₹)]]/Table1[[#This Row],[Doctors / Staff]]</f>
        <v>106.54608585858585</v>
      </c>
      <c r="J72">
        <v>10.18</v>
      </c>
      <c r="K72">
        <v>18194</v>
      </c>
      <c r="L72">
        <v>4.4400000000000004</v>
      </c>
      <c r="M72">
        <v>33886</v>
      </c>
      <c r="N72">
        <v>134883</v>
      </c>
      <c r="O72">
        <v>18</v>
      </c>
      <c r="P72">
        <v>70</v>
      </c>
    </row>
    <row r="73" spans="1:16" x14ac:dyDescent="0.3">
      <c r="A73">
        <v>2020</v>
      </c>
      <c r="B73" t="s">
        <v>15</v>
      </c>
      <c r="C73" t="s">
        <v>35</v>
      </c>
      <c r="D73" t="s">
        <v>17</v>
      </c>
      <c r="E73" t="s">
        <v>43</v>
      </c>
      <c r="F73">
        <v>53763</v>
      </c>
      <c r="G73">
        <v>2538</v>
      </c>
      <c r="H73">
        <v>33080</v>
      </c>
      <c r="I73" s="11">
        <f>Table1[[#This Row],[Revenue (Crore ₹)]]/Table1[[#This Row],[Doctors / Staff]]</f>
        <v>13.033884948778566</v>
      </c>
      <c r="J73">
        <v>23.41</v>
      </c>
      <c r="K73">
        <v>1631</v>
      </c>
      <c r="L73">
        <v>1.38</v>
      </c>
      <c r="M73">
        <v>10766</v>
      </c>
      <c r="N73">
        <v>22314</v>
      </c>
      <c r="O73">
        <v>13</v>
      </c>
      <c r="P73">
        <v>84</v>
      </c>
    </row>
    <row r="74" spans="1:16" x14ac:dyDescent="0.3">
      <c r="A74">
        <v>2021</v>
      </c>
      <c r="B74" t="s">
        <v>24</v>
      </c>
      <c r="C74" t="s">
        <v>40</v>
      </c>
      <c r="D74" t="s">
        <v>28</v>
      </c>
      <c r="E74" t="s">
        <v>43</v>
      </c>
      <c r="F74">
        <v>15964</v>
      </c>
      <c r="G74">
        <v>1006</v>
      </c>
      <c r="H74">
        <v>42030</v>
      </c>
      <c r="I74" s="11">
        <f>Table1[[#This Row],[Revenue (Crore ₹)]]/Table1[[#This Row],[Doctors / Staff]]</f>
        <v>41.779324055666002</v>
      </c>
      <c r="J74">
        <v>14.16</v>
      </c>
      <c r="K74">
        <v>12170</v>
      </c>
      <c r="L74">
        <v>4.53</v>
      </c>
      <c r="M74">
        <v>47373</v>
      </c>
      <c r="N74">
        <v>-5343</v>
      </c>
      <c r="O74">
        <v>10</v>
      </c>
      <c r="P74">
        <v>77</v>
      </c>
    </row>
    <row r="75" spans="1:16" x14ac:dyDescent="0.3">
      <c r="A75">
        <v>2023</v>
      </c>
      <c r="B75" t="s">
        <v>34</v>
      </c>
      <c r="C75" t="s">
        <v>35</v>
      </c>
      <c r="D75" t="s">
        <v>17</v>
      </c>
      <c r="E75" t="s">
        <v>30</v>
      </c>
      <c r="F75">
        <v>10537</v>
      </c>
      <c r="G75">
        <v>4943</v>
      </c>
      <c r="H75">
        <v>34653</v>
      </c>
      <c r="I75" s="11">
        <f>Table1[[#This Row],[Revenue (Crore ₹)]]/Table1[[#This Row],[Doctors / Staff]]</f>
        <v>7.0105199271697352</v>
      </c>
      <c r="J75">
        <v>23.51</v>
      </c>
      <c r="K75">
        <v>9636</v>
      </c>
      <c r="L75">
        <v>5.7</v>
      </c>
      <c r="M75">
        <v>45795</v>
      </c>
      <c r="N75">
        <v>-11142</v>
      </c>
      <c r="O75">
        <v>15</v>
      </c>
      <c r="P75">
        <v>71</v>
      </c>
    </row>
    <row r="76" spans="1:16" x14ac:dyDescent="0.3">
      <c r="A76">
        <v>2021</v>
      </c>
      <c r="B76" t="s">
        <v>33</v>
      </c>
      <c r="C76" t="s">
        <v>20</v>
      </c>
      <c r="D76" t="s">
        <v>17</v>
      </c>
      <c r="E76" t="s">
        <v>30</v>
      </c>
      <c r="F76">
        <v>13086</v>
      </c>
      <c r="G76">
        <v>4410</v>
      </c>
      <c r="H76">
        <v>186018</v>
      </c>
      <c r="I76" s="11">
        <f>Table1[[#This Row],[Revenue (Crore ₹)]]/Table1[[#This Row],[Doctors / Staff]]</f>
        <v>42.180952380952384</v>
      </c>
      <c r="J76">
        <v>4.7</v>
      </c>
      <c r="K76">
        <v>4686</v>
      </c>
      <c r="L76">
        <v>9.17</v>
      </c>
      <c r="M76">
        <v>39130</v>
      </c>
      <c r="N76">
        <v>146888</v>
      </c>
      <c r="O76">
        <v>12</v>
      </c>
      <c r="P76">
        <v>71</v>
      </c>
    </row>
    <row r="77" spans="1:16" x14ac:dyDescent="0.3">
      <c r="A77">
        <v>2021</v>
      </c>
      <c r="B77" t="s">
        <v>39</v>
      </c>
      <c r="C77" t="s">
        <v>35</v>
      </c>
      <c r="D77" t="s">
        <v>17</v>
      </c>
      <c r="E77" t="s">
        <v>26</v>
      </c>
      <c r="F77">
        <v>19421</v>
      </c>
      <c r="G77">
        <v>4688</v>
      </c>
      <c r="H77">
        <v>58162</v>
      </c>
      <c r="I77" s="11">
        <f>Table1[[#This Row],[Revenue (Crore ₹)]]/Table1[[#This Row],[Doctors / Staff]]</f>
        <v>12.406569965870307</v>
      </c>
      <c r="J77">
        <v>4.92</v>
      </c>
      <c r="K77">
        <v>11695</v>
      </c>
      <c r="L77">
        <v>14.09</v>
      </c>
      <c r="M77">
        <v>2010</v>
      </c>
      <c r="N77">
        <v>56152</v>
      </c>
      <c r="O77">
        <v>1</v>
      </c>
      <c r="P77">
        <v>99</v>
      </c>
    </row>
    <row r="78" spans="1:16" x14ac:dyDescent="0.3">
      <c r="A78">
        <v>2021</v>
      </c>
      <c r="B78" t="s">
        <v>19</v>
      </c>
      <c r="C78" t="s">
        <v>32</v>
      </c>
      <c r="D78" t="s">
        <v>17</v>
      </c>
      <c r="E78" t="s">
        <v>43</v>
      </c>
      <c r="F78">
        <v>79324</v>
      </c>
      <c r="G78">
        <v>695</v>
      </c>
      <c r="H78">
        <v>190268</v>
      </c>
      <c r="I78" s="11">
        <f>Table1[[#This Row],[Revenue (Crore ₹)]]/Table1[[#This Row],[Doctors / Staff]]</f>
        <v>273.76690647482013</v>
      </c>
      <c r="J78">
        <v>10.029999999999999</v>
      </c>
      <c r="K78">
        <v>14294</v>
      </c>
      <c r="L78">
        <v>2.87</v>
      </c>
      <c r="M78">
        <v>20155</v>
      </c>
      <c r="N78">
        <v>170113</v>
      </c>
      <c r="O78">
        <v>19</v>
      </c>
      <c r="P78">
        <v>95</v>
      </c>
    </row>
    <row r="79" spans="1:16" x14ac:dyDescent="0.3">
      <c r="A79">
        <v>2023</v>
      </c>
      <c r="B79" t="s">
        <v>34</v>
      </c>
      <c r="C79" t="s">
        <v>32</v>
      </c>
      <c r="D79" t="s">
        <v>17</v>
      </c>
      <c r="E79" t="s">
        <v>18</v>
      </c>
      <c r="F79">
        <v>98487</v>
      </c>
      <c r="G79">
        <v>4282</v>
      </c>
      <c r="H79">
        <v>24725</v>
      </c>
      <c r="I79" s="11">
        <f>Table1[[#This Row],[Revenue (Crore ₹)]]/Table1[[#This Row],[Doctors / Staff]]</f>
        <v>5.774170948155068</v>
      </c>
      <c r="J79">
        <v>7.58</v>
      </c>
      <c r="K79">
        <v>8612</v>
      </c>
      <c r="L79">
        <v>5.48</v>
      </c>
      <c r="M79">
        <v>32459</v>
      </c>
      <c r="N79">
        <v>-7734</v>
      </c>
      <c r="O79">
        <v>4</v>
      </c>
      <c r="P79">
        <v>76</v>
      </c>
    </row>
    <row r="80" spans="1:16" x14ac:dyDescent="0.3">
      <c r="A80">
        <v>2025</v>
      </c>
      <c r="B80" t="s">
        <v>15</v>
      </c>
      <c r="C80" t="s">
        <v>27</v>
      </c>
      <c r="D80" t="s">
        <v>28</v>
      </c>
      <c r="E80" t="s">
        <v>26</v>
      </c>
      <c r="F80">
        <v>6484</v>
      </c>
      <c r="G80">
        <v>3563</v>
      </c>
      <c r="H80">
        <v>78158</v>
      </c>
      <c r="I80" s="11">
        <f>Table1[[#This Row],[Revenue (Crore ₹)]]/Table1[[#This Row],[Doctors / Staff]]</f>
        <v>21.93600898119562</v>
      </c>
      <c r="J80">
        <v>11.59</v>
      </c>
      <c r="K80">
        <v>18705</v>
      </c>
      <c r="L80">
        <v>1.77</v>
      </c>
      <c r="M80">
        <v>3936</v>
      </c>
      <c r="N80">
        <v>74222</v>
      </c>
      <c r="O80">
        <v>19</v>
      </c>
      <c r="P80">
        <v>92</v>
      </c>
    </row>
    <row r="81" spans="1:16" x14ac:dyDescent="0.3">
      <c r="A81">
        <v>2025</v>
      </c>
      <c r="B81" t="s">
        <v>19</v>
      </c>
      <c r="C81" t="s">
        <v>29</v>
      </c>
      <c r="D81" t="s">
        <v>17</v>
      </c>
      <c r="E81" t="s">
        <v>31</v>
      </c>
      <c r="F81">
        <v>25399</v>
      </c>
      <c r="G81">
        <v>3858</v>
      </c>
      <c r="H81">
        <v>86340</v>
      </c>
      <c r="I81" s="11">
        <f>Table1[[#This Row],[Revenue (Crore ₹)]]/Table1[[#This Row],[Doctors / Staff]]</f>
        <v>22.379471228615863</v>
      </c>
      <c r="J81">
        <v>19.02</v>
      </c>
      <c r="K81">
        <v>13677</v>
      </c>
      <c r="L81">
        <v>2.27</v>
      </c>
      <c r="M81">
        <v>25825</v>
      </c>
      <c r="N81">
        <v>60515</v>
      </c>
      <c r="O81">
        <v>9</v>
      </c>
      <c r="P81">
        <v>79</v>
      </c>
    </row>
    <row r="82" spans="1:16" x14ac:dyDescent="0.3">
      <c r="A82">
        <v>2022</v>
      </c>
      <c r="B82" t="s">
        <v>34</v>
      </c>
      <c r="C82" t="s">
        <v>16</v>
      </c>
      <c r="D82" t="s">
        <v>17</v>
      </c>
      <c r="E82" t="s">
        <v>43</v>
      </c>
      <c r="F82">
        <v>76897</v>
      </c>
      <c r="G82">
        <v>3879</v>
      </c>
      <c r="H82">
        <v>179095</v>
      </c>
      <c r="I82" s="11">
        <f>Table1[[#This Row],[Revenue (Crore ₹)]]/Table1[[#This Row],[Doctors / Staff]]</f>
        <v>46.170404743490593</v>
      </c>
      <c r="J82">
        <v>12.69</v>
      </c>
      <c r="K82">
        <v>13674</v>
      </c>
      <c r="L82">
        <v>4.96</v>
      </c>
      <c r="M82">
        <v>42846</v>
      </c>
      <c r="N82">
        <v>136249</v>
      </c>
      <c r="O82">
        <v>14</v>
      </c>
      <c r="P82">
        <v>95</v>
      </c>
    </row>
    <row r="83" spans="1:16" x14ac:dyDescent="0.3">
      <c r="A83">
        <v>2023</v>
      </c>
      <c r="B83" t="s">
        <v>39</v>
      </c>
      <c r="C83" t="s">
        <v>35</v>
      </c>
      <c r="D83" t="s">
        <v>17</v>
      </c>
      <c r="E83" t="s">
        <v>23</v>
      </c>
      <c r="F83">
        <v>51713</v>
      </c>
      <c r="G83">
        <v>1466</v>
      </c>
      <c r="H83">
        <v>173235</v>
      </c>
      <c r="I83" s="11">
        <f>Table1[[#This Row],[Revenue (Crore ₹)]]/Table1[[#This Row],[Doctors / Staff]]</f>
        <v>118.16848567530695</v>
      </c>
      <c r="J83">
        <v>14.62</v>
      </c>
      <c r="K83">
        <v>17459</v>
      </c>
      <c r="L83">
        <v>1.63</v>
      </c>
      <c r="M83">
        <v>41730</v>
      </c>
      <c r="N83">
        <v>131505</v>
      </c>
      <c r="O83">
        <v>10</v>
      </c>
      <c r="P83">
        <v>86</v>
      </c>
    </row>
    <row r="84" spans="1:16" x14ac:dyDescent="0.3">
      <c r="A84">
        <v>2022</v>
      </c>
      <c r="B84" t="s">
        <v>19</v>
      </c>
      <c r="C84" t="s">
        <v>27</v>
      </c>
      <c r="D84" t="s">
        <v>28</v>
      </c>
      <c r="E84" t="s">
        <v>26</v>
      </c>
      <c r="F84">
        <v>20291</v>
      </c>
      <c r="G84">
        <v>4796</v>
      </c>
      <c r="H84">
        <v>93585</v>
      </c>
      <c r="I84" s="11">
        <f>Table1[[#This Row],[Revenue (Crore ₹)]]/Table1[[#This Row],[Doctors / Staff]]</f>
        <v>19.513135946622185</v>
      </c>
      <c r="J84">
        <v>14.96</v>
      </c>
      <c r="K84">
        <v>12267</v>
      </c>
      <c r="L84">
        <v>5.59</v>
      </c>
      <c r="M84">
        <v>29418</v>
      </c>
      <c r="N84">
        <v>64167</v>
      </c>
      <c r="O84">
        <v>13</v>
      </c>
      <c r="P84">
        <v>99</v>
      </c>
    </row>
    <row r="85" spans="1:16" x14ac:dyDescent="0.3">
      <c r="A85">
        <v>2022</v>
      </c>
      <c r="B85" t="s">
        <v>19</v>
      </c>
      <c r="C85" t="s">
        <v>25</v>
      </c>
      <c r="D85" t="s">
        <v>17</v>
      </c>
      <c r="E85" t="s">
        <v>38</v>
      </c>
      <c r="F85">
        <v>58226</v>
      </c>
      <c r="G85">
        <v>2445</v>
      </c>
      <c r="H85">
        <v>74932</v>
      </c>
      <c r="I85" s="11">
        <f>Table1[[#This Row],[Revenue (Crore ₹)]]/Table1[[#This Row],[Doctors / Staff]]</f>
        <v>30.647034764826177</v>
      </c>
      <c r="J85">
        <v>23.16</v>
      </c>
      <c r="K85">
        <v>6065</v>
      </c>
      <c r="L85">
        <v>3.33</v>
      </c>
      <c r="M85">
        <v>41482</v>
      </c>
      <c r="N85">
        <v>33450</v>
      </c>
      <c r="O85">
        <v>17</v>
      </c>
      <c r="P85">
        <v>76</v>
      </c>
    </row>
    <row r="86" spans="1:16" x14ac:dyDescent="0.3">
      <c r="A86">
        <v>2021</v>
      </c>
      <c r="B86" t="s">
        <v>34</v>
      </c>
      <c r="C86" t="s">
        <v>37</v>
      </c>
      <c r="D86" t="s">
        <v>17</v>
      </c>
      <c r="E86" t="s">
        <v>43</v>
      </c>
      <c r="F86">
        <v>85155</v>
      </c>
      <c r="G86">
        <v>1550</v>
      </c>
      <c r="H86">
        <v>175890</v>
      </c>
      <c r="I86" s="11">
        <f>Table1[[#This Row],[Revenue (Crore ₹)]]/Table1[[#This Row],[Doctors / Staff]]</f>
        <v>113.47741935483872</v>
      </c>
      <c r="J86">
        <v>23.61</v>
      </c>
      <c r="K86">
        <v>19897</v>
      </c>
      <c r="L86">
        <v>7.42</v>
      </c>
      <c r="M86">
        <v>35074</v>
      </c>
      <c r="N86">
        <v>140816</v>
      </c>
      <c r="O86">
        <v>19</v>
      </c>
      <c r="P86">
        <v>71</v>
      </c>
    </row>
    <row r="87" spans="1:16" x14ac:dyDescent="0.3">
      <c r="A87">
        <v>2021</v>
      </c>
      <c r="B87" t="s">
        <v>34</v>
      </c>
      <c r="C87" t="s">
        <v>37</v>
      </c>
      <c r="D87" t="s">
        <v>17</v>
      </c>
      <c r="E87" t="s">
        <v>31</v>
      </c>
      <c r="F87">
        <v>54589</v>
      </c>
      <c r="G87">
        <v>3149</v>
      </c>
      <c r="H87">
        <v>141014</v>
      </c>
      <c r="I87" s="11">
        <f>Table1[[#This Row],[Revenue (Crore ₹)]]/Table1[[#This Row],[Doctors / Staff]]</f>
        <v>44.780565258812324</v>
      </c>
      <c r="J87">
        <v>16.84</v>
      </c>
      <c r="K87">
        <v>19645</v>
      </c>
      <c r="L87">
        <v>14.54</v>
      </c>
      <c r="M87">
        <v>34586</v>
      </c>
      <c r="N87">
        <v>106428</v>
      </c>
      <c r="O87">
        <v>8</v>
      </c>
      <c r="P87">
        <v>99</v>
      </c>
    </row>
    <row r="88" spans="1:16" x14ac:dyDescent="0.3">
      <c r="A88">
        <v>2024</v>
      </c>
      <c r="B88" t="s">
        <v>36</v>
      </c>
      <c r="C88" t="s">
        <v>27</v>
      </c>
      <c r="D88" t="s">
        <v>28</v>
      </c>
      <c r="E88" t="s">
        <v>41</v>
      </c>
      <c r="F88">
        <v>3318</v>
      </c>
      <c r="G88">
        <v>4051</v>
      </c>
      <c r="H88">
        <v>64190</v>
      </c>
      <c r="I88" s="11">
        <f>Table1[[#This Row],[Revenue (Crore ₹)]]/Table1[[#This Row],[Doctors / Staff]]</f>
        <v>15.845470254258208</v>
      </c>
      <c r="J88">
        <v>6.13</v>
      </c>
      <c r="K88">
        <v>1392</v>
      </c>
      <c r="L88">
        <v>5.0599999999999996</v>
      </c>
      <c r="M88">
        <v>39789</v>
      </c>
      <c r="N88">
        <v>24401</v>
      </c>
      <c r="O88">
        <v>19</v>
      </c>
      <c r="P88">
        <v>78</v>
      </c>
    </row>
    <row r="89" spans="1:16" x14ac:dyDescent="0.3">
      <c r="A89">
        <v>2024</v>
      </c>
      <c r="B89" t="s">
        <v>19</v>
      </c>
      <c r="C89" t="s">
        <v>25</v>
      </c>
      <c r="D89" t="s">
        <v>17</v>
      </c>
      <c r="E89" t="s">
        <v>23</v>
      </c>
      <c r="F89">
        <v>32050</v>
      </c>
      <c r="G89">
        <v>639</v>
      </c>
      <c r="H89">
        <v>46104</v>
      </c>
      <c r="I89" s="11">
        <f>Table1[[#This Row],[Revenue (Crore ₹)]]/Table1[[#This Row],[Doctors / Staff]]</f>
        <v>72.150234741784033</v>
      </c>
      <c r="J89">
        <v>19.88</v>
      </c>
      <c r="K89">
        <v>6134</v>
      </c>
      <c r="L89">
        <v>6.57</v>
      </c>
      <c r="M89">
        <v>30785</v>
      </c>
      <c r="N89">
        <v>15319</v>
      </c>
      <c r="O89">
        <v>0</v>
      </c>
      <c r="P89">
        <v>75</v>
      </c>
    </row>
    <row r="90" spans="1:16" x14ac:dyDescent="0.3">
      <c r="A90">
        <v>2020</v>
      </c>
      <c r="B90" t="s">
        <v>21</v>
      </c>
      <c r="C90" t="s">
        <v>20</v>
      </c>
      <c r="D90" t="s">
        <v>17</v>
      </c>
      <c r="E90" t="s">
        <v>41</v>
      </c>
      <c r="F90">
        <v>53664</v>
      </c>
      <c r="G90">
        <v>1261</v>
      </c>
      <c r="H90">
        <v>4948</v>
      </c>
      <c r="I90" s="11">
        <f>Table1[[#This Row],[Revenue (Crore ₹)]]/Table1[[#This Row],[Doctors / Staff]]</f>
        <v>3.923869944488501</v>
      </c>
      <c r="J90">
        <v>24.12</v>
      </c>
      <c r="K90">
        <v>9682</v>
      </c>
      <c r="L90">
        <v>3.26</v>
      </c>
      <c r="M90">
        <v>19917</v>
      </c>
      <c r="N90">
        <v>-14969</v>
      </c>
      <c r="O90">
        <v>4</v>
      </c>
      <c r="P90">
        <v>94</v>
      </c>
    </row>
    <row r="91" spans="1:16" x14ac:dyDescent="0.3">
      <c r="A91">
        <v>2020</v>
      </c>
      <c r="B91" t="s">
        <v>39</v>
      </c>
      <c r="C91" t="s">
        <v>16</v>
      </c>
      <c r="D91" t="s">
        <v>17</v>
      </c>
      <c r="E91" t="s">
        <v>30</v>
      </c>
      <c r="F91">
        <v>28895</v>
      </c>
      <c r="G91">
        <v>2861</v>
      </c>
      <c r="H91">
        <v>188232</v>
      </c>
      <c r="I91" s="11">
        <f>Table1[[#This Row],[Revenue (Crore ₹)]]/Table1[[#This Row],[Doctors / Staff]]</f>
        <v>65.792380286613067</v>
      </c>
      <c r="J91">
        <v>4.72</v>
      </c>
      <c r="K91">
        <v>9943</v>
      </c>
      <c r="L91">
        <v>2.27</v>
      </c>
      <c r="M91">
        <v>36475</v>
      </c>
      <c r="N91">
        <v>151757</v>
      </c>
      <c r="O91">
        <v>13</v>
      </c>
      <c r="P91">
        <v>78</v>
      </c>
    </row>
    <row r="92" spans="1:16" x14ac:dyDescent="0.3">
      <c r="A92">
        <v>2024</v>
      </c>
      <c r="B92" t="s">
        <v>33</v>
      </c>
      <c r="C92" t="s">
        <v>20</v>
      </c>
      <c r="D92" t="s">
        <v>17</v>
      </c>
      <c r="E92" t="s">
        <v>30</v>
      </c>
      <c r="F92">
        <v>88034</v>
      </c>
      <c r="G92">
        <v>2394</v>
      </c>
      <c r="H92">
        <v>195609</v>
      </c>
      <c r="I92" s="11">
        <f>Table1[[#This Row],[Revenue (Crore ₹)]]/Table1[[#This Row],[Doctors / Staff]]</f>
        <v>81.708020050125313</v>
      </c>
      <c r="J92">
        <v>11.39</v>
      </c>
      <c r="K92">
        <v>1438</v>
      </c>
      <c r="L92">
        <v>2.21</v>
      </c>
      <c r="M92">
        <v>20472</v>
      </c>
      <c r="N92">
        <v>175137</v>
      </c>
      <c r="O92">
        <v>8</v>
      </c>
      <c r="P92">
        <v>73</v>
      </c>
    </row>
    <row r="93" spans="1:16" x14ac:dyDescent="0.3">
      <c r="A93">
        <v>2021</v>
      </c>
      <c r="B93" t="s">
        <v>33</v>
      </c>
      <c r="C93" t="s">
        <v>22</v>
      </c>
      <c r="D93" t="s">
        <v>17</v>
      </c>
      <c r="E93" t="s">
        <v>43</v>
      </c>
      <c r="F93">
        <v>21224</v>
      </c>
      <c r="G93">
        <v>4085</v>
      </c>
      <c r="H93">
        <v>115048</v>
      </c>
      <c r="I93" s="11">
        <f>Table1[[#This Row],[Revenue (Crore ₹)]]/Table1[[#This Row],[Doctors / Staff]]</f>
        <v>28.163525091799265</v>
      </c>
      <c r="J93">
        <v>11.42</v>
      </c>
      <c r="K93">
        <v>7537</v>
      </c>
      <c r="L93">
        <v>3.91</v>
      </c>
      <c r="M93">
        <v>26682</v>
      </c>
      <c r="N93">
        <v>88366</v>
      </c>
      <c r="O93">
        <v>5</v>
      </c>
      <c r="P93">
        <v>80</v>
      </c>
    </row>
    <row r="94" spans="1:16" x14ac:dyDescent="0.3">
      <c r="A94">
        <v>2021</v>
      </c>
      <c r="B94" t="s">
        <v>36</v>
      </c>
      <c r="C94" t="s">
        <v>25</v>
      </c>
      <c r="D94" t="s">
        <v>17</v>
      </c>
      <c r="E94" t="s">
        <v>31</v>
      </c>
      <c r="F94">
        <v>49896</v>
      </c>
      <c r="G94">
        <v>1369</v>
      </c>
      <c r="H94">
        <v>67206</v>
      </c>
      <c r="I94" s="11">
        <f>Table1[[#This Row],[Revenue (Crore ₹)]]/Table1[[#This Row],[Doctors / Staff]]</f>
        <v>49.091307523739957</v>
      </c>
      <c r="J94">
        <v>10.81</v>
      </c>
      <c r="K94">
        <v>14625</v>
      </c>
      <c r="L94">
        <v>10.4</v>
      </c>
      <c r="M94">
        <v>36706</v>
      </c>
      <c r="N94">
        <v>30500</v>
      </c>
      <c r="O94">
        <v>2</v>
      </c>
      <c r="P94">
        <v>91</v>
      </c>
    </row>
    <row r="95" spans="1:16" x14ac:dyDescent="0.3">
      <c r="A95">
        <v>2021</v>
      </c>
      <c r="B95" t="s">
        <v>24</v>
      </c>
      <c r="C95" t="s">
        <v>44</v>
      </c>
      <c r="D95" t="s">
        <v>28</v>
      </c>
      <c r="E95" t="s">
        <v>18</v>
      </c>
      <c r="F95">
        <v>98199</v>
      </c>
      <c r="G95">
        <v>940</v>
      </c>
      <c r="H95">
        <v>92558</v>
      </c>
      <c r="I95" s="11">
        <f>Table1[[#This Row],[Revenue (Crore ₹)]]/Table1[[#This Row],[Doctors / Staff]]</f>
        <v>98.465957446808517</v>
      </c>
      <c r="J95">
        <v>7.56</v>
      </c>
      <c r="K95">
        <v>3812</v>
      </c>
      <c r="L95">
        <v>14.4</v>
      </c>
      <c r="M95">
        <v>15005</v>
      </c>
      <c r="N95">
        <v>77553</v>
      </c>
      <c r="O95">
        <v>18</v>
      </c>
      <c r="P95">
        <v>71</v>
      </c>
    </row>
    <row r="96" spans="1:16" x14ac:dyDescent="0.3">
      <c r="A96">
        <v>2024</v>
      </c>
      <c r="B96" t="s">
        <v>21</v>
      </c>
      <c r="C96" t="s">
        <v>16</v>
      </c>
      <c r="D96" t="s">
        <v>17</v>
      </c>
      <c r="E96" t="s">
        <v>43</v>
      </c>
      <c r="F96">
        <v>2143</v>
      </c>
      <c r="G96">
        <v>4609</v>
      </c>
      <c r="H96">
        <v>127749</v>
      </c>
      <c r="I96" s="11">
        <f>Table1[[#This Row],[Revenue (Crore ₹)]]/Table1[[#This Row],[Doctors / Staff]]</f>
        <v>27.717292254285095</v>
      </c>
      <c r="J96">
        <v>16.93</v>
      </c>
      <c r="K96">
        <v>4155</v>
      </c>
      <c r="L96">
        <v>14.3</v>
      </c>
      <c r="M96">
        <v>15447</v>
      </c>
      <c r="N96">
        <v>112302</v>
      </c>
      <c r="O96">
        <v>12</v>
      </c>
      <c r="P96">
        <v>71</v>
      </c>
    </row>
    <row r="97" spans="1:16" x14ac:dyDescent="0.3">
      <c r="A97">
        <v>2025</v>
      </c>
      <c r="B97" t="s">
        <v>24</v>
      </c>
      <c r="C97" t="s">
        <v>35</v>
      </c>
      <c r="D97" t="s">
        <v>17</v>
      </c>
      <c r="E97" t="s">
        <v>43</v>
      </c>
      <c r="F97">
        <v>42824</v>
      </c>
      <c r="G97">
        <v>458</v>
      </c>
      <c r="H97">
        <v>23188</v>
      </c>
      <c r="I97" s="11">
        <f>Table1[[#This Row],[Revenue (Crore ₹)]]/Table1[[#This Row],[Doctors / Staff]]</f>
        <v>50.62882096069869</v>
      </c>
      <c r="J97">
        <v>4.51</v>
      </c>
      <c r="K97">
        <v>8147</v>
      </c>
      <c r="L97">
        <v>3</v>
      </c>
      <c r="M97">
        <v>22785</v>
      </c>
      <c r="N97">
        <v>403</v>
      </c>
      <c r="O97">
        <v>19</v>
      </c>
      <c r="P97">
        <v>86</v>
      </c>
    </row>
    <row r="98" spans="1:16" x14ac:dyDescent="0.3">
      <c r="A98">
        <v>2022</v>
      </c>
      <c r="B98" t="s">
        <v>33</v>
      </c>
      <c r="C98" t="s">
        <v>32</v>
      </c>
      <c r="D98" t="s">
        <v>17</v>
      </c>
      <c r="E98" t="s">
        <v>23</v>
      </c>
      <c r="F98">
        <v>13118</v>
      </c>
      <c r="G98">
        <v>2902</v>
      </c>
      <c r="H98">
        <v>107407</v>
      </c>
      <c r="I98" s="11">
        <f>Table1[[#This Row],[Revenue (Crore ₹)]]/Table1[[#This Row],[Doctors / Staff]]</f>
        <v>37.011371467953133</v>
      </c>
      <c r="J98">
        <v>11.58</v>
      </c>
      <c r="K98">
        <v>16146</v>
      </c>
      <c r="L98">
        <v>5.01</v>
      </c>
      <c r="M98">
        <v>7007</v>
      </c>
      <c r="N98">
        <v>100400</v>
      </c>
      <c r="O98">
        <v>5</v>
      </c>
      <c r="P98">
        <v>94</v>
      </c>
    </row>
    <row r="99" spans="1:16" x14ac:dyDescent="0.3">
      <c r="A99">
        <v>2023</v>
      </c>
      <c r="B99" t="s">
        <v>34</v>
      </c>
      <c r="C99" t="s">
        <v>32</v>
      </c>
      <c r="D99" t="s">
        <v>17</v>
      </c>
      <c r="E99" t="s">
        <v>26</v>
      </c>
      <c r="F99">
        <v>31376</v>
      </c>
      <c r="G99">
        <v>4449</v>
      </c>
      <c r="H99">
        <v>130973</v>
      </c>
      <c r="I99" s="11">
        <f>Table1[[#This Row],[Revenue (Crore ₹)]]/Table1[[#This Row],[Doctors / Staff]]</f>
        <v>29.438750280962015</v>
      </c>
      <c r="J99">
        <v>7.02</v>
      </c>
      <c r="K99">
        <v>9884</v>
      </c>
      <c r="L99">
        <v>11.13</v>
      </c>
      <c r="M99">
        <v>38216</v>
      </c>
      <c r="N99">
        <v>92757</v>
      </c>
      <c r="O99">
        <v>12</v>
      </c>
      <c r="P99">
        <v>94</v>
      </c>
    </row>
    <row r="100" spans="1:16" x14ac:dyDescent="0.3">
      <c r="A100">
        <v>2020</v>
      </c>
      <c r="B100" t="s">
        <v>36</v>
      </c>
      <c r="C100" t="s">
        <v>25</v>
      </c>
      <c r="D100" t="s">
        <v>17</v>
      </c>
      <c r="E100" t="s">
        <v>43</v>
      </c>
      <c r="F100">
        <v>98725</v>
      </c>
      <c r="G100">
        <v>3028</v>
      </c>
      <c r="H100">
        <v>96025</v>
      </c>
      <c r="I100" s="11">
        <f>Table1[[#This Row],[Revenue (Crore ₹)]]/Table1[[#This Row],[Doctors / Staff]]</f>
        <v>31.712351387054163</v>
      </c>
      <c r="J100">
        <v>8.83</v>
      </c>
      <c r="K100">
        <v>4884</v>
      </c>
      <c r="L100">
        <v>13.85</v>
      </c>
      <c r="M100">
        <v>3476</v>
      </c>
      <c r="N100">
        <v>92549</v>
      </c>
      <c r="O100">
        <v>20</v>
      </c>
      <c r="P100">
        <v>82</v>
      </c>
    </row>
    <row r="101" spans="1:16" x14ac:dyDescent="0.3">
      <c r="A101">
        <v>2021</v>
      </c>
      <c r="B101" t="s">
        <v>33</v>
      </c>
      <c r="C101" t="s">
        <v>20</v>
      </c>
      <c r="D101" t="s">
        <v>17</v>
      </c>
      <c r="E101" t="s">
        <v>18</v>
      </c>
      <c r="F101">
        <v>84053</v>
      </c>
      <c r="G101">
        <v>1219</v>
      </c>
      <c r="H101">
        <v>15249</v>
      </c>
      <c r="I101" s="11">
        <f>Table1[[#This Row],[Revenue (Crore ₹)]]/Table1[[#This Row],[Doctors / Staff]]</f>
        <v>12.509433962264151</v>
      </c>
      <c r="J101">
        <v>15.45</v>
      </c>
      <c r="K101">
        <v>9157</v>
      </c>
      <c r="L101">
        <v>13.84</v>
      </c>
      <c r="M101">
        <v>41993</v>
      </c>
      <c r="N101">
        <v>-26744</v>
      </c>
      <c r="O101">
        <v>11</v>
      </c>
      <c r="P101">
        <v>84</v>
      </c>
    </row>
    <row r="102" spans="1:16" x14ac:dyDescent="0.3">
      <c r="A102">
        <v>2025</v>
      </c>
      <c r="B102" t="s">
        <v>34</v>
      </c>
      <c r="C102" t="s">
        <v>25</v>
      </c>
      <c r="D102" t="s">
        <v>17</v>
      </c>
      <c r="E102" t="s">
        <v>23</v>
      </c>
      <c r="F102">
        <v>16308</v>
      </c>
      <c r="G102">
        <v>4869</v>
      </c>
      <c r="H102">
        <v>24056</v>
      </c>
      <c r="I102" s="11">
        <f>Table1[[#This Row],[Revenue (Crore ₹)]]/Table1[[#This Row],[Doctors / Staff]]</f>
        <v>4.9406448962826044</v>
      </c>
      <c r="J102">
        <v>7.08</v>
      </c>
      <c r="K102">
        <v>965</v>
      </c>
      <c r="L102">
        <v>13.78</v>
      </c>
      <c r="M102">
        <v>12522</v>
      </c>
      <c r="N102">
        <v>11534</v>
      </c>
      <c r="O102">
        <v>8</v>
      </c>
      <c r="P102">
        <v>79</v>
      </c>
    </row>
    <row r="103" spans="1:16" x14ac:dyDescent="0.3">
      <c r="A103">
        <v>2024</v>
      </c>
      <c r="B103" t="s">
        <v>24</v>
      </c>
      <c r="C103" t="s">
        <v>27</v>
      </c>
      <c r="D103" t="s">
        <v>28</v>
      </c>
      <c r="E103" t="s">
        <v>30</v>
      </c>
      <c r="F103">
        <v>78152</v>
      </c>
      <c r="G103">
        <v>1437</v>
      </c>
      <c r="H103">
        <v>176209</v>
      </c>
      <c r="I103" s="11">
        <f>Table1[[#This Row],[Revenue (Crore ₹)]]/Table1[[#This Row],[Doctors / Staff]]</f>
        <v>122.62282533054976</v>
      </c>
      <c r="J103">
        <v>12.73</v>
      </c>
      <c r="K103">
        <v>691</v>
      </c>
      <c r="L103">
        <v>9.89</v>
      </c>
      <c r="M103">
        <v>509</v>
      </c>
      <c r="N103">
        <v>175700</v>
      </c>
      <c r="O103">
        <v>18</v>
      </c>
      <c r="P103">
        <v>71</v>
      </c>
    </row>
    <row r="104" spans="1:16" x14ac:dyDescent="0.3">
      <c r="A104">
        <v>2024</v>
      </c>
      <c r="B104" t="s">
        <v>39</v>
      </c>
      <c r="C104" t="s">
        <v>32</v>
      </c>
      <c r="D104" t="s">
        <v>17</v>
      </c>
      <c r="E104" t="s">
        <v>43</v>
      </c>
      <c r="F104">
        <v>8327</v>
      </c>
      <c r="G104">
        <v>2896</v>
      </c>
      <c r="H104">
        <v>107121</v>
      </c>
      <c r="I104" s="11">
        <f>Table1[[#This Row],[Revenue (Crore ₹)]]/Table1[[#This Row],[Doctors / Staff]]</f>
        <v>36.9892955801105</v>
      </c>
      <c r="J104">
        <v>20.420000000000002</v>
      </c>
      <c r="K104">
        <v>16635</v>
      </c>
      <c r="L104">
        <v>11.83</v>
      </c>
      <c r="M104">
        <v>11522</v>
      </c>
      <c r="N104">
        <v>95599</v>
      </c>
      <c r="O104">
        <v>17</v>
      </c>
      <c r="P104">
        <v>99</v>
      </c>
    </row>
    <row r="105" spans="1:16" x14ac:dyDescent="0.3">
      <c r="A105">
        <v>2025</v>
      </c>
      <c r="B105" t="s">
        <v>21</v>
      </c>
      <c r="C105" t="s">
        <v>35</v>
      </c>
      <c r="D105" t="s">
        <v>17</v>
      </c>
      <c r="E105" t="s">
        <v>18</v>
      </c>
      <c r="F105">
        <v>42908</v>
      </c>
      <c r="G105">
        <v>1064</v>
      </c>
      <c r="H105">
        <v>141226</v>
      </c>
      <c r="I105" s="11">
        <f>Table1[[#This Row],[Revenue (Crore ₹)]]/Table1[[#This Row],[Doctors / Staff]]</f>
        <v>132.73120300751879</v>
      </c>
      <c r="J105">
        <v>14.12</v>
      </c>
      <c r="K105">
        <v>9076</v>
      </c>
      <c r="L105">
        <v>13.48</v>
      </c>
      <c r="M105">
        <v>48033</v>
      </c>
      <c r="N105">
        <v>93193</v>
      </c>
      <c r="O105">
        <v>20</v>
      </c>
      <c r="P105">
        <v>84</v>
      </c>
    </row>
    <row r="106" spans="1:16" x14ac:dyDescent="0.3">
      <c r="A106">
        <v>2020</v>
      </c>
      <c r="B106" t="s">
        <v>39</v>
      </c>
      <c r="C106" t="s">
        <v>35</v>
      </c>
      <c r="D106" t="s">
        <v>17</v>
      </c>
      <c r="E106" t="s">
        <v>18</v>
      </c>
      <c r="F106">
        <v>60028</v>
      </c>
      <c r="G106">
        <v>1228</v>
      </c>
      <c r="H106">
        <v>87260</v>
      </c>
      <c r="I106" s="11">
        <f>Table1[[#This Row],[Revenue (Crore ₹)]]/Table1[[#This Row],[Doctors / Staff]]</f>
        <v>71.058631921824102</v>
      </c>
      <c r="J106">
        <v>15.72</v>
      </c>
      <c r="K106">
        <v>16985</v>
      </c>
      <c r="L106">
        <v>5.01</v>
      </c>
      <c r="M106">
        <v>23117</v>
      </c>
      <c r="N106">
        <v>64143</v>
      </c>
      <c r="O106">
        <v>14</v>
      </c>
      <c r="P106">
        <v>81</v>
      </c>
    </row>
    <row r="107" spans="1:16" x14ac:dyDescent="0.3">
      <c r="A107">
        <v>2024</v>
      </c>
      <c r="B107" t="s">
        <v>24</v>
      </c>
      <c r="C107" t="s">
        <v>25</v>
      </c>
      <c r="D107" t="s">
        <v>17</v>
      </c>
      <c r="E107" t="s">
        <v>38</v>
      </c>
      <c r="F107">
        <v>22109</v>
      </c>
      <c r="G107">
        <v>1587</v>
      </c>
      <c r="H107">
        <v>51820</v>
      </c>
      <c r="I107" s="11">
        <f>Table1[[#This Row],[Revenue (Crore ₹)]]/Table1[[#This Row],[Doctors / Staff]]</f>
        <v>32.652804032766227</v>
      </c>
      <c r="J107">
        <v>13.79</v>
      </c>
      <c r="K107">
        <v>109</v>
      </c>
      <c r="L107">
        <v>8.59</v>
      </c>
      <c r="M107">
        <v>45312</v>
      </c>
      <c r="N107">
        <v>6508</v>
      </c>
      <c r="O107">
        <v>5</v>
      </c>
      <c r="P107">
        <v>90</v>
      </c>
    </row>
    <row r="108" spans="1:16" x14ac:dyDescent="0.3">
      <c r="A108">
        <v>2024</v>
      </c>
      <c r="B108" t="s">
        <v>33</v>
      </c>
      <c r="C108" t="s">
        <v>20</v>
      </c>
      <c r="D108" t="s">
        <v>17</v>
      </c>
      <c r="E108" t="s">
        <v>18</v>
      </c>
      <c r="F108">
        <v>60759</v>
      </c>
      <c r="G108">
        <v>1082</v>
      </c>
      <c r="H108">
        <v>48398</v>
      </c>
      <c r="I108" s="11">
        <f>Table1[[#This Row],[Revenue (Crore ₹)]]/Table1[[#This Row],[Doctors / Staff]]</f>
        <v>44.730129390018483</v>
      </c>
      <c r="J108">
        <v>21.61</v>
      </c>
      <c r="K108">
        <v>14251</v>
      </c>
      <c r="L108">
        <v>3.82</v>
      </c>
      <c r="M108">
        <v>9773</v>
      </c>
      <c r="N108">
        <v>38625</v>
      </c>
      <c r="O108">
        <v>0</v>
      </c>
      <c r="P108">
        <v>73</v>
      </c>
    </row>
    <row r="109" spans="1:16" x14ac:dyDescent="0.3">
      <c r="A109">
        <v>2022</v>
      </c>
      <c r="B109" t="s">
        <v>34</v>
      </c>
      <c r="C109" t="s">
        <v>25</v>
      </c>
      <c r="D109" t="s">
        <v>17</v>
      </c>
      <c r="E109" t="s">
        <v>41</v>
      </c>
      <c r="F109">
        <v>53634</v>
      </c>
      <c r="G109">
        <v>4874</v>
      </c>
      <c r="H109">
        <v>174714</v>
      </c>
      <c r="I109" s="11">
        <f>Table1[[#This Row],[Revenue (Crore ₹)]]/Table1[[#This Row],[Doctors / Staff]]</f>
        <v>35.846122281493642</v>
      </c>
      <c r="J109">
        <v>4.1900000000000004</v>
      </c>
      <c r="K109">
        <v>1324</v>
      </c>
      <c r="L109">
        <v>1.74</v>
      </c>
      <c r="M109">
        <v>7072</v>
      </c>
      <c r="N109">
        <v>167642</v>
      </c>
      <c r="O109">
        <v>12</v>
      </c>
      <c r="P109">
        <v>89</v>
      </c>
    </row>
    <row r="110" spans="1:16" x14ac:dyDescent="0.3">
      <c r="A110">
        <v>2020</v>
      </c>
      <c r="B110" t="s">
        <v>15</v>
      </c>
      <c r="C110" t="s">
        <v>22</v>
      </c>
      <c r="D110" t="s">
        <v>17</v>
      </c>
      <c r="E110" t="s">
        <v>30</v>
      </c>
      <c r="F110">
        <v>80979</v>
      </c>
      <c r="G110">
        <v>1038</v>
      </c>
      <c r="H110">
        <v>147352</v>
      </c>
      <c r="I110" s="11">
        <f>Table1[[#This Row],[Revenue (Crore ₹)]]/Table1[[#This Row],[Doctors / Staff]]</f>
        <v>141.95761078998072</v>
      </c>
      <c r="J110">
        <v>22.76</v>
      </c>
      <c r="K110">
        <v>14978</v>
      </c>
      <c r="L110">
        <v>7.39</v>
      </c>
      <c r="M110">
        <v>43766</v>
      </c>
      <c r="N110">
        <v>103586</v>
      </c>
      <c r="O110">
        <v>8</v>
      </c>
      <c r="P110">
        <v>98</v>
      </c>
    </row>
    <row r="111" spans="1:16" x14ac:dyDescent="0.3">
      <c r="A111">
        <v>2025</v>
      </c>
      <c r="B111" t="s">
        <v>15</v>
      </c>
      <c r="C111" t="s">
        <v>22</v>
      </c>
      <c r="D111" t="s">
        <v>17</v>
      </c>
      <c r="E111" t="s">
        <v>23</v>
      </c>
      <c r="F111">
        <v>8409</v>
      </c>
      <c r="G111">
        <v>3088</v>
      </c>
      <c r="H111">
        <v>150361</v>
      </c>
      <c r="I111" s="11">
        <f>Table1[[#This Row],[Revenue (Crore ₹)]]/Table1[[#This Row],[Doctors / Staff]]</f>
        <v>48.692033678756474</v>
      </c>
      <c r="J111">
        <v>24.98</v>
      </c>
      <c r="K111">
        <v>2149</v>
      </c>
      <c r="L111">
        <v>12.59</v>
      </c>
      <c r="M111">
        <v>36134</v>
      </c>
      <c r="N111">
        <v>114227</v>
      </c>
      <c r="O111">
        <v>7</v>
      </c>
      <c r="P111">
        <v>91</v>
      </c>
    </row>
    <row r="112" spans="1:16" x14ac:dyDescent="0.3">
      <c r="A112">
        <v>2022</v>
      </c>
      <c r="B112" t="s">
        <v>19</v>
      </c>
      <c r="C112" t="s">
        <v>22</v>
      </c>
      <c r="D112" t="s">
        <v>17</v>
      </c>
      <c r="E112" t="s">
        <v>23</v>
      </c>
      <c r="F112">
        <v>56391</v>
      </c>
      <c r="G112">
        <v>4549</v>
      </c>
      <c r="H112">
        <v>51932</v>
      </c>
      <c r="I112" s="11">
        <f>Table1[[#This Row],[Revenue (Crore ₹)]]/Table1[[#This Row],[Doctors / Staff]]</f>
        <v>11.416135414376786</v>
      </c>
      <c r="J112">
        <v>10.88</v>
      </c>
      <c r="K112">
        <v>2221</v>
      </c>
      <c r="L112">
        <v>10.88</v>
      </c>
      <c r="M112">
        <v>16009</v>
      </c>
      <c r="N112">
        <v>35923</v>
      </c>
      <c r="O112">
        <v>1</v>
      </c>
      <c r="P112">
        <v>79</v>
      </c>
    </row>
    <row r="113" spans="1:16" x14ac:dyDescent="0.3">
      <c r="A113">
        <v>2022</v>
      </c>
      <c r="B113" t="s">
        <v>39</v>
      </c>
      <c r="C113" t="s">
        <v>42</v>
      </c>
      <c r="D113" t="s">
        <v>28</v>
      </c>
      <c r="E113" t="s">
        <v>26</v>
      </c>
      <c r="F113">
        <v>52400</v>
      </c>
      <c r="G113">
        <v>1625</v>
      </c>
      <c r="H113">
        <v>54346</v>
      </c>
      <c r="I113" s="11">
        <f>Table1[[#This Row],[Revenue (Crore ₹)]]/Table1[[#This Row],[Doctors / Staff]]</f>
        <v>33.443692307692309</v>
      </c>
      <c r="J113">
        <v>5.55</v>
      </c>
      <c r="K113">
        <v>2261</v>
      </c>
      <c r="L113">
        <v>2.79</v>
      </c>
      <c r="M113">
        <v>34315</v>
      </c>
      <c r="N113">
        <v>20031</v>
      </c>
      <c r="O113">
        <v>18</v>
      </c>
      <c r="P113">
        <v>78</v>
      </c>
    </row>
    <row r="114" spans="1:16" x14ac:dyDescent="0.3">
      <c r="A114">
        <v>2023</v>
      </c>
      <c r="B114" t="s">
        <v>19</v>
      </c>
      <c r="C114" t="s">
        <v>32</v>
      </c>
      <c r="D114" t="s">
        <v>17</v>
      </c>
      <c r="E114" t="s">
        <v>31</v>
      </c>
      <c r="F114">
        <v>12392</v>
      </c>
      <c r="G114">
        <v>2176</v>
      </c>
      <c r="H114">
        <v>117148</v>
      </c>
      <c r="I114" s="11">
        <f>Table1[[#This Row],[Revenue (Crore ₹)]]/Table1[[#This Row],[Doctors / Staff]]</f>
        <v>53.836397058823529</v>
      </c>
      <c r="J114">
        <v>10.62</v>
      </c>
      <c r="K114">
        <v>8054</v>
      </c>
      <c r="L114">
        <v>8.8800000000000008</v>
      </c>
      <c r="M114">
        <v>43987</v>
      </c>
      <c r="N114">
        <v>73161</v>
      </c>
      <c r="O114">
        <v>14</v>
      </c>
      <c r="P114">
        <v>86</v>
      </c>
    </row>
    <row r="115" spans="1:16" x14ac:dyDescent="0.3">
      <c r="A115">
        <v>2025</v>
      </c>
      <c r="B115" t="s">
        <v>15</v>
      </c>
      <c r="C115" t="s">
        <v>35</v>
      </c>
      <c r="D115" t="s">
        <v>17</v>
      </c>
      <c r="E115" t="s">
        <v>41</v>
      </c>
      <c r="F115">
        <v>64051</v>
      </c>
      <c r="G115">
        <v>3130</v>
      </c>
      <c r="H115">
        <v>6825</v>
      </c>
      <c r="I115" s="11">
        <f>Table1[[#This Row],[Revenue (Crore ₹)]]/Table1[[#This Row],[Doctors / Staff]]</f>
        <v>2.180511182108626</v>
      </c>
      <c r="J115">
        <v>19.32</v>
      </c>
      <c r="K115">
        <v>8905</v>
      </c>
      <c r="L115">
        <v>5.61</v>
      </c>
      <c r="M115">
        <v>42832</v>
      </c>
      <c r="N115">
        <v>-36007</v>
      </c>
      <c r="O115">
        <v>13</v>
      </c>
      <c r="P115">
        <v>95</v>
      </c>
    </row>
    <row r="116" spans="1:16" x14ac:dyDescent="0.3">
      <c r="A116">
        <v>2025</v>
      </c>
      <c r="B116" t="s">
        <v>39</v>
      </c>
      <c r="C116" t="s">
        <v>44</v>
      </c>
      <c r="D116" t="s">
        <v>28</v>
      </c>
      <c r="E116" t="s">
        <v>38</v>
      </c>
      <c r="F116">
        <v>38274</v>
      </c>
      <c r="G116">
        <v>2994</v>
      </c>
      <c r="H116">
        <v>89775</v>
      </c>
      <c r="I116" s="11">
        <f>Table1[[#This Row],[Revenue (Crore ₹)]]/Table1[[#This Row],[Doctors / Staff]]</f>
        <v>29.984969939879761</v>
      </c>
      <c r="J116">
        <v>11.31</v>
      </c>
      <c r="K116">
        <v>10856</v>
      </c>
      <c r="L116">
        <v>11.7</v>
      </c>
      <c r="M116">
        <v>18527</v>
      </c>
      <c r="N116">
        <v>71248</v>
      </c>
      <c r="O116">
        <v>3</v>
      </c>
      <c r="P116">
        <v>85</v>
      </c>
    </row>
    <row r="117" spans="1:16" x14ac:dyDescent="0.3">
      <c r="A117">
        <v>2025</v>
      </c>
      <c r="B117" t="s">
        <v>33</v>
      </c>
      <c r="C117" t="s">
        <v>25</v>
      </c>
      <c r="D117" t="s">
        <v>17</v>
      </c>
      <c r="E117" t="s">
        <v>43</v>
      </c>
      <c r="F117">
        <v>76341</v>
      </c>
      <c r="G117">
        <v>786</v>
      </c>
      <c r="H117">
        <v>14329</v>
      </c>
      <c r="I117" s="11">
        <f>Table1[[#This Row],[Revenue (Crore ₹)]]/Table1[[#This Row],[Doctors / Staff]]</f>
        <v>18.230279898218829</v>
      </c>
      <c r="J117">
        <v>16.2</v>
      </c>
      <c r="K117">
        <v>5030</v>
      </c>
      <c r="L117">
        <v>6.48</v>
      </c>
      <c r="M117">
        <v>22270</v>
      </c>
      <c r="N117">
        <v>-7941</v>
      </c>
      <c r="O117">
        <v>18</v>
      </c>
      <c r="P117">
        <v>74</v>
      </c>
    </row>
    <row r="118" spans="1:16" x14ac:dyDescent="0.3">
      <c r="A118">
        <v>2023</v>
      </c>
      <c r="B118" t="s">
        <v>19</v>
      </c>
      <c r="C118" t="s">
        <v>20</v>
      </c>
      <c r="D118" t="s">
        <v>17</v>
      </c>
      <c r="E118" t="s">
        <v>18</v>
      </c>
      <c r="F118">
        <v>42288</v>
      </c>
      <c r="G118">
        <v>1667</v>
      </c>
      <c r="H118">
        <v>190806</v>
      </c>
      <c r="I118" s="11">
        <f>Table1[[#This Row],[Revenue (Crore ₹)]]/Table1[[#This Row],[Doctors / Staff]]</f>
        <v>114.46070785842831</v>
      </c>
      <c r="J118">
        <v>23.14</v>
      </c>
      <c r="K118">
        <v>13549</v>
      </c>
      <c r="L118">
        <v>13.69</v>
      </c>
      <c r="M118">
        <v>14201</v>
      </c>
      <c r="N118">
        <v>176605</v>
      </c>
      <c r="O118">
        <v>1</v>
      </c>
      <c r="P118">
        <v>82</v>
      </c>
    </row>
    <row r="119" spans="1:16" x14ac:dyDescent="0.3">
      <c r="A119">
        <v>2025</v>
      </c>
      <c r="B119" t="s">
        <v>36</v>
      </c>
      <c r="C119" t="s">
        <v>44</v>
      </c>
      <c r="D119" t="s">
        <v>28</v>
      </c>
      <c r="E119" t="s">
        <v>23</v>
      </c>
      <c r="F119">
        <v>33049</v>
      </c>
      <c r="G119">
        <v>2395</v>
      </c>
      <c r="H119">
        <v>31442</v>
      </c>
      <c r="I119" s="11">
        <f>Table1[[#This Row],[Revenue (Crore ₹)]]/Table1[[#This Row],[Doctors / Staff]]</f>
        <v>13.128183716075156</v>
      </c>
      <c r="J119">
        <v>9.09</v>
      </c>
      <c r="K119">
        <v>15529</v>
      </c>
      <c r="L119">
        <v>14.9</v>
      </c>
      <c r="M119">
        <v>5985</v>
      </c>
      <c r="N119">
        <v>25457</v>
      </c>
      <c r="O119">
        <v>2</v>
      </c>
      <c r="P119">
        <v>72</v>
      </c>
    </row>
    <row r="120" spans="1:16" x14ac:dyDescent="0.3">
      <c r="A120">
        <v>2025</v>
      </c>
      <c r="B120" t="s">
        <v>24</v>
      </c>
      <c r="C120" t="s">
        <v>25</v>
      </c>
      <c r="D120" t="s">
        <v>17</v>
      </c>
      <c r="E120" t="s">
        <v>23</v>
      </c>
      <c r="F120">
        <v>68211</v>
      </c>
      <c r="G120">
        <v>3336</v>
      </c>
      <c r="H120">
        <v>84325</v>
      </c>
      <c r="I120" s="11">
        <f>Table1[[#This Row],[Revenue (Crore ₹)]]/Table1[[#This Row],[Doctors / Staff]]</f>
        <v>25.277278177458033</v>
      </c>
      <c r="J120">
        <v>6.88</v>
      </c>
      <c r="K120">
        <v>1897</v>
      </c>
      <c r="L120">
        <v>8.15</v>
      </c>
      <c r="M120">
        <v>44710</v>
      </c>
      <c r="N120">
        <v>39615</v>
      </c>
      <c r="O120">
        <v>10</v>
      </c>
      <c r="P120">
        <v>83</v>
      </c>
    </row>
    <row r="121" spans="1:16" x14ac:dyDescent="0.3">
      <c r="A121">
        <v>2021</v>
      </c>
      <c r="B121" t="s">
        <v>24</v>
      </c>
      <c r="C121" t="s">
        <v>29</v>
      </c>
      <c r="D121" t="s">
        <v>17</v>
      </c>
      <c r="E121" t="s">
        <v>23</v>
      </c>
      <c r="F121">
        <v>56762</v>
      </c>
      <c r="G121">
        <v>3497</v>
      </c>
      <c r="H121">
        <v>30510</v>
      </c>
      <c r="I121" s="11">
        <f>Table1[[#This Row],[Revenue (Crore ₹)]]/Table1[[#This Row],[Doctors / Staff]]</f>
        <v>8.7246211038032602</v>
      </c>
      <c r="J121">
        <v>19.739999999999998</v>
      </c>
      <c r="K121">
        <v>6629</v>
      </c>
      <c r="L121">
        <v>6.3</v>
      </c>
      <c r="M121">
        <v>22054</v>
      </c>
      <c r="N121">
        <v>8456</v>
      </c>
      <c r="O121">
        <v>3</v>
      </c>
      <c r="P121">
        <v>78</v>
      </c>
    </row>
    <row r="122" spans="1:16" x14ac:dyDescent="0.3">
      <c r="A122">
        <v>2024</v>
      </c>
      <c r="B122" t="s">
        <v>24</v>
      </c>
      <c r="C122" t="s">
        <v>25</v>
      </c>
      <c r="D122" t="s">
        <v>17</v>
      </c>
      <c r="E122" t="s">
        <v>30</v>
      </c>
      <c r="F122">
        <v>72624</v>
      </c>
      <c r="G122">
        <v>658</v>
      </c>
      <c r="H122">
        <v>14708</v>
      </c>
      <c r="I122" s="11">
        <f>Table1[[#This Row],[Revenue (Crore ₹)]]/Table1[[#This Row],[Doctors / Staff]]</f>
        <v>22.352583586626139</v>
      </c>
      <c r="J122">
        <v>14.7</v>
      </c>
      <c r="K122">
        <v>17458</v>
      </c>
      <c r="L122">
        <v>3.49</v>
      </c>
      <c r="M122">
        <v>20535</v>
      </c>
      <c r="N122">
        <v>-5827</v>
      </c>
      <c r="O122">
        <v>6</v>
      </c>
      <c r="P122">
        <v>81</v>
      </c>
    </row>
    <row r="123" spans="1:16" x14ac:dyDescent="0.3">
      <c r="A123">
        <v>2023</v>
      </c>
      <c r="B123" t="s">
        <v>33</v>
      </c>
      <c r="C123" t="s">
        <v>37</v>
      </c>
      <c r="D123" t="s">
        <v>17</v>
      </c>
      <c r="E123" t="s">
        <v>38</v>
      </c>
      <c r="F123">
        <v>82865</v>
      </c>
      <c r="G123">
        <v>306</v>
      </c>
      <c r="H123">
        <v>117636</v>
      </c>
      <c r="I123" s="11">
        <f>Table1[[#This Row],[Revenue (Crore ₹)]]/Table1[[#This Row],[Doctors / Staff]]</f>
        <v>384.43137254901961</v>
      </c>
      <c r="J123">
        <v>12.39</v>
      </c>
      <c r="K123">
        <v>3757</v>
      </c>
      <c r="L123">
        <v>13.31</v>
      </c>
      <c r="M123">
        <v>16446</v>
      </c>
      <c r="N123">
        <v>101190</v>
      </c>
      <c r="O123">
        <v>0</v>
      </c>
      <c r="P123">
        <v>100</v>
      </c>
    </row>
    <row r="124" spans="1:16" x14ac:dyDescent="0.3">
      <c r="A124">
        <v>2023</v>
      </c>
      <c r="B124" t="s">
        <v>15</v>
      </c>
      <c r="C124" t="s">
        <v>37</v>
      </c>
      <c r="D124" t="s">
        <v>17</v>
      </c>
      <c r="E124" t="s">
        <v>31</v>
      </c>
      <c r="F124">
        <v>11440</v>
      </c>
      <c r="G124">
        <v>125</v>
      </c>
      <c r="H124">
        <v>138962</v>
      </c>
      <c r="I124" s="11">
        <f>Table1[[#This Row],[Revenue (Crore ₹)]]/Table1[[#This Row],[Doctors / Staff]]</f>
        <v>1111.6959999999999</v>
      </c>
      <c r="J124">
        <v>11.12</v>
      </c>
      <c r="K124">
        <v>18723</v>
      </c>
      <c r="L124">
        <v>13.58</v>
      </c>
      <c r="M124">
        <v>23571</v>
      </c>
      <c r="N124">
        <v>115391</v>
      </c>
      <c r="O124">
        <v>0</v>
      </c>
      <c r="P124">
        <v>71</v>
      </c>
    </row>
    <row r="125" spans="1:16" x14ac:dyDescent="0.3">
      <c r="A125">
        <v>2023</v>
      </c>
      <c r="B125" t="s">
        <v>33</v>
      </c>
      <c r="C125" t="s">
        <v>42</v>
      </c>
      <c r="D125" t="s">
        <v>28</v>
      </c>
      <c r="E125" t="s">
        <v>41</v>
      </c>
      <c r="F125">
        <v>12677</v>
      </c>
      <c r="G125">
        <v>1440</v>
      </c>
      <c r="H125">
        <v>42368</v>
      </c>
      <c r="I125" s="11">
        <f>Table1[[#This Row],[Revenue (Crore ₹)]]/Table1[[#This Row],[Doctors / Staff]]</f>
        <v>29.422222222222221</v>
      </c>
      <c r="J125">
        <v>6.57</v>
      </c>
      <c r="K125">
        <v>16595</v>
      </c>
      <c r="L125">
        <v>7.43</v>
      </c>
      <c r="M125">
        <v>49867</v>
      </c>
      <c r="N125">
        <v>-7499</v>
      </c>
      <c r="O125">
        <v>19</v>
      </c>
      <c r="P125">
        <v>70</v>
      </c>
    </row>
    <row r="126" spans="1:16" x14ac:dyDescent="0.3">
      <c r="A126">
        <v>2023</v>
      </c>
      <c r="B126" t="s">
        <v>24</v>
      </c>
      <c r="C126" t="s">
        <v>32</v>
      </c>
      <c r="D126" t="s">
        <v>17</v>
      </c>
      <c r="E126" t="s">
        <v>38</v>
      </c>
      <c r="F126">
        <v>83597</v>
      </c>
      <c r="G126">
        <v>4745</v>
      </c>
      <c r="H126">
        <v>114126</v>
      </c>
      <c r="I126" s="11">
        <f>Table1[[#This Row],[Revenue (Crore ₹)]]/Table1[[#This Row],[Doctors / Staff]]</f>
        <v>24.051844046364593</v>
      </c>
      <c r="J126">
        <v>22.74</v>
      </c>
      <c r="K126">
        <v>3951</v>
      </c>
      <c r="L126">
        <v>2.59</v>
      </c>
      <c r="M126">
        <v>5208</v>
      </c>
      <c r="N126">
        <v>108918</v>
      </c>
      <c r="O126">
        <v>19</v>
      </c>
      <c r="P126">
        <v>90</v>
      </c>
    </row>
    <row r="127" spans="1:16" x14ac:dyDescent="0.3">
      <c r="A127">
        <v>2025</v>
      </c>
      <c r="B127" t="s">
        <v>21</v>
      </c>
      <c r="C127" t="s">
        <v>27</v>
      </c>
      <c r="D127" t="s">
        <v>28</v>
      </c>
      <c r="E127" t="s">
        <v>18</v>
      </c>
      <c r="F127">
        <v>93128</v>
      </c>
      <c r="G127">
        <v>4080</v>
      </c>
      <c r="H127">
        <v>189407</v>
      </c>
      <c r="I127" s="11">
        <f>Table1[[#This Row],[Revenue (Crore ₹)]]/Table1[[#This Row],[Doctors / Staff]]</f>
        <v>46.423284313725489</v>
      </c>
      <c r="J127">
        <v>15.45</v>
      </c>
      <c r="K127">
        <v>11787</v>
      </c>
      <c r="L127">
        <v>13.28</v>
      </c>
      <c r="M127">
        <v>21010</v>
      </c>
      <c r="N127">
        <v>168397</v>
      </c>
      <c r="O127">
        <v>18</v>
      </c>
      <c r="P127">
        <v>75</v>
      </c>
    </row>
    <row r="128" spans="1:16" x14ac:dyDescent="0.3">
      <c r="A128">
        <v>2023</v>
      </c>
      <c r="B128" t="s">
        <v>24</v>
      </c>
      <c r="C128" t="s">
        <v>22</v>
      </c>
      <c r="D128" t="s">
        <v>17</v>
      </c>
      <c r="E128" t="s">
        <v>30</v>
      </c>
      <c r="F128">
        <v>41274</v>
      </c>
      <c r="G128">
        <v>4316</v>
      </c>
      <c r="H128">
        <v>155363</v>
      </c>
      <c r="I128" s="11">
        <f>Table1[[#This Row],[Revenue (Crore ₹)]]/Table1[[#This Row],[Doctors / Staff]]</f>
        <v>35.996987951807228</v>
      </c>
      <c r="J128">
        <v>14.7</v>
      </c>
      <c r="K128">
        <v>17107</v>
      </c>
      <c r="L128">
        <v>4.1900000000000004</v>
      </c>
      <c r="M128">
        <v>20175</v>
      </c>
      <c r="N128">
        <v>135188</v>
      </c>
      <c r="O128">
        <v>20</v>
      </c>
      <c r="P128">
        <v>82</v>
      </c>
    </row>
    <row r="129" spans="1:16" x14ac:dyDescent="0.3">
      <c r="A129">
        <v>2022</v>
      </c>
      <c r="B129" t="s">
        <v>15</v>
      </c>
      <c r="C129" t="s">
        <v>42</v>
      </c>
      <c r="D129" t="s">
        <v>28</v>
      </c>
      <c r="E129" t="s">
        <v>38</v>
      </c>
      <c r="F129">
        <v>42295</v>
      </c>
      <c r="G129">
        <v>1947</v>
      </c>
      <c r="H129">
        <v>72405</v>
      </c>
      <c r="I129" s="11">
        <f>Table1[[#This Row],[Revenue (Crore ₹)]]/Table1[[#This Row],[Doctors / Staff]]</f>
        <v>37.187981510015412</v>
      </c>
      <c r="J129">
        <v>11.22</v>
      </c>
      <c r="K129">
        <v>3242</v>
      </c>
      <c r="L129">
        <v>2.93</v>
      </c>
      <c r="M129">
        <v>30791</v>
      </c>
      <c r="N129">
        <v>41614</v>
      </c>
      <c r="O129">
        <v>14</v>
      </c>
      <c r="P129">
        <v>87</v>
      </c>
    </row>
    <row r="130" spans="1:16" x14ac:dyDescent="0.3">
      <c r="A130">
        <v>2024</v>
      </c>
      <c r="B130" t="s">
        <v>24</v>
      </c>
      <c r="C130" t="s">
        <v>32</v>
      </c>
      <c r="D130" t="s">
        <v>17</v>
      </c>
      <c r="E130" t="s">
        <v>31</v>
      </c>
      <c r="F130">
        <v>2840</v>
      </c>
      <c r="G130">
        <v>2864</v>
      </c>
      <c r="H130">
        <v>53479</v>
      </c>
      <c r="I130" s="11">
        <f>Table1[[#This Row],[Revenue (Crore ₹)]]/Table1[[#This Row],[Doctors / Staff]]</f>
        <v>18.672835195530727</v>
      </c>
      <c r="J130">
        <v>4.63</v>
      </c>
      <c r="K130">
        <v>10979</v>
      </c>
      <c r="L130">
        <v>10.92</v>
      </c>
      <c r="M130">
        <v>36480</v>
      </c>
      <c r="N130">
        <v>16999</v>
      </c>
      <c r="O130">
        <v>19</v>
      </c>
      <c r="P130">
        <v>100</v>
      </c>
    </row>
    <row r="131" spans="1:16" x14ac:dyDescent="0.3">
      <c r="A131">
        <v>2021</v>
      </c>
      <c r="B131" t="s">
        <v>36</v>
      </c>
      <c r="C131" t="s">
        <v>32</v>
      </c>
      <c r="D131" t="s">
        <v>17</v>
      </c>
      <c r="E131" t="s">
        <v>18</v>
      </c>
      <c r="F131">
        <v>58650</v>
      </c>
      <c r="G131">
        <v>1844</v>
      </c>
      <c r="H131">
        <v>100654</v>
      </c>
      <c r="I131" s="11">
        <f>Table1[[#This Row],[Revenue (Crore ₹)]]/Table1[[#This Row],[Doctors / Staff]]</f>
        <v>54.584598698481564</v>
      </c>
      <c r="J131">
        <v>10.77</v>
      </c>
      <c r="K131">
        <v>7660</v>
      </c>
      <c r="L131">
        <v>2.5299999999999998</v>
      </c>
      <c r="M131">
        <v>21940</v>
      </c>
      <c r="N131">
        <v>78714</v>
      </c>
      <c r="O131">
        <v>19</v>
      </c>
      <c r="P131">
        <v>70</v>
      </c>
    </row>
    <row r="132" spans="1:16" x14ac:dyDescent="0.3">
      <c r="A132">
        <v>2021</v>
      </c>
      <c r="B132" t="s">
        <v>33</v>
      </c>
      <c r="C132" t="s">
        <v>44</v>
      </c>
      <c r="D132" t="s">
        <v>28</v>
      </c>
      <c r="E132" t="s">
        <v>18</v>
      </c>
      <c r="F132">
        <v>56287</v>
      </c>
      <c r="G132">
        <v>1066</v>
      </c>
      <c r="H132">
        <v>26870</v>
      </c>
      <c r="I132" s="11">
        <f>Table1[[#This Row],[Revenue (Crore ₹)]]/Table1[[#This Row],[Doctors / Staff]]</f>
        <v>25.206378986866792</v>
      </c>
      <c r="J132">
        <v>23.8</v>
      </c>
      <c r="K132">
        <v>16967</v>
      </c>
      <c r="L132">
        <v>4.2</v>
      </c>
      <c r="M132">
        <v>13740</v>
      </c>
      <c r="N132">
        <v>13130</v>
      </c>
      <c r="O132">
        <v>10</v>
      </c>
      <c r="P132">
        <v>72</v>
      </c>
    </row>
    <row r="133" spans="1:16" x14ac:dyDescent="0.3">
      <c r="A133">
        <v>2020</v>
      </c>
      <c r="B133" t="s">
        <v>21</v>
      </c>
      <c r="C133" t="s">
        <v>27</v>
      </c>
      <c r="D133" t="s">
        <v>28</v>
      </c>
      <c r="E133" t="s">
        <v>38</v>
      </c>
      <c r="F133">
        <v>45614</v>
      </c>
      <c r="G133">
        <v>1437</v>
      </c>
      <c r="H133">
        <v>86434</v>
      </c>
      <c r="I133" s="11">
        <f>Table1[[#This Row],[Revenue (Crore ₹)]]/Table1[[#This Row],[Doctors / Staff]]</f>
        <v>60.148921363952681</v>
      </c>
      <c r="J133">
        <v>8.69</v>
      </c>
      <c r="K133">
        <v>11733</v>
      </c>
      <c r="L133">
        <v>8.35</v>
      </c>
      <c r="M133">
        <v>19271</v>
      </c>
      <c r="N133">
        <v>67163</v>
      </c>
      <c r="O133">
        <v>10</v>
      </c>
      <c r="P133">
        <v>92</v>
      </c>
    </row>
    <row r="134" spans="1:16" x14ac:dyDescent="0.3">
      <c r="A134">
        <v>2024</v>
      </c>
      <c r="B134" t="s">
        <v>15</v>
      </c>
      <c r="C134" t="s">
        <v>22</v>
      </c>
      <c r="D134" t="s">
        <v>17</v>
      </c>
      <c r="E134" t="s">
        <v>43</v>
      </c>
      <c r="F134">
        <v>84752</v>
      </c>
      <c r="G134">
        <v>4542</v>
      </c>
      <c r="H134">
        <v>4187</v>
      </c>
      <c r="I134" s="11">
        <f>Table1[[#This Row],[Revenue (Crore ₹)]]/Table1[[#This Row],[Doctors / Staff]]</f>
        <v>0.92184059885512992</v>
      </c>
      <c r="J134">
        <v>17.79</v>
      </c>
      <c r="K134">
        <v>1573</v>
      </c>
      <c r="L134">
        <v>1.66</v>
      </c>
      <c r="M134">
        <v>35937</v>
      </c>
      <c r="N134">
        <v>-31750</v>
      </c>
      <c r="O134">
        <v>14</v>
      </c>
      <c r="P134">
        <v>77</v>
      </c>
    </row>
    <row r="135" spans="1:16" x14ac:dyDescent="0.3">
      <c r="A135">
        <v>2021</v>
      </c>
      <c r="B135" t="s">
        <v>34</v>
      </c>
      <c r="C135" t="s">
        <v>40</v>
      </c>
      <c r="D135" t="s">
        <v>28</v>
      </c>
      <c r="E135" t="s">
        <v>31</v>
      </c>
      <c r="F135">
        <v>83151</v>
      </c>
      <c r="G135">
        <v>180</v>
      </c>
      <c r="H135">
        <v>97740</v>
      </c>
      <c r="I135" s="11">
        <f>Table1[[#This Row],[Revenue (Crore ₹)]]/Table1[[#This Row],[Doctors / Staff]]</f>
        <v>543</v>
      </c>
      <c r="J135">
        <v>20.83</v>
      </c>
      <c r="K135">
        <v>18758</v>
      </c>
      <c r="L135">
        <v>8.82</v>
      </c>
      <c r="M135">
        <v>47538</v>
      </c>
      <c r="N135">
        <v>50202</v>
      </c>
      <c r="O135">
        <v>10</v>
      </c>
      <c r="P135">
        <v>81</v>
      </c>
    </row>
    <row r="136" spans="1:16" x14ac:dyDescent="0.3">
      <c r="A136">
        <v>2024</v>
      </c>
      <c r="B136" t="s">
        <v>19</v>
      </c>
      <c r="C136" t="s">
        <v>44</v>
      </c>
      <c r="D136" t="s">
        <v>28</v>
      </c>
      <c r="E136" t="s">
        <v>30</v>
      </c>
      <c r="F136">
        <v>68806</v>
      </c>
      <c r="G136">
        <v>4983</v>
      </c>
      <c r="H136">
        <v>141924</v>
      </c>
      <c r="I136" s="11">
        <f>Table1[[#This Row],[Revenue (Crore ₹)]]/Table1[[#This Row],[Doctors / Staff]]</f>
        <v>28.481637567730282</v>
      </c>
      <c r="J136">
        <v>20.66</v>
      </c>
      <c r="K136">
        <v>18752</v>
      </c>
      <c r="L136">
        <v>7.8</v>
      </c>
      <c r="M136">
        <v>34786</v>
      </c>
      <c r="N136">
        <v>107138</v>
      </c>
      <c r="O136">
        <v>20</v>
      </c>
      <c r="P136">
        <v>92</v>
      </c>
    </row>
    <row r="137" spans="1:16" x14ac:dyDescent="0.3">
      <c r="A137">
        <v>2022</v>
      </c>
      <c r="B137" t="s">
        <v>19</v>
      </c>
      <c r="C137" t="s">
        <v>16</v>
      </c>
      <c r="D137" t="s">
        <v>17</v>
      </c>
      <c r="E137" t="s">
        <v>18</v>
      </c>
      <c r="F137">
        <v>21493</v>
      </c>
      <c r="G137">
        <v>2934</v>
      </c>
      <c r="H137">
        <v>122721</v>
      </c>
      <c r="I137" s="11">
        <f>Table1[[#This Row],[Revenue (Crore ₹)]]/Table1[[#This Row],[Doctors / Staff]]</f>
        <v>41.827198364008183</v>
      </c>
      <c r="J137">
        <v>6.27</v>
      </c>
      <c r="K137">
        <v>15548</v>
      </c>
      <c r="L137">
        <v>3.14</v>
      </c>
      <c r="M137">
        <v>33803</v>
      </c>
      <c r="N137">
        <v>88918</v>
      </c>
      <c r="O137">
        <v>18</v>
      </c>
      <c r="P137">
        <v>75</v>
      </c>
    </row>
    <row r="138" spans="1:16" x14ac:dyDescent="0.3">
      <c r="A138">
        <v>2022</v>
      </c>
      <c r="B138" t="s">
        <v>39</v>
      </c>
      <c r="C138" t="s">
        <v>37</v>
      </c>
      <c r="D138" t="s">
        <v>17</v>
      </c>
      <c r="E138" t="s">
        <v>18</v>
      </c>
      <c r="F138">
        <v>25484</v>
      </c>
      <c r="G138">
        <v>3286</v>
      </c>
      <c r="H138">
        <v>42279</v>
      </c>
      <c r="I138" s="11">
        <f>Table1[[#This Row],[Revenue (Crore ₹)]]/Table1[[#This Row],[Doctors / Staff]]</f>
        <v>12.866402921485088</v>
      </c>
      <c r="J138">
        <v>17.899999999999999</v>
      </c>
      <c r="K138">
        <v>5370</v>
      </c>
      <c r="L138">
        <v>2.2200000000000002</v>
      </c>
      <c r="M138">
        <v>20869</v>
      </c>
      <c r="N138">
        <v>21410</v>
      </c>
      <c r="O138">
        <v>5</v>
      </c>
      <c r="P138">
        <v>96</v>
      </c>
    </row>
    <row r="139" spans="1:16" x14ac:dyDescent="0.3">
      <c r="A139">
        <v>2022</v>
      </c>
      <c r="B139" t="s">
        <v>24</v>
      </c>
      <c r="C139" t="s">
        <v>22</v>
      </c>
      <c r="D139" t="s">
        <v>17</v>
      </c>
      <c r="E139" t="s">
        <v>23</v>
      </c>
      <c r="F139">
        <v>17409</v>
      </c>
      <c r="G139">
        <v>2105</v>
      </c>
      <c r="H139">
        <v>144690</v>
      </c>
      <c r="I139" s="11">
        <f>Table1[[#This Row],[Revenue (Crore ₹)]]/Table1[[#This Row],[Doctors / Staff]]</f>
        <v>68.736342042755339</v>
      </c>
      <c r="J139">
        <v>11.88</v>
      </c>
      <c r="K139">
        <v>9576</v>
      </c>
      <c r="L139">
        <v>8.76</v>
      </c>
      <c r="M139">
        <v>17239</v>
      </c>
      <c r="N139">
        <v>127451</v>
      </c>
      <c r="O139">
        <v>19</v>
      </c>
      <c r="P139">
        <v>83</v>
      </c>
    </row>
    <row r="140" spans="1:16" x14ac:dyDescent="0.3">
      <c r="A140">
        <v>2021</v>
      </c>
      <c r="B140" t="s">
        <v>24</v>
      </c>
      <c r="C140" t="s">
        <v>20</v>
      </c>
      <c r="D140" t="s">
        <v>17</v>
      </c>
      <c r="E140" t="s">
        <v>30</v>
      </c>
      <c r="F140">
        <v>76659</v>
      </c>
      <c r="G140">
        <v>1519</v>
      </c>
      <c r="H140">
        <v>27802</v>
      </c>
      <c r="I140" s="11">
        <f>Table1[[#This Row],[Revenue (Crore ₹)]]/Table1[[#This Row],[Doctors / Staff]]</f>
        <v>18.302830809743252</v>
      </c>
      <c r="J140">
        <v>8.32</v>
      </c>
      <c r="K140">
        <v>18949</v>
      </c>
      <c r="L140">
        <v>5.05</v>
      </c>
      <c r="M140">
        <v>46763</v>
      </c>
      <c r="N140">
        <v>-18961</v>
      </c>
      <c r="O140">
        <v>16</v>
      </c>
      <c r="P140">
        <v>80</v>
      </c>
    </row>
    <row r="141" spans="1:16" x14ac:dyDescent="0.3">
      <c r="A141">
        <v>2022</v>
      </c>
      <c r="B141" t="s">
        <v>24</v>
      </c>
      <c r="C141" t="s">
        <v>25</v>
      </c>
      <c r="D141" t="s">
        <v>17</v>
      </c>
      <c r="E141" t="s">
        <v>31</v>
      </c>
      <c r="F141">
        <v>71896</v>
      </c>
      <c r="G141">
        <v>2136</v>
      </c>
      <c r="H141">
        <v>195649</v>
      </c>
      <c r="I141" s="11">
        <f>Table1[[#This Row],[Revenue (Crore ₹)]]/Table1[[#This Row],[Doctors / Staff]]</f>
        <v>91.595973782771537</v>
      </c>
      <c r="J141">
        <v>20.34</v>
      </c>
      <c r="K141">
        <v>15215</v>
      </c>
      <c r="L141">
        <v>11.85</v>
      </c>
      <c r="M141">
        <v>8462</v>
      </c>
      <c r="N141">
        <v>187187</v>
      </c>
      <c r="O141">
        <v>7</v>
      </c>
      <c r="P141">
        <v>74</v>
      </c>
    </row>
    <row r="142" spans="1:16" x14ac:dyDescent="0.3">
      <c r="A142">
        <v>2024</v>
      </c>
      <c r="B142" t="s">
        <v>36</v>
      </c>
      <c r="C142" t="s">
        <v>44</v>
      </c>
      <c r="D142" t="s">
        <v>28</v>
      </c>
      <c r="E142" t="s">
        <v>30</v>
      </c>
      <c r="F142">
        <v>14891</v>
      </c>
      <c r="G142">
        <v>3345</v>
      </c>
      <c r="H142">
        <v>162224</v>
      </c>
      <c r="I142" s="11">
        <f>Table1[[#This Row],[Revenue (Crore ₹)]]/Table1[[#This Row],[Doctors / Staff]]</f>
        <v>48.497458893871453</v>
      </c>
      <c r="J142">
        <v>3.8</v>
      </c>
      <c r="K142">
        <v>14544</v>
      </c>
      <c r="L142">
        <v>2.57</v>
      </c>
      <c r="M142">
        <v>40201</v>
      </c>
      <c r="N142">
        <v>122023</v>
      </c>
      <c r="O142">
        <v>10</v>
      </c>
      <c r="P142">
        <v>87</v>
      </c>
    </row>
    <row r="143" spans="1:16" x14ac:dyDescent="0.3">
      <c r="A143">
        <v>2025</v>
      </c>
      <c r="B143" t="s">
        <v>24</v>
      </c>
      <c r="C143" t="s">
        <v>35</v>
      </c>
      <c r="D143" t="s">
        <v>17</v>
      </c>
      <c r="E143" t="s">
        <v>18</v>
      </c>
      <c r="F143">
        <v>69787</v>
      </c>
      <c r="G143">
        <v>4979</v>
      </c>
      <c r="H143">
        <v>75868</v>
      </c>
      <c r="I143" s="11">
        <f>Table1[[#This Row],[Revenue (Crore ₹)]]/Table1[[#This Row],[Doctors / Staff]]</f>
        <v>15.237597911227153</v>
      </c>
      <c r="J143">
        <v>6.37</v>
      </c>
      <c r="K143">
        <v>8256</v>
      </c>
      <c r="L143">
        <v>13.06</v>
      </c>
      <c r="M143">
        <v>12668</v>
      </c>
      <c r="N143">
        <v>63200</v>
      </c>
      <c r="O143">
        <v>13</v>
      </c>
      <c r="P143">
        <v>76</v>
      </c>
    </row>
    <row r="144" spans="1:16" x14ac:dyDescent="0.3">
      <c r="A144">
        <v>2023</v>
      </c>
      <c r="B144" t="s">
        <v>19</v>
      </c>
      <c r="C144" t="s">
        <v>44</v>
      </c>
      <c r="D144" t="s">
        <v>28</v>
      </c>
      <c r="E144" t="s">
        <v>41</v>
      </c>
      <c r="F144">
        <v>50056</v>
      </c>
      <c r="G144">
        <v>2684</v>
      </c>
      <c r="H144">
        <v>147813</v>
      </c>
      <c r="I144" s="11">
        <f>Table1[[#This Row],[Revenue (Crore ₹)]]/Table1[[#This Row],[Doctors / Staff]]</f>
        <v>55.071907600596127</v>
      </c>
      <c r="J144">
        <v>17.84</v>
      </c>
      <c r="K144">
        <v>14708</v>
      </c>
      <c r="L144">
        <v>2.75</v>
      </c>
      <c r="M144">
        <v>22666</v>
      </c>
      <c r="N144">
        <v>125147</v>
      </c>
      <c r="O144">
        <v>2</v>
      </c>
      <c r="P144">
        <v>75</v>
      </c>
    </row>
    <row r="145" spans="1:16" x14ac:dyDescent="0.3">
      <c r="A145">
        <v>2022</v>
      </c>
      <c r="B145" t="s">
        <v>33</v>
      </c>
      <c r="C145" t="s">
        <v>25</v>
      </c>
      <c r="D145" t="s">
        <v>17</v>
      </c>
      <c r="E145" t="s">
        <v>23</v>
      </c>
      <c r="F145">
        <v>11256</v>
      </c>
      <c r="G145">
        <v>3927</v>
      </c>
      <c r="H145">
        <v>198671</v>
      </c>
      <c r="I145" s="11">
        <f>Table1[[#This Row],[Revenue (Crore ₹)]]/Table1[[#This Row],[Doctors / Staff]]</f>
        <v>50.591036414565828</v>
      </c>
      <c r="J145">
        <v>4.1399999999999997</v>
      </c>
      <c r="K145">
        <v>4729</v>
      </c>
      <c r="L145">
        <v>9.92</v>
      </c>
      <c r="M145">
        <v>28857</v>
      </c>
      <c r="N145">
        <v>169814</v>
      </c>
      <c r="O145">
        <v>13</v>
      </c>
      <c r="P145">
        <v>81</v>
      </c>
    </row>
    <row r="146" spans="1:16" x14ac:dyDescent="0.3">
      <c r="A146">
        <v>2024</v>
      </c>
      <c r="B146" t="s">
        <v>36</v>
      </c>
      <c r="C146" t="s">
        <v>44</v>
      </c>
      <c r="D146" t="s">
        <v>28</v>
      </c>
      <c r="E146" t="s">
        <v>43</v>
      </c>
      <c r="F146">
        <v>73748</v>
      </c>
      <c r="G146">
        <v>4230</v>
      </c>
      <c r="H146">
        <v>27686</v>
      </c>
      <c r="I146" s="11">
        <f>Table1[[#This Row],[Revenue (Crore ₹)]]/Table1[[#This Row],[Doctors / Staff]]</f>
        <v>6.5451536643026005</v>
      </c>
      <c r="J146">
        <v>22.14</v>
      </c>
      <c r="K146">
        <v>1270</v>
      </c>
      <c r="L146">
        <v>8.25</v>
      </c>
      <c r="M146">
        <v>11398</v>
      </c>
      <c r="N146">
        <v>16288</v>
      </c>
      <c r="O146">
        <v>19</v>
      </c>
      <c r="P146">
        <v>86</v>
      </c>
    </row>
    <row r="147" spans="1:16" x14ac:dyDescent="0.3">
      <c r="A147">
        <v>2025</v>
      </c>
      <c r="B147" t="s">
        <v>34</v>
      </c>
      <c r="C147" t="s">
        <v>42</v>
      </c>
      <c r="D147" t="s">
        <v>28</v>
      </c>
      <c r="E147" t="s">
        <v>41</v>
      </c>
      <c r="F147">
        <v>92719</v>
      </c>
      <c r="G147">
        <v>1835</v>
      </c>
      <c r="H147">
        <v>124879</v>
      </c>
      <c r="I147" s="11">
        <f>Table1[[#This Row],[Revenue (Crore ₹)]]/Table1[[#This Row],[Doctors / Staff]]</f>
        <v>68.053950953678481</v>
      </c>
      <c r="J147">
        <v>16.809999999999999</v>
      </c>
      <c r="K147">
        <v>1188</v>
      </c>
      <c r="L147">
        <v>2</v>
      </c>
      <c r="M147">
        <v>1575</v>
      </c>
      <c r="N147">
        <v>123304</v>
      </c>
      <c r="O147">
        <v>1</v>
      </c>
      <c r="P147">
        <v>87</v>
      </c>
    </row>
    <row r="148" spans="1:16" x14ac:dyDescent="0.3">
      <c r="A148">
        <v>2023</v>
      </c>
      <c r="B148" t="s">
        <v>36</v>
      </c>
      <c r="C148" t="s">
        <v>44</v>
      </c>
      <c r="D148" t="s">
        <v>28</v>
      </c>
      <c r="E148" t="s">
        <v>23</v>
      </c>
      <c r="F148">
        <v>87449</v>
      </c>
      <c r="G148">
        <v>1318</v>
      </c>
      <c r="H148">
        <v>59657</v>
      </c>
      <c r="I148" s="11">
        <f>Table1[[#This Row],[Revenue (Crore ₹)]]/Table1[[#This Row],[Doctors / Staff]]</f>
        <v>45.263277693474961</v>
      </c>
      <c r="J148">
        <v>14.21</v>
      </c>
      <c r="K148">
        <v>7956</v>
      </c>
      <c r="L148">
        <v>6.04</v>
      </c>
      <c r="M148">
        <v>25839</v>
      </c>
      <c r="N148">
        <v>33818</v>
      </c>
      <c r="O148">
        <v>0</v>
      </c>
      <c r="P148">
        <v>87</v>
      </c>
    </row>
    <row r="149" spans="1:16" x14ac:dyDescent="0.3">
      <c r="A149">
        <v>2023</v>
      </c>
      <c r="B149" t="s">
        <v>21</v>
      </c>
      <c r="C149" t="s">
        <v>35</v>
      </c>
      <c r="D149" t="s">
        <v>17</v>
      </c>
      <c r="E149" t="s">
        <v>26</v>
      </c>
      <c r="F149">
        <v>54093</v>
      </c>
      <c r="G149">
        <v>4823</v>
      </c>
      <c r="H149">
        <v>160608</v>
      </c>
      <c r="I149" s="11">
        <f>Table1[[#This Row],[Revenue (Crore ₹)]]/Table1[[#This Row],[Doctors / Staff]]</f>
        <v>33.300435413642958</v>
      </c>
      <c r="J149">
        <v>11.59</v>
      </c>
      <c r="K149">
        <v>19116</v>
      </c>
      <c r="L149">
        <v>10.47</v>
      </c>
      <c r="M149">
        <v>6933</v>
      </c>
      <c r="N149">
        <v>153675</v>
      </c>
      <c r="O149">
        <v>8</v>
      </c>
      <c r="P149">
        <v>90</v>
      </c>
    </row>
    <row r="150" spans="1:16" x14ac:dyDescent="0.3">
      <c r="A150">
        <v>2024</v>
      </c>
      <c r="B150" t="s">
        <v>24</v>
      </c>
      <c r="C150" t="s">
        <v>37</v>
      </c>
      <c r="D150" t="s">
        <v>17</v>
      </c>
      <c r="E150" t="s">
        <v>23</v>
      </c>
      <c r="F150">
        <v>97247</v>
      </c>
      <c r="G150">
        <v>4345</v>
      </c>
      <c r="H150">
        <v>5527</v>
      </c>
      <c r="I150" s="11">
        <f>Table1[[#This Row],[Revenue (Crore ₹)]]/Table1[[#This Row],[Doctors / Staff]]</f>
        <v>1.2720368239355582</v>
      </c>
      <c r="J150">
        <v>23.98</v>
      </c>
      <c r="K150">
        <v>6271</v>
      </c>
      <c r="L150">
        <v>8.15</v>
      </c>
      <c r="M150">
        <v>17769</v>
      </c>
      <c r="N150">
        <v>-12242</v>
      </c>
      <c r="O150">
        <v>14</v>
      </c>
      <c r="P150">
        <v>91</v>
      </c>
    </row>
    <row r="151" spans="1:16" x14ac:dyDescent="0.3">
      <c r="A151">
        <v>2020</v>
      </c>
      <c r="B151" t="s">
        <v>21</v>
      </c>
      <c r="C151" t="s">
        <v>32</v>
      </c>
      <c r="D151" t="s">
        <v>17</v>
      </c>
      <c r="E151" t="s">
        <v>18</v>
      </c>
      <c r="F151">
        <v>9144</v>
      </c>
      <c r="G151">
        <v>3325</v>
      </c>
      <c r="H151">
        <v>199743</v>
      </c>
      <c r="I151" s="11">
        <f>Table1[[#This Row],[Revenue (Crore ₹)]]/Table1[[#This Row],[Doctors / Staff]]</f>
        <v>60.073082706766918</v>
      </c>
      <c r="J151">
        <v>23.97</v>
      </c>
      <c r="K151">
        <v>659</v>
      </c>
      <c r="L151">
        <v>3.1</v>
      </c>
      <c r="M151">
        <v>23379</v>
      </c>
      <c r="N151">
        <v>176364</v>
      </c>
      <c r="O151">
        <v>11</v>
      </c>
      <c r="P151">
        <v>75</v>
      </c>
    </row>
    <row r="152" spans="1:16" x14ac:dyDescent="0.3">
      <c r="A152">
        <v>2025</v>
      </c>
      <c r="B152" t="s">
        <v>24</v>
      </c>
      <c r="C152" t="s">
        <v>44</v>
      </c>
      <c r="D152" t="s">
        <v>28</v>
      </c>
      <c r="E152" t="s">
        <v>18</v>
      </c>
      <c r="F152">
        <v>5490</v>
      </c>
      <c r="G152">
        <v>1768</v>
      </c>
      <c r="H152">
        <v>129569</v>
      </c>
      <c r="I152" s="11">
        <f>Table1[[#This Row],[Revenue (Crore ₹)]]/Table1[[#This Row],[Doctors / Staff]]</f>
        <v>73.285633484162901</v>
      </c>
      <c r="J152">
        <v>24.97</v>
      </c>
      <c r="K152">
        <v>3326</v>
      </c>
      <c r="L152">
        <v>2.9</v>
      </c>
      <c r="M152">
        <v>39561</v>
      </c>
      <c r="N152">
        <v>90008</v>
      </c>
      <c r="O152">
        <v>15</v>
      </c>
      <c r="P152">
        <v>89</v>
      </c>
    </row>
    <row r="153" spans="1:16" x14ac:dyDescent="0.3">
      <c r="A153">
        <v>2021</v>
      </c>
      <c r="B153" t="s">
        <v>21</v>
      </c>
      <c r="C153" t="s">
        <v>25</v>
      </c>
      <c r="D153" t="s">
        <v>17</v>
      </c>
      <c r="E153" t="s">
        <v>18</v>
      </c>
      <c r="F153">
        <v>26087</v>
      </c>
      <c r="G153">
        <v>3762</v>
      </c>
      <c r="H153">
        <v>195822</v>
      </c>
      <c r="I153" s="11">
        <f>Table1[[#This Row],[Revenue (Crore ₹)]]/Table1[[#This Row],[Doctors / Staff]]</f>
        <v>52.05263157894737</v>
      </c>
      <c r="J153">
        <v>10.98</v>
      </c>
      <c r="K153">
        <v>19640</v>
      </c>
      <c r="L153">
        <v>6.41</v>
      </c>
      <c r="M153">
        <v>39744</v>
      </c>
      <c r="N153">
        <v>156078</v>
      </c>
      <c r="O153">
        <v>13</v>
      </c>
      <c r="P153">
        <v>99</v>
      </c>
    </row>
    <row r="154" spans="1:16" x14ac:dyDescent="0.3">
      <c r="A154">
        <v>2022</v>
      </c>
      <c r="B154" t="s">
        <v>39</v>
      </c>
      <c r="C154" t="s">
        <v>22</v>
      </c>
      <c r="D154" t="s">
        <v>17</v>
      </c>
      <c r="E154" t="s">
        <v>41</v>
      </c>
      <c r="F154">
        <v>53299</v>
      </c>
      <c r="G154">
        <v>4427</v>
      </c>
      <c r="H154">
        <v>36239</v>
      </c>
      <c r="I154" s="11">
        <f>Table1[[#This Row],[Revenue (Crore ₹)]]/Table1[[#This Row],[Doctors / Staff]]</f>
        <v>8.1859046758527221</v>
      </c>
      <c r="J154">
        <v>14.32</v>
      </c>
      <c r="K154">
        <v>2418</v>
      </c>
      <c r="L154">
        <v>1.35</v>
      </c>
      <c r="M154">
        <v>11661</v>
      </c>
      <c r="N154">
        <v>24578</v>
      </c>
      <c r="O154">
        <v>18</v>
      </c>
      <c r="P154">
        <v>78</v>
      </c>
    </row>
    <row r="155" spans="1:16" x14ac:dyDescent="0.3">
      <c r="A155">
        <v>2024</v>
      </c>
      <c r="B155" t="s">
        <v>34</v>
      </c>
      <c r="C155" t="s">
        <v>42</v>
      </c>
      <c r="D155" t="s">
        <v>28</v>
      </c>
      <c r="E155" t="s">
        <v>26</v>
      </c>
      <c r="F155">
        <v>58137</v>
      </c>
      <c r="G155">
        <v>404</v>
      </c>
      <c r="H155">
        <v>109621</v>
      </c>
      <c r="I155" s="11">
        <f>Table1[[#This Row],[Revenue (Crore ₹)]]/Table1[[#This Row],[Doctors / Staff]]</f>
        <v>271.33910891089107</v>
      </c>
      <c r="J155">
        <v>10.75</v>
      </c>
      <c r="K155">
        <v>12841</v>
      </c>
      <c r="L155">
        <v>5.07</v>
      </c>
      <c r="M155">
        <v>18488</v>
      </c>
      <c r="N155">
        <v>91133</v>
      </c>
      <c r="O155">
        <v>8</v>
      </c>
      <c r="P155">
        <v>71</v>
      </c>
    </row>
    <row r="156" spans="1:16" x14ac:dyDescent="0.3">
      <c r="A156">
        <v>2025</v>
      </c>
      <c r="B156" t="s">
        <v>21</v>
      </c>
      <c r="C156" t="s">
        <v>20</v>
      </c>
      <c r="D156" t="s">
        <v>17</v>
      </c>
      <c r="E156" t="s">
        <v>41</v>
      </c>
      <c r="F156">
        <v>9812</v>
      </c>
      <c r="G156">
        <v>2514</v>
      </c>
      <c r="H156">
        <v>9899</v>
      </c>
      <c r="I156" s="11">
        <f>Table1[[#This Row],[Revenue (Crore ₹)]]/Table1[[#This Row],[Doctors / Staff]]</f>
        <v>3.9375497215592681</v>
      </c>
      <c r="J156">
        <v>15.18</v>
      </c>
      <c r="K156">
        <v>16953</v>
      </c>
      <c r="L156">
        <v>3.39</v>
      </c>
      <c r="M156">
        <v>3371</v>
      </c>
      <c r="N156">
        <v>6528</v>
      </c>
      <c r="O156">
        <v>8</v>
      </c>
      <c r="P156">
        <v>76</v>
      </c>
    </row>
    <row r="157" spans="1:16" x14ac:dyDescent="0.3">
      <c r="A157">
        <v>2023</v>
      </c>
      <c r="B157" t="s">
        <v>33</v>
      </c>
      <c r="C157" t="s">
        <v>37</v>
      </c>
      <c r="D157" t="s">
        <v>17</v>
      </c>
      <c r="E157" t="s">
        <v>26</v>
      </c>
      <c r="F157">
        <v>36635</v>
      </c>
      <c r="G157">
        <v>3562</v>
      </c>
      <c r="H157">
        <v>29013</v>
      </c>
      <c r="I157" s="11">
        <f>Table1[[#This Row],[Revenue (Crore ₹)]]/Table1[[#This Row],[Doctors / Staff]]</f>
        <v>8.145143177989894</v>
      </c>
      <c r="J157">
        <v>16.13</v>
      </c>
      <c r="K157">
        <v>7292</v>
      </c>
      <c r="L157">
        <v>8.0299999999999994</v>
      </c>
      <c r="M157">
        <v>48553</v>
      </c>
      <c r="N157">
        <v>-19540</v>
      </c>
      <c r="O157">
        <v>12</v>
      </c>
      <c r="P157">
        <v>93</v>
      </c>
    </row>
    <row r="158" spans="1:16" x14ac:dyDescent="0.3">
      <c r="A158">
        <v>2025</v>
      </c>
      <c r="B158" t="s">
        <v>34</v>
      </c>
      <c r="C158" t="s">
        <v>22</v>
      </c>
      <c r="D158" t="s">
        <v>17</v>
      </c>
      <c r="E158" t="s">
        <v>43</v>
      </c>
      <c r="F158">
        <v>72632</v>
      </c>
      <c r="G158">
        <v>1727</v>
      </c>
      <c r="H158">
        <v>82974</v>
      </c>
      <c r="I158" s="11">
        <f>Table1[[#This Row],[Revenue (Crore ₹)]]/Table1[[#This Row],[Doctors / Staff]]</f>
        <v>48.045165026056743</v>
      </c>
      <c r="J158">
        <v>9.86</v>
      </c>
      <c r="K158">
        <v>10137</v>
      </c>
      <c r="L158">
        <v>2.7</v>
      </c>
      <c r="M158">
        <v>6444</v>
      </c>
      <c r="N158">
        <v>76530</v>
      </c>
      <c r="O158">
        <v>13</v>
      </c>
      <c r="P158">
        <v>86</v>
      </c>
    </row>
    <row r="159" spans="1:16" x14ac:dyDescent="0.3">
      <c r="A159">
        <v>2022</v>
      </c>
      <c r="B159" t="s">
        <v>39</v>
      </c>
      <c r="C159" t="s">
        <v>35</v>
      </c>
      <c r="D159" t="s">
        <v>17</v>
      </c>
      <c r="E159" t="s">
        <v>41</v>
      </c>
      <c r="F159">
        <v>31735</v>
      </c>
      <c r="G159">
        <v>4602</v>
      </c>
      <c r="H159">
        <v>6605</v>
      </c>
      <c r="I159" s="11">
        <f>Table1[[#This Row],[Revenue (Crore ₹)]]/Table1[[#This Row],[Doctors / Staff]]</f>
        <v>1.435245545415037</v>
      </c>
      <c r="J159">
        <v>18.16</v>
      </c>
      <c r="K159">
        <v>11922</v>
      </c>
      <c r="L159">
        <v>12.9</v>
      </c>
      <c r="M159">
        <v>20200</v>
      </c>
      <c r="N159">
        <v>-13595</v>
      </c>
      <c r="O159">
        <v>10</v>
      </c>
      <c r="P159">
        <v>94</v>
      </c>
    </row>
    <row r="160" spans="1:16" x14ac:dyDescent="0.3">
      <c r="A160">
        <v>2022</v>
      </c>
      <c r="B160" t="s">
        <v>33</v>
      </c>
      <c r="C160" t="s">
        <v>44</v>
      </c>
      <c r="D160" t="s">
        <v>28</v>
      </c>
      <c r="E160" t="s">
        <v>18</v>
      </c>
      <c r="F160">
        <v>78671</v>
      </c>
      <c r="G160">
        <v>4440</v>
      </c>
      <c r="H160">
        <v>155791</v>
      </c>
      <c r="I160" s="11">
        <f>Table1[[#This Row],[Revenue (Crore ₹)]]/Table1[[#This Row],[Doctors / Staff]]</f>
        <v>35.088063063063061</v>
      </c>
      <c r="J160">
        <v>14.79</v>
      </c>
      <c r="K160">
        <v>10496</v>
      </c>
      <c r="L160">
        <v>1.7</v>
      </c>
      <c r="M160">
        <v>48402</v>
      </c>
      <c r="N160">
        <v>107389</v>
      </c>
      <c r="O160">
        <v>3</v>
      </c>
      <c r="P160">
        <v>73</v>
      </c>
    </row>
    <row r="161" spans="1:16" x14ac:dyDescent="0.3">
      <c r="A161">
        <v>2023</v>
      </c>
      <c r="B161" t="s">
        <v>34</v>
      </c>
      <c r="C161" t="s">
        <v>16</v>
      </c>
      <c r="D161" t="s">
        <v>17</v>
      </c>
      <c r="E161" t="s">
        <v>30</v>
      </c>
      <c r="F161">
        <v>16621</v>
      </c>
      <c r="G161">
        <v>2370</v>
      </c>
      <c r="H161">
        <v>100996</v>
      </c>
      <c r="I161" s="11">
        <f>Table1[[#This Row],[Revenue (Crore ₹)]]/Table1[[#This Row],[Doctors / Staff]]</f>
        <v>42.61434599156118</v>
      </c>
      <c r="J161">
        <v>18.850000000000001</v>
      </c>
      <c r="K161">
        <v>8030</v>
      </c>
      <c r="L161">
        <v>5.55</v>
      </c>
      <c r="M161">
        <v>26509</v>
      </c>
      <c r="N161">
        <v>74487</v>
      </c>
      <c r="O161">
        <v>5</v>
      </c>
      <c r="P161">
        <v>91</v>
      </c>
    </row>
    <row r="162" spans="1:16" x14ac:dyDescent="0.3">
      <c r="A162">
        <v>2022</v>
      </c>
      <c r="B162" t="s">
        <v>33</v>
      </c>
      <c r="C162" t="s">
        <v>25</v>
      </c>
      <c r="D162" t="s">
        <v>17</v>
      </c>
      <c r="E162" t="s">
        <v>38</v>
      </c>
      <c r="F162">
        <v>68427</v>
      </c>
      <c r="G162">
        <v>422</v>
      </c>
      <c r="H162">
        <v>26769</v>
      </c>
      <c r="I162" s="11">
        <f>Table1[[#This Row],[Revenue (Crore ₹)]]/Table1[[#This Row],[Doctors / Staff]]</f>
        <v>63.433649289099527</v>
      </c>
      <c r="J162">
        <v>10.16</v>
      </c>
      <c r="K162">
        <v>12402</v>
      </c>
      <c r="L162">
        <v>10.56</v>
      </c>
      <c r="M162">
        <v>20186</v>
      </c>
      <c r="N162">
        <v>6583</v>
      </c>
      <c r="O162">
        <v>3</v>
      </c>
      <c r="P162">
        <v>98</v>
      </c>
    </row>
    <row r="163" spans="1:16" x14ac:dyDescent="0.3">
      <c r="A163">
        <v>2024</v>
      </c>
      <c r="B163" t="s">
        <v>39</v>
      </c>
      <c r="C163" t="s">
        <v>25</v>
      </c>
      <c r="D163" t="s">
        <v>17</v>
      </c>
      <c r="E163" t="s">
        <v>31</v>
      </c>
      <c r="F163">
        <v>88749</v>
      </c>
      <c r="G163">
        <v>2287</v>
      </c>
      <c r="H163">
        <v>46788</v>
      </c>
      <c r="I163" s="11">
        <f>Table1[[#This Row],[Revenue (Crore ₹)]]/Table1[[#This Row],[Doctors / Staff]]</f>
        <v>20.458242238740709</v>
      </c>
      <c r="J163">
        <v>13.44</v>
      </c>
      <c r="K163">
        <v>12073</v>
      </c>
      <c r="L163">
        <v>4.22</v>
      </c>
      <c r="M163">
        <v>21305</v>
      </c>
      <c r="N163">
        <v>25483</v>
      </c>
      <c r="O163">
        <v>8</v>
      </c>
      <c r="P163">
        <v>91</v>
      </c>
    </row>
    <row r="164" spans="1:16" x14ac:dyDescent="0.3">
      <c r="A164">
        <v>2020</v>
      </c>
      <c r="B164" t="s">
        <v>19</v>
      </c>
      <c r="C164" t="s">
        <v>20</v>
      </c>
      <c r="D164" t="s">
        <v>17</v>
      </c>
      <c r="E164" t="s">
        <v>43</v>
      </c>
      <c r="F164">
        <v>43028</v>
      </c>
      <c r="G164">
        <v>3439</v>
      </c>
      <c r="H164">
        <v>80566</v>
      </c>
      <c r="I164" s="11">
        <f>Table1[[#This Row],[Revenue (Crore ₹)]]/Table1[[#This Row],[Doctors / Staff]]</f>
        <v>23.427159057865659</v>
      </c>
      <c r="J164">
        <v>19.579999999999998</v>
      </c>
      <c r="K164">
        <v>5059</v>
      </c>
      <c r="L164">
        <v>6.26</v>
      </c>
      <c r="M164">
        <v>13911</v>
      </c>
      <c r="N164">
        <v>66655</v>
      </c>
      <c r="O164">
        <v>11</v>
      </c>
      <c r="P164">
        <v>85</v>
      </c>
    </row>
    <row r="165" spans="1:16" x14ac:dyDescent="0.3">
      <c r="A165">
        <v>2021</v>
      </c>
      <c r="B165" t="s">
        <v>33</v>
      </c>
      <c r="C165" t="s">
        <v>27</v>
      </c>
      <c r="D165" t="s">
        <v>28</v>
      </c>
      <c r="E165" t="s">
        <v>26</v>
      </c>
      <c r="F165">
        <v>57063</v>
      </c>
      <c r="G165">
        <v>2814</v>
      </c>
      <c r="H165">
        <v>26556</v>
      </c>
      <c r="I165" s="11">
        <f>Table1[[#This Row],[Revenue (Crore ₹)]]/Table1[[#This Row],[Doctors / Staff]]</f>
        <v>9.4371002132196153</v>
      </c>
      <c r="J165">
        <v>19.21</v>
      </c>
      <c r="K165">
        <v>13747</v>
      </c>
      <c r="L165">
        <v>9.42</v>
      </c>
      <c r="M165">
        <v>5225</v>
      </c>
      <c r="N165">
        <v>21331</v>
      </c>
      <c r="O165">
        <v>3</v>
      </c>
      <c r="P165">
        <v>98</v>
      </c>
    </row>
    <row r="166" spans="1:16" x14ac:dyDescent="0.3">
      <c r="A166">
        <v>2024</v>
      </c>
      <c r="B166" t="s">
        <v>15</v>
      </c>
      <c r="C166" t="s">
        <v>40</v>
      </c>
      <c r="D166" t="s">
        <v>28</v>
      </c>
      <c r="E166" t="s">
        <v>30</v>
      </c>
      <c r="F166">
        <v>99126</v>
      </c>
      <c r="G166">
        <v>4725</v>
      </c>
      <c r="H166">
        <v>108399</v>
      </c>
      <c r="I166" s="11">
        <f>Table1[[#This Row],[Revenue (Crore ₹)]]/Table1[[#This Row],[Doctors / Staff]]</f>
        <v>22.941587301587301</v>
      </c>
      <c r="J166">
        <v>17.61</v>
      </c>
      <c r="K166">
        <v>2657</v>
      </c>
      <c r="L166">
        <v>5.48</v>
      </c>
      <c r="M166">
        <v>36184</v>
      </c>
      <c r="N166">
        <v>72215</v>
      </c>
      <c r="O166">
        <v>0</v>
      </c>
      <c r="P166">
        <v>98</v>
      </c>
    </row>
    <row r="167" spans="1:16" x14ac:dyDescent="0.3">
      <c r="A167">
        <v>2022</v>
      </c>
      <c r="B167" t="s">
        <v>33</v>
      </c>
      <c r="C167" t="s">
        <v>40</v>
      </c>
      <c r="D167" t="s">
        <v>28</v>
      </c>
      <c r="E167" t="s">
        <v>30</v>
      </c>
      <c r="F167">
        <v>65686</v>
      </c>
      <c r="G167">
        <v>3761</v>
      </c>
      <c r="H167">
        <v>134219</v>
      </c>
      <c r="I167" s="11">
        <f>Table1[[#This Row],[Revenue (Crore ₹)]]/Table1[[#This Row],[Doctors / Staff]]</f>
        <v>35.687051316139325</v>
      </c>
      <c r="J167">
        <v>23.11</v>
      </c>
      <c r="K167">
        <v>1967</v>
      </c>
      <c r="L167">
        <v>4.0199999999999996</v>
      </c>
      <c r="M167">
        <v>27277</v>
      </c>
      <c r="N167">
        <v>106942</v>
      </c>
      <c r="O167">
        <v>2</v>
      </c>
      <c r="P167">
        <v>76</v>
      </c>
    </row>
    <row r="168" spans="1:16" x14ac:dyDescent="0.3">
      <c r="A168">
        <v>2022</v>
      </c>
      <c r="B168" t="s">
        <v>21</v>
      </c>
      <c r="C168" t="s">
        <v>25</v>
      </c>
      <c r="D168" t="s">
        <v>17</v>
      </c>
      <c r="E168" t="s">
        <v>43</v>
      </c>
      <c r="F168">
        <v>80537</v>
      </c>
      <c r="G168">
        <v>2099</v>
      </c>
      <c r="H168">
        <v>93735</v>
      </c>
      <c r="I168" s="11">
        <f>Table1[[#This Row],[Revenue (Crore ₹)]]/Table1[[#This Row],[Doctors / Staff]]</f>
        <v>44.656979514054314</v>
      </c>
      <c r="J168">
        <v>11.48</v>
      </c>
      <c r="K168">
        <v>15366</v>
      </c>
      <c r="L168">
        <v>9.8699999999999992</v>
      </c>
      <c r="M168">
        <v>4698</v>
      </c>
      <c r="N168">
        <v>89037</v>
      </c>
      <c r="O168">
        <v>0</v>
      </c>
      <c r="P168">
        <v>91</v>
      </c>
    </row>
    <row r="169" spans="1:16" x14ac:dyDescent="0.3">
      <c r="A169">
        <v>2025</v>
      </c>
      <c r="B169" t="s">
        <v>33</v>
      </c>
      <c r="C169" t="s">
        <v>25</v>
      </c>
      <c r="D169" t="s">
        <v>17</v>
      </c>
      <c r="E169" t="s">
        <v>43</v>
      </c>
      <c r="F169">
        <v>73166</v>
      </c>
      <c r="G169">
        <v>4496</v>
      </c>
      <c r="H169">
        <v>5299</v>
      </c>
      <c r="I169" s="11">
        <f>Table1[[#This Row],[Revenue (Crore ₹)]]/Table1[[#This Row],[Doctors / Staff]]</f>
        <v>1.1786032028469751</v>
      </c>
      <c r="J169">
        <v>10.61</v>
      </c>
      <c r="K169">
        <v>3164</v>
      </c>
      <c r="L169">
        <v>2.44</v>
      </c>
      <c r="M169">
        <v>5894</v>
      </c>
      <c r="N169">
        <v>-595</v>
      </c>
      <c r="O169">
        <v>12</v>
      </c>
      <c r="P169">
        <v>87</v>
      </c>
    </row>
    <row r="170" spans="1:16" x14ac:dyDescent="0.3">
      <c r="A170">
        <v>2020</v>
      </c>
      <c r="B170" t="s">
        <v>24</v>
      </c>
      <c r="C170" t="s">
        <v>42</v>
      </c>
      <c r="D170" t="s">
        <v>28</v>
      </c>
      <c r="E170" t="s">
        <v>41</v>
      </c>
      <c r="F170">
        <v>58079</v>
      </c>
      <c r="G170">
        <v>3018</v>
      </c>
      <c r="H170">
        <v>39822</v>
      </c>
      <c r="I170" s="11">
        <f>Table1[[#This Row],[Revenue (Crore ₹)]]/Table1[[#This Row],[Doctors / Staff]]</f>
        <v>13.194831013916501</v>
      </c>
      <c r="J170">
        <v>5.0199999999999996</v>
      </c>
      <c r="K170">
        <v>4879</v>
      </c>
      <c r="L170">
        <v>11.98</v>
      </c>
      <c r="M170">
        <v>23309</v>
      </c>
      <c r="N170">
        <v>16513</v>
      </c>
      <c r="O170">
        <v>5</v>
      </c>
      <c r="P170">
        <v>86</v>
      </c>
    </row>
    <row r="171" spans="1:16" x14ac:dyDescent="0.3">
      <c r="A171">
        <v>2023</v>
      </c>
      <c r="B171" t="s">
        <v>15</v>
      </c>
      <c r="C171" t="s">
        <v>27</v>
      </c>
      <c r="D171" t="s">
        <v>28</v>
      </c>
      <c r="E171" t="s">
        <v>23</v>
      </c>
      <c r="F171">
        <v>71546</v>
      </c>
      <c r="G171">
        <v>3199</v>
      </c>
      <c r="H171">
        <v>125252</v>
      </c>
      <c r="I171" s="11">
        <f>Table1[[#This Row],[Revenue (Crore ₹)]]/Table1[[#This Row],[Doctors / Staff]]</f>
        <v>39.153485464207563</v>
      </c>
      <c r="J171">
        <v>8.02</v>
      </c>
      <c r="K171">
        <v>16255</v>
      </c>
      <c r="L171">
        <v>11.16</v>
      </c>
      <c r="M171">
        <v>45875</v>
      </c>
      <c r="N171">
        <v>79377</v>
      </c>
      <c r="O171">
        <v>14</v>
      </c>
      <c r="P171">
        <v>86</v>
      </c>
    </row>
    <row r="172" spans="1:16" x14ac:dyDescent="0.3">
      <c r="A172">
        <v>2023</v>
      </c>
      <c r="B172" t="s">
        <v>21</v>
      </c>
      <c r="C172" t="s">
        <v>35</v>
      </c>
      <c r="D172" t="s">
        <v>17</v>
      </c>
      <c r="E172" t="s">
        <v>26</v>
      </c>
      <c r="F172">
        <v>39524</v>
      </c>
      <c r="G172">
        <v>4031</v>
      </c>
      <c r="H172">
        <v>65544</v>
      </c>
      <c r="I172" s="11">
        <f>Table1[[#This Row],[Revenue (Crore ₹)]]/Table1[[#This Row],[Doctors / Staff]]</f>
        <v>16.259985115355992</v>
      </c>
      <c r="J172">
        <v>24.39</v>
      </c>
      <c r="K172">
        <v>12236</v>
      </c>
      <c r="L172">
        <v>14.32</v>
      </c>
      <c r="M172">
        <v>7974</v>
      </c>
      <c r="N172">
        <v>57570</v>
      </c>
      <c r="O172">
        <v>12</v>
      </c>
      <c r="P172">
        <v>70</v>
      </c>
    </row>
    <row r="173" spans="1:16" x14ac:dyDescent="0.3">
      <c r="A173">
        <v>2022</v>
      </c>
      <c r="B173" t="s">
        <v>15</v>
      </c>
      <c r="C173" t="s">
        <v>16</v>
      </c>
      <c r="D173" t="s">
        <v>17</v>
      </c>
      <c r="E173" t="s">
        <v>43</v>
      </c>
      <c r="F173">
        <v>46999</v>
      </c>
      <c r="G173">
        <v>605</v>
      </c>
      <c r="H173">
        <v>23718</v>
      </c>
      <c r="I173" s="11">
        <f>Table1[[#This Row],[Revenue (Crore ₹)]]/Table1[[#This Row],[Doctors / Staff]]</f>
        <v>39.203305785123966</v>
      </c>
      <c r="J173">
        <v>23.69</v>
      </c>
      <c r="K173">
        <v>17288</v>
      </c>
      <c r="L173">
        <v>7.32</v>
      </c>
      <c r="M173">
        <v>21221</v>
      </c>
      <c r="N173">
        <v>2497</v>
      </c>
      <c r="O173">
        <v>1</v>
      </c>
      <c r="P173">
        <v>83</v>
      </c>
    </row>
    <row r="174" spans="1:16" x14ac:dyDescent="0.3">
      <c r="A174">
        <v>2022</v>
      </c>
      <c r="B174" t="s">
        <v>36</v>
      </c>
      <c r="C174" t="s">
        <v>42</v>
      </c>
      <c r="D174" t="s">
        <v>28</v>
      </c>
      <c r="E174" t="s">
        <v>43</v>
      </c>
      <c r="F174">
        <v>29437</v>
      </c>
      <c r="G174">
        <v>1871</v>
      </c>
      <c r="H174">
        <v>195403</v>
      </c>
      <c r="I174" s="11">
        <f>Table1[[#This Row],[Revenue (Crore ₹)]]/Table1[[#This Row],[Doctors / Staff]]</f>
        <v>104.43773383217531</v>
      </c>
      <c r="J174">
        <v>19.71</v>
      </c>
      <c r="K174">
        <v>12285</v>
      </c>
      <c r="L174">
        <v>4.88</v>
      </c>
      <c r="M174">
        <v>20070</v>
      </c>
      <c r="N174">
        <v>175333</v>
      </c>
      <c r="O174">
        <v>9</v>
      </c>
      <c r="P174">
        <v>95</v>
      </c>
    </row>
    <row r="175" spans="1:16" x14ac:dyDescent="0.3">
      <c r="A175">
        <v>2024</v>
      </c>
      <c r="B175" t="s">
        <v>36</v>
      </c>
      <c r="C175" t="s">
        <v>40</v>
      </c>
      <c r="D175" t="s">
        <v>28</v>
      </c>
      <c r="E175" t="s">
        <v>31</v>
      </c>
      <c r="F175">
        <v>16940</v>
      </c>
      <c r="G175">
        <v>3070</v>
      </c>
      <c r="H175">
        <v>8885</v>
      </c>
      <c r="I175" s="11">
        <f>Table1[[#This Row],[Revenue (Crore ₹)]]/Table1[[#This Row],[Doctors / Staff]]</f>
        <v>2.8941368078175898</v>
      </c>
      <c r="J175">
        <v>21.1</v>
      </c>
      <c r="K175">
        <v>9897</v>
      </c>
      <c r="L175">
        <v>10.24</v>
      </c>
      <c r="M175">
        <v>23011</v>
      </c>
      <c r="N175">
        <v>-14126</v>
      </c>
      <c r="O175">
        <v>14</v>
      </c>
      <c r="P175">
        <v>72</v>
      </c>
    </row>
    <row r="176" spans="1:16" x14ac:dyDescent="0.3">
      <c r="A176">
        <v>2021</v>
      </c>
      <c r="B176" t="s">
        <v>34</v>
      </c>
      <c r="C176" t="s">
        <v>20</v>
      </c>
      <c r="D176" t="s">
        <v>17</v>
      </c>
      <c r="E176" t="s">
        <v>30</v>
      </c>
      <c r="F176">
        <v>85429</v>
      </c>
      <c r="G176">
        <v>628</v>
      </c>
      <c r="H176">
        <v>52116</v>
      </c>
      <c r="I176" s="11">
        <f>Table1[[#This Row],[Revenue (Crore ₹)]]/Table1[[#This Row],[Doctors / Staff]]</f>
        <v>82.98726114649682</v>
      </c>
      <c r="J176">
        <v>21.75</v>
      </c>
      <c r="K176">
        <v>2490</v>
      </c>
      <c r="L176">
        <v>9.58</v>
      </c>
      <c r="M176">
        <v>10468</v>
      </c>
      <c r="N176">
        <v>41648</v>
      </c>
      <c r="O176">
        <v>5</v>
      </c>
      <c r="P176">
        <v>74</v>
      </c>
    </row>
    <row r="177" spans="1:16" x14ac:dyDescent="0.3">
      <c r="A177">
        <v>2024</v>
      </c>
      <c r="B177" t="s">
        <v>21</v>
      </c>
      <c r="C177" t="s">
        <v>20</v>
      </c>
      <c r="D177" t="s">
        <v>17</v>
      </c>
      <c r="E177" t="s">
        <v>23</v>
      </c>
      <c r="F177">
        <v>80079</v>
      </c>
      <c r="G177">
        <v>3935</v>
      </c>
      <c r="H177">
        <v>152065</v>
      </c>
      <c r="I177" s="11">
        <f>Table1[[#This Row],[Revenue (Crore ₹)]]/Table1[[#This Row],[Doctors / Staff]]</f>
        <v>38.644218551461243</v>
      </c>
      <c r="J177">
        <v>24.65</v>
      </c>
      <c r="K177">
        <v>3377</v>
      </c>
      <c r="L177">
        <v>11.65</v>
      </c>
      <c r="M177">
        <v>34101</v>
      </c>
      <c r="N177">
        <v>117964</v>
      </c>
      <c r="O177">
        <v>16</v>
      </c>
      <c r="P177">
        <v>79</v>
      </c>
    </row>
    <row r="178" spans="1:16" x14ac:dyDescent="0.3">
      <c r="A178">
        <v>2020</v>
      </c>
      <c r="B178" t="s">
        <v>21</v>
      </c>
      <c r="C178" t="s">
        <v>37</v>
      </c>
      <c r="D178" t="s">
        <v>17</v>
      </c>
      <c r="E178" t="s">
        <v>18</v>
      </c>
      <c r="F178">
        <v>7480</v>
      </c>
      <c r="G178">
        <v>3020</v>
      </c>
      <c r="H178">
        <v>159273</v>
      </c>
      <c r="I178" s="11">
        <f>Table1[[#This Row],[Revenue (Crore ₹)]]/Table1[[#This Row],[Doctors / Staff]]</f>
        <v>52.739403973509937</v>
      </c>
      <c r="J178">
        <v>11.9</v>
      </c>
      <c r="K178">
        <v>16676</v>
      </c>
      <c r="L178">
        <v>4.6100000000000003</v>
      </c>
      <c r="M178">
        <v>33525</v>
      </c>
      <c r="N178">
        <v>125748</v>
      </c>
      <c r="O178">
        <v>0</v>
      </c>
      <c r="P178">
        <v>90</v>
      </c>
    </row>
    <row r="179" spans="1:16" x14ac:dyDescent="0.3">
      <c r="A179">
        <v>2024</v>
      </c>
      <c r="B179" t="s">
        <v>15</v>
      </c>
      <c r="C179" t="s">
        <v>20</v>
      </c>
      <c r="D179" t="s">
        <v>17</v>
      </c>
      <c r="E179" t="s">
        <v>26</v>
      </c>
      <c r="F179">
        <v>55509</v>
      </c>
      <c r="G179">
        <v>2002</v>
      </c>
      <c r="H179">
        <v>103725</v>
      </c>
      <c r="I179" s="11">
        <f>Table1[[#This Row],[Revenue (Crore ₹)]]/Table1[[#This Row],[Doctors / Staff]]</f>
        <v>51.810689310689312</v>
      </c>
      <c r="J179">
        <v>9.93</v>
      </c>
      <c r="K179">
        <v>15184</v>
      </c>
      <c r="L179">
        <v>2.77</v>
      </c>
      <c r="M179">
        <v>48043</v>
      </c>
      <c r="N179">
        <v>55682</v>
      </c>
      <c r="O179">
        <v>18</v>
      </c>
      <c r="P179">
        <v>90</v>
      </c>
    </row>
    <row r="180" spans="1:16" x14ac:dyDescent="0.3">
      <c r="A180">
        <v>2023</v>
      </c>
      <c r="B180" t="s">
        <v>19</v>
      </c>
      <c r="C180" t="s">
        <v>25</v>
      </c>
      <c r="D180" t="s">
        <v>17</v>
      </c>
      <c r="E180" t="s">
        <v>18</v>
      </c>
      <c r="F180">
        <v>67765</v>
      </c>
      <c r="G180">
        <v>2915</v>
      </c>
      <c r="H180">
        <v>52803</v>
      </c>
      <c r="I180" s="11">
        <f>Table1[[#This Row],[Revenue (Crore ₹)]]/Table1[[#This Row],[Doctors / Staff]]</f>
        <v>18.114236706689535</v>
      </c>
      <c r="J180">
        <v>16.739999999999998</v>
      </c>
      <c r="K180">
        <v>4030</v>
      </c>
      <c r="L180">
        <v>2.27</v>
      </c>
      <c r="M180">
        <v>49935</v>
      </c>
      <c r="N180">
        <v>2868</v>
      </c>
      <c r="O180">
        <v>4</v>
      </c>
      <c r="P180">
        <v>100</v>
      </c>
    </row>
    <row r="181" spans="1:16" x14ac:dyDescent="0.3">
      <c r="A181">
        <v>2023</v>
      </c>
      <c r="B181" t="s">
        <v>24</v>
      </c>
      <c r="C181" t="s">
        <v>40</v>
      </c>
      <c r="D181" t="s">
        <v>28</v>
      </c>
      <c r="E181" t="s">
        <v>18</v>
      </c>
      <c r="F181">
        <v>65287</v>
      </c>
      <c r="G181">
        <v>4360</v>
      </c>
      <c r="H181">
        <v>93001</v>
      </c>
      <c r="I181" s="11">
        <f>Table1[[#This Row],[Revenue (Crore ₹)]]/Table1[[#This Row],[Doctors / Staff]]</f>
        <v>21.330504587155964</v>
      </c>
      <c r="J181">
        <v>23.06</v>
      </c>
      <c r="K181">
        <v>2163</v>
      </c>
      <c r="L181">
        <v>11.08</v>
      </c>
      <c r="M181">
        <v>33513</v>
      </c>
      <c r="N181">
        <v>59488</v>
      </c>
      <c r="O181">
        <v>18</v>
      </c>
      <c r="P181">
        <v>77</v>
      </c>
    </row>
    <row r="182" spans="1:16" x14ac:dyDescent="0.3">
      <c r="A182">
        <v>2021</v>
      </c>
      <c r="B182" t="s">
        <v>19</v>
      </c>
      <c r="C182" t="s">
        <v>27</v>
      </c>
      <c r="D182" t="s">
        <v>28</v>
      </c>
      <c r="E182" t="s">
        <v>26</v>
      </c>
      <c r="F182">
        <v>75097</v>
      </c>
      <c r="G182">
        <v>3341</v>
      </c>
      <c r="H182">
        <v>182005</v>
      </c>
      <c r="I182" s="11">
        <f>Table1[[#This Row],[Revenue (Crore ₹)]]/Table1[[#This Row],[Doctors / Staff]]</f>
        <v>54.476204729123019</v>
      </c>
      <c r="J182">
        <v>5.0599999999999996</v>
      </c>
      <c r="K182">
        <v>1264</v>
      </c>
      <c r="L182">
        <v>12.08</v>
      </c>
      <c r="M182">
        <v>31623</v>
      </c>
      <c r="N182">
        <v>150382</v>
      </c>
      <c r="O182">
        <v>10</v>
      </c>
      <c r="P182">
        <v>77</v>
      </c>
    </row>
    <row r="183" spans="1:16" x14ac:dyDescent="0.3">
      <c r="A183">
        <v>2022</v>
      </c>
      <c r="B183" t="s">
        <v>21</v>
      </c>
      <c r="C183" t="s">
        <v>29</v>
      </c>
      <c r="D183" t="s">
        <v>17</v>
      </c>
      <c r="E183" t="s">
        <v>43</v>
      </c>
      <c r="F183">
        <v>12169</v>
      </c>
      <c r="G183">
        <v>1672</v>
      </c>
      <c r="H183">
        <v>104876</v>
      </c>
      <c r="I183" s="11">
        <f>Table1[[#This Row],[Revenue (Crore ₹)]]/Table1[[#This Row],[Doctors / Staff]]</f>
        <v>62.724880382775119</v>
      </c>
      <c r="J183">
        <v>18.07</v>
      </c>
      <c r="K183">
        <v>6295</v>
      </c>
      <c r="L183">
        <v>7.79</v>
      </c>
      <c r="M183">
        <v>8021</v>
      </c>
      <c r="N183">
        <v>96855</v>
      </c>
      <c r="O183">
        <v>17</v>
      </c>
      <c r="P183">
        <v>89</v>
      </c>
    </row>
    <row r="184" spans="1:16" x14ac:dyDescent="0.3">
      <c r="A184">
        <v>2024</v>
      </c>
      <c r="B184" t="s">
        <v>39</v>
      </c>
      <c r="C184" t="s">
        <v>16</v>
      </c>
      <c r="D184" t="s">
        <v>17</v>
      </c>
      <c r="E184" t="s">
        <v>30</v>
      </c>
      <c r="F184">
        <v>98005</v>
      </c>
      <c r="G184">
        <v>3112</v>
      </c>
      <c r="H184">
        <v>97794</v>
      </c>
      <c r="I184" s="11">
        <f>Table1[[#This Row],[Revenue (Crore ₹)]]/Table1[[#This Row],[Doctors / Staff]]</f>
        <v>31.424807197943444</v>
      </c>
      <c r="J184">
        <v>16.61</v>
      </c>
      <c r="K184">
        <v>14819</v>
      </c>
      <c r="L184">
        <v>13.26</v>
      </c>
      <c r="M184">
        <v>27749</v>
      </c>
      <c r="N184">
        <v>70045</v>
      </c>
      <c r="O184">
        <v>7</v>
      </c>
      <c r="P184">
        <v>99</v>
      </c>
    </row>
    <row r="185" spans="1:16" x14ac:dyDescent="0.3">
      <c r="A185">
        <v>2022</v>
      </c>
      <c r="B185" t="s">
        <v>36</v>
      </c>
      <c r="C185" t="s">
        <v>20</v>
      </c>
      <c r="D185" t="s">
        <v>17</v>
      </c>
      <c r="E185" t="s">
        <v>38</v>
      </c>
      <c r="F185">
        <v>79283</v>
      </c>
      <c r="G185">
        <v>3356</v>
      </c>
      <c r="H185">
        <v>175306</v>
      </c>
      <c r="I185" s="11">
        <f>Table1[[#This Row],[Revenue (Crore ₹)]]/Table1[[#This Row],[Doctors / Staff]]</f>
        <v>52.236591179976159</v>
      </c>
      <c r="J185">
        <v>21.16</v>
      </c>
      <c r="K185">
        <v>8911</v>
      </c>
      <c r="L185">
        <v>12.31</v>
      </c>
      <c r="M185">
        <v>7542</v>
      </c>
      <c r="N185">
        <v>167764</v>
      </c>
      <c r="O185">
        <v>4</v>
      </c>
      <c r="P185">
        <v>74</v>
      </c>
    </row>
    <row r="186" spans="1:16" x14ac:dyDescent="0.3">
      <c r="A186">
        <v>2020</v>
      </c>
      <c r="B186" t="s">
        <v>33</v>
      </c>
      <c r="C186" t="s">
        <v>29</v>
      </c>
      <c r="D186" t="s">
        <v>17</v>
      </c>
      <c r="E186" t="s">
        <v>26</v>
      </c>
      <c r="F186">
        <v>77292</v>
      </c>
      <c r="G186">
        <v>4498</v>
      </c>
      <c r="H186">
        <v>118333</v>
      </c>
      <c r="I186" s="11">
        <f>Table1[[#This Row],[Revenue (Crore ₹)]]/Table1[[#This Row],[Doctors / Staff]]</f>
        <v>26.307914628723879</v>
      </c>
      <c r="J186">
        <v>13.54</v>
      </c>
      <c r="K186">
        <v>12518</v>
      </c>
      <c r="L186">
        <v>2.14</v>
      </c>
      <c r="M186">
        <v>9709</v>
      </c>
      <c r="N186">
        <v>108624</v>
      </c>
      <c r="O186">
        <v>13</v>
      </c>
      <c r="P186">
        <v>79</v>
      </c>
    </row>
    <row r="187" spans="1:16" x14ac:dyDescent="0.3">
      <c r="A187">
        <v>2023</v>
      </c>
      <c r="B187" t="s">
        <v>34</v>
      </c>
      <c r="C187" t="s">
        <v>27</v>
      </c>
      <c r="D187" t="s">
        <v>28</v>
      </c>
      <c r="E187" t="s">
        <v>43</v>
      </c>
      <c r="F187">
        <v>9024</v>
      </c>
      <c r="G187">
        <v>3516</v>
      </c>
      <c r="H187">
        <v>10109</v>
      </c>
      <c r="I187" s="11">
        <f>Table1[[#This Row],[Revenue (Crore ₹)]]/Table1[[#This Row],[Doctors / Staff]]</f>
        <v>2.8751422070534698</v>
      </c>
      <c r="J187">
        <v>17</v>
      </c>
      <c r="K187">
        <v>16527</v>
      </c>
      <c r="L187">
        <v>10.46</v>
      </c>
      <c r="M187">
        <v>35910</v>
      </c>
      <c r="N187">
        <v>-25801</v>
      </c>
      <c r="O187">
        <v>12</v>
      </c>
      <c r="P187">
        <v>72</v>
      </c>
    </row>
    <row r="188" spans="1:16" x14ac:dyDescent="0.3">
      <c r="A188">
        <v>2025</v>
      </c>
      <c r="B188" t="s">
        <v>39</v>
      </c>
      <c r="C188" t="s">
        <v>27</v>
      </c>
      <c r="D188" t="s">
        <v>28</v>
      </c>
      <c r="E188" t="s">
        <v>30</v>
      </c>
      <c r="F188">
        <v>51247</v>
      </c>
      <c r="G188">
        <v>1040</v>
      </c>
      <c r="H188">
        <v>122622</v>
      </c>
      <c r="I188" s="11">
        <f>Table1[[#This Row],[Revenue (Crore ₹)]]/Table1[[#This Row],[Doctors / Staff]]</f>
        <v>117.90576923076924</v>
      </c>
      <c r="J188">
        <v>3.78</v>
      </c>
      <c r="K188">
        <v>5048</v>
      </c>
      <c r="L188">
        <v>6.8</v>
      </c>
      <c r="M188">
        <v>36561</v>
      </c>
      <c r="N188">
        <v>86061</v>
      </c>
      <c r="O188">
        <v>13</v>
      </c>
      <c r="P188">
        <v>80</v>
      </c>
    </row>
    <row r="189" spans="1:16" x14ac:dyDescent="0.3">
      <c r="A189">
        <v>2022</v>
      </c>
      <c r="B189" t="s">
        <v>19</v>
      </c>
      <c r="C189" t="s">
        <v>25</v>
      </c>
      <c r="D189" t="s">
        <v>17</v>
      </c>
      <c r="E189" t="s">
        <v>43</v>
      </c>
      <c r="F189">
        <v>1462</v>
      </c>
      <c r="G189">
        <v>3893</v>
      </c>
      <c r="H189">
        <v>123931</v>
      </c>
      <c r="I189" s="11">
        <f>Table1[[#This Row],[Revenue (Crore ₹)]]/Table1[[#This Row],[Doctors / Staff]]</f>
        <v>31.834318006678654</v>
      </c>
      <c r="J189">
        <v>11.94</v>
      </c>
      <c r="K189">
        <v>3168</v>
      </c>
      <c r="L189">
        <v>12.99</v>
      </c>
      <c r="M189">
        <v>28514</v>
      </c>
      <c r="N189">
        <v>95417</v>
      </c>
      <c r="O189">
        <v>19</v>
      </c>
      <c r="P189">
        <v>82</v>
      </c>
    </row>
    <row r="190" spans="1:16" x14ac:dyDescent="0.3">
      <c r="A190">
        <v>2022</v>
      </c>
      <c r="B190" t="s">
        <v>21</v>
      </c>
      <c r="C190" t="s">
        <v>37</v>
      </c>
      <c r="D190" t="s">
        <v>17</v>
      </c>
      <c r="E190" t="s">
        <v>31</v>
      </c>
      <c r="F190">
        <v>26458</v>
      </c>
      <c r="G190">
        <v>2716</v>
      </c>
      <c r="H190">
        <v>157705</v>
      </c>
      <c r="I190" s="11">
        <f>Table1[[#This Row],[Revenue (Crore ₹)]]/Table1[[#This Row],[Doctors / Staff]]</f>
        <v>58.065169366715757</v>
      </c>
      <c r="J190">
        <v>14.01</v>
      </c>
      <c r="K190">
        <v>9786</v>
      </c>
      <c r="L190">
        <v>6.97</v>
      </c>
      <c r="M190">
        <v>10741</v>
      </c>
      <c r="N190">
        <v>146964</v>
      </c>
      <c r="O190">
        <v>1</v>
      </c>
      <c r="P190">
        <v>87</v>
      </c>
    </row>
    <row r="191" spans="1:16" x14ac:dyDescent="0.3">
      <c r="A191">
        <v>2020</v>
      </c>
      <c r="B191" t="s">
        <v>39</v>
      </c>
      <c r="C191" t="s">
        <v>44</v>
      </c>
      <c r="D191" t="s">
        <v>28</v>
      </c>
      <c r="E191" t="s">
        <v>31</v>
      </c>
      <c r="F191">
        <v>86018</v>
      </c>
      <c r="G191">
        <v>4114</v>
      </c>
      <c r="H191">
        <v>154627</v>
      </c>
      <c r="I191" s="11">
        <f>Table1[[#This Row],[Revenue (Crore ₹)]]/Table1[[#This Row],[Doctors / Staff]]</f>
        <v>37.585561497326204</v>
      </c>
      <c r="J191">
        <v>7.42</v>
      </c>
      <c r="K191">
        <v>19487</v>
      </c>
      <c r="L191">
        <v>5.41</v>
      </c>
      <c r="M191">
        <v>15169</v>
      </c>
      <c r="N191">
        <v>139458</v>
      </c>
      <c r="O191">
        <v>11</v>
      </c>
      <c r="P191">
        <v>98</v>
      </c>
    </row>
    <row r="192" spans="1:16" x14ac:dyDescent="0.3">
      <c r="A192">
        <v>2020</v>
      </c>
      <c r="B192" t="s">
        <v>33</v>
      </c>
      <c r="C192" t="s">
        <v>27</v>
      </c>
      <c r="D192" t="s">
        <v>28</v>
      </c>
      <c r="E192" t="s">
        <v>26</v>
      </c>
      <c r="F192">
        <v>52911</v>
      </c>
      <c r="G192">
        <v>3877</v>
      </c>
      <c r="H192">
        <v>171617</v>
      </c>
      <c r="I192" s="11">
        <f>Table1[[#This Row],[Revenue (Crore ₹)]]/Table1[[#This Row],[Doctors / Staff]]</f>
        <v>44.265411400567451</v>
      </c>
      <c r="J192">
        <v>8.3800000000000008</v>
      </c>
      <c r="K192">
        <v>19559</v>
      </c>
      <c r="L192">
        <v>5.26</v>
      </c>
      <c r="M192">
        <v>39980</v>
      </c>
      <c r="N192">
        <v>131637</v>
      </c>
      <c r="O192">
        <v>11</v>
      </c>
      <c r="P192">
        <v>72</v>
      </c>
    </row>
    <row r="193" spans="1:16" x14ac:dyDescent="0.3">
      <c r="A193">
        <v>2024</v>
      </c>
      <c r="B193" t="s">
        <v>39</v>
      </c>
      <c r="C193" t="s">
        <v>27</v>
      </c>
      <c r="D193" t="s">
        <v>28</v>
      </c>
      <c r="E193" t="s">
        <v>30</v>
      </c>
      <c r="F193">
        <v>81060</v>
      </c>
      <c r="G193">
        <v>692</v>
      </c>
      <c r="H193">
        <v>58306</v>
      </c>
      <c r="I193" s="11">
        <f>Table1[[#This Row],[Revenue (Crore ₹)]]/Table1[[#This Row],[Doctors / Staff]]</f>
        <v>84.257225433526017</v>
      </c>
      <c r="J193">
        <v>8.4</v>
      </c>
      <c r="K193">
        <v>12796</v>
      </c>
      <c r="L193">
        <v>1.41</v>
      </c>
      <c r="M193">
        <v>41460</v>
      </c>
      <c r="N193">
        <v>16846</v>
      </c>
      <c r="O193">
        <v>8</v>
      </c>
      <c r="P193">
        <v>92</v>
      </c>
    </row>
    <row r="194" spans="1:16" x14ac:dyDescent="0.3">
      <c r="A194">
        <v>2022</v>
      </c>
      <c r="B194" t="s">
        <v>39</v>
      </c>
      <c r="C194" t="s">
        <v>37</v>
      </c>
      <c r="D194" t="s">
        <v>17</v>
      </c>
      <c r="E194" t="s">
        <v>41</v>
      </c>
      <c r="F194">
        <v>23557</v>
      </c>
      <c r="G194">
        <v>995</v>
      </c>
      <c r="H194">
        <v>148855</v>
      </c>
      <c r="I194" s="11">
        <f>Table1[[#This Row],[Revenue (Crore ₹)]]/Table1[[#This Row],[Doctors / Staff]]</f>
        <v>149.60301507537687</v>
      </c>
      <c r="J194">
        <v>8.67</v>
      </c>
      <c r="K194">
        <v>1673</v>
      </c>
      <c r="L194">
        <v>13.12</v>
      </c>
      <c r="M194">
        <v>17145</v>
      </c>
      <c r="N194">
        <v>131710</v>
      </c>
      <c r="O194">
        <v>7</v>
      </c>
      <c r="P194">
        <v>94</v>
      </c>
    </row>
    <row r="195" spans="1:16" x14ac:dyDescent="0.3">
      <c r="A195">
        <v>2023</v>
      </c>
      <c r="B195" t="s">
        <v>15</v>
      </c>
      <c r="C195" t="s">
        <v>37</v>
      </c>
      <c r="D195" t="s">
        <v>17</v>
      </c>
      <c r="E195" t="s">
        <v>38</v>
      </c>
      <c r="F195">
        <v>93504</v>
      </c>
      <c r="G195">
        <v>3773</v>
      </c>
      <c r="H195">
        <v>47353</v>
      </c>
      <c r="I195" s="11">
        <f>Table1[[#This Row],[Revenue (Crore ₹)]]/Table1[[#This Row],[Doctors / Staff]]</f>
        <v>12.55049032600053</v>
      </c>
      <c r="J195">
        <v>14.14</v>
      </c>
      <c r="K195">
        <v>9790</v>
      </c>
      <c r="L195">
        <v>8.11</v>
      </c>
      <c r="M195">
        <v>13434</v>
      </c>
      <c r="N195">
        <v>33919</v>
      </c>
      <c r="O195">
        <v>1</v>
      </c>
      <c r="P195">
        <v>80</v>
      </c>
    </row>
    <row r="196" spans="1:16" x14ac:dyDescent="0.3">
      <c r="A196">
        <v>2024</v>
      </c>
      <c r="B196" t="s">
        <v>39</v>
      </c>
      <c r="C196" t="s">
        <v>22</v>
      </c>
      <c r="D196" t="s">
        <v>17</v>
      </c>
      <c r="E196" t="s">
        <v>23</v>
      </c>
      <c r="F196">
        <v>23622</v>
      </c>
      <c r="G196">
        <v>1497</v>
      </c>
      <c r="H196">
        <v>59108</v>
      </c>
      <c r="I196" s="11">
        <f>Table1[[#This Row],[Revenue (Crore ₹)]]/Table1[[#This Row],[Doctors / Staff]]</f>
        <v>39.484301937207746</v>
      </c>
      <c r="J196">
        <v>14.53</v>
      </c>
      <c r="K196">
        <v>14668</v>
      </c>
      <c r="L196">
        <v>10.74</v>
      </c>
      <c r="M196">
        <v>32387</v>
      </c>
      <c r="N196">
        <v>26721</v>
      </c>
      <c r="O196">
        <v>5</v>
      </c>
      <c r="P196">
        <v>76</v>
      </c>
    </row>
    <row r="197" spans="1:16" x14ac:dyDescent="0.3">
      <c r="A197">
        <v>2023</v>
      </c>
      <c r="B197" t="s">
        <v>24</v>
      </c>
      <c r="C197" t="s">
        <v>35</v>
      </c>
      <c r="D197" t="s">
        <v>17</v>
      </c>
      <c r="E197" t="s">
        <v>31</v>
      </c>
      <c r="F197">
        <v>44358</v>
      </c>
      <c r="G197">
        <v>3356</v>
      </c>
      <c r="H197">
        <v>103646</v>
      </c>
      <c r="I197" s="11">
        <f>Table1[[#This Row],[Revenue (Crore ₹)]]/Table1[[#This Row],[Doctors / Staff]]</f>
        <v>30.883790226460071</v>
      </c>
      <c r="J197">
        <v>16.02</v>
      </c>
      <c r="K197">
        <v>3106</v>
      </c>
      <c r="L197">
        <v>10.43</v>
      </c>
      <c r="M197">
        <v>4180</v>
      </c>
      <c r="N197">
        <v>99466</v>
      </c>
      <c r="O197">
        <v>14</v>
      </c>
      <c r="P197">
        <v>72</v>
      </c>
    </row>
    <row r="198" spans="1:16" x14ac:dyDescent="0.3">
      <c r="A198">
        <v>2025</v>
      </c>
      <c r="B198" t="s">
        <v>21</v>
      </c>
      <c r="C198" t="s">
        <v>32</v>
      </c>
      <c r="D198" t="s">
        <v>17</v>
      </c>
      <c r="E198" t="s">
        <v>41</v>
      </c>
      <c r="F198">
        <v>80892</v>
      </c>
      <c r="G198">
        <v>456</v>
      </c>
      <c r="H198">
        <v>24351</v>
      </c>
      <c r="I198" s="11">
        <f>Table1[[#This Row],[Revenue (Crore ₹)]]/Table1[[#This Row],[Doctors / Staff]]</f>
        <v>53.401315789473685</v>
      </c>
      <c r="J198">
        <v>22.32</v>
      </c>
      <c r="K198">
        <v>13412</v>
      </c>
      <c r="L198">
        <v>10.07</v>
      </c>
      <c r="M198">
        <v>11630</v>
      </c>
      <c r="N198">
        <v>12721</v>
      </c>
      <c r="O198">
        <v>11</v>
      </c>
      <c r="P198">
        <v>91</v>
      </c>
    </row>
    <row r="199" spans="1:16" x14ac:dyDescent="0.3">
      <c r="A199">
        <v>2025</v>
      </c>
      <c r="B199" t="s">
        <v>21</v>
      </c>
      <c r="C199" t="s">
        <v>37</v>
      </c>
      <c r="D199" t="s">
        <v>17</v>
      </c>
      <c r="E199" t="s">
        <v>41</v>
      </c>
      <c r="F199">
        <v>35027</v>
      </c>
      <c r="G199">
        <v>1655</v>
      </c>
      <c r="H199">
        <v>69271</v>
      </c>
      <c r="I199" s="11">
        <f>Table1[[#This Row],[Revenue (Crore ₹)]]/Table1[[#This Row],[Doctors / Staff]]</f>
        <v>41.85558912386707</v>
      </c>
      <c r="J199">
        <v>22.19</v>
      </c>
      <c r="K199">
        <v>7254</v>
      </c>
      <c r="L199">
        <v>3.56</v>
      </c>
      <c r="M199">
        <v>20593</v>
      </c>
      <c r="N199">
        <v>48678</v>
      </c>
      <c r="O199">
        <v>14</v>
      </c>
      <c r="P199">
        <v>77</v>
      </c>
    </row>
    <row r="200" spans="1:16" x14ac:dyDescent="0.3">
      <c r="A200">
        <v>2023</v>
      </c>
      <c r="B200" t="s">
        <v>21</v>
      </c>
      <c r="C200" t="s">
        <v>44</v>
      </c>
      <c r="D200" t="s">
        <v>28</v>
      </c>
      <c r="E200" t="s">
        <v>41</v>
      </c>
      <c r="F200">
        <v>87765</v>
      </c>
      <c r="G200">
        <v>271</v>
      </c>
      <c r="H200">
        <v>164513</v>
      </c>
      <c r="I200" s="11">
        <f>Table1[[#This Row],[Revenue (Crore ₹)]]/Table1[[#This Row],[Doctors / Staff]]</f>
        <v>607.05904059040586</v>
      </c>
      <c r="J200">
        <v>8.75</v>
      </c>
      <c r="K200">
        <v>14361</v>
      </c>
      <c r="L200">
        <v>6.12</v>
      </c>
      <c r="M200">
        <v>30605</v>
      </c>
      <c r="N200">
        <v>133908</v>
      </c>
      <c r="O200">
        <v>1</v>
      </c>
      <c r="P200">
        <v>73</v>
      </c>
    </row>
    <row r="201" spans="1:16" x14ac:dyDescent="0.3">
      <c r="A201">
        <v>2021</v>
      </c>
      <c r="B201" t="s">
        <v>19</v>
      </c>
      <c r="C201" t="s">
        <v>16</v>
      </c>
      <c r="D201" t="s">
        <v>17</v>
      </c>
      <c r="E201" t="s">
        <v>31</v>
      </c>
      <c r="F201">
        <v>51436</v>
      </c>
      <c r="G201">
        <v>3503</v>
      </c>
      <c r="H201">
        <v>118369</v>
      </c>
      <c r="I201" s="11">
        <f>Table1[[#This Row],[Revenue (Crore ₹)]]/Table1[[#This Row],[Doctors / Staff]]</f>
        <v>33.790750785041396</v>
      </c>
      <c r="J201">
        <v>16.88</v>
      </c>
      <c r="K201">
        <v>7115</v>
      </c>
      <c r="L201">
        <v>9.7799999999999994</v>
      </c>
      <c r="M201">
        <v>46567</v>
      </c>
      <c r="N201">
        <v>71802</v>
      </c>
      <c r="O201">
        <v>7</v>
      </c>
      <c r="P201">
        <v>83</v>
      </c>
    </row>
    <row r="202" spans="1:16" x14ac:dyDescent="0.3">
      <c r="A202">
        <v>2023</v>
      </c>
      <c r="B202" t="s">
        <v>24</v>
      </c>
      <c r="C202" t="s">
        <v>40</v>
      </c>
      <c r="D202" t="s">
        <v>28</v>
      </c>
      <c r="E202" t="s">
        <v>30</v>
      </c>
      <c r="F202">
        <v>86124</v>
      </c>
      <c r="G202">
        <v>2895</v>
      </c>
      <c r="H202">
        <v>179166</v>
      </c>
      <c r="I202" s="11">
        <f>Table1[[#This Row],[Revenue (Crore ₹)]]/Table1[[#This Row],[Doctors / Staff]]</f>
        <v>61.888082901554405</v>
      </c>
      <c r="J202">
        <v>12.57</v>
      </c>
      <c r="K202">
        <v>8839</v>
      </c>
      <c r="L202">
        <v>8.16</v>
      </c>
      <c r="M202">
        <v>30979</v>
      </c>
      <c r="N202">
        <v>148187</v>
      </c>
      <c r="O202">
        <v>9</v>
      </c>
      <c r="P202">
        <v>76</v>
      </c>
    </row>
    <row r="203" spans="1:16" x14ac:dyDescent="0.3">
      <c r="A203">
        <v>2023</v>
      </c>
      <c r="B203" t="s">
        <v>19</v>
      </c>
      <c r="C203" t="s">
        <v>20</v>
      </c>
      <c r="D203" t="s">
        <v>17</v>
      </c>
      <c r="E203" t="s">
        <v>18</v>
      </c>
      <c r="F203">
        <v>52592</v>
      </c>
      <c r="G203">
        <v>2055</v>
      </c>
      <c r="H203">
        <v>180917</v>
      </c>
      <c r="I203" s="11">
        <f>Table1[[#This Row],[Revenue (Crore ₹)]]/Table1[[#This Row],[Doctors / Staff]]</f>
        <v>88.037469586374698</v>
      </c>
      <c r="J203">
        <v>21.94</v>
      </c>
      <c r="K203">
        <v>3025</v>
      </c>
      <c r="L203">
        <v>13.23</v>
      </c>
      <c r="M203">
        <v>35969</v>
      </c>
      <c r="N203">
        <v>144948</v>
      </c>
      <c r="O203">
        <v>20</v>
      </c>
      <c r="P203">
        <v>98</v>
      </c>
    </row>
    <row r="204" spans="1:16" x14ac:dyDescent="0.3">
      <c r="A204">
        <v>2023</v>
      </c>
      <c r="B204" t="s">
        <v>34</v>
      </c>
      <c r="C204" t="s">
        <v>27</v>
      </c>
      <c r="D204" t="s">
        <v>28</v>
      </c>
      <c r="E204" t="s">
        <v>30</v>
      </c>
      <c r="F204">
        <v>82336</v>
      </c>
      <c r="G204">
        <v>1201</v>
      </c>
      <c r="H204">
        <v>157514</v>
      </c>
      <c r="I204" s="11">
        <f>Table1[[#This Row],[Revenue (Crore ₹)]]/Table1[[#This Row],[Doctors / Staff]]</f>
        <v>131.15237302248127</v>
      </c>
      <c r="J204">
        <v>4.6900000000000004</v>
      </c>
      <c r="K204">
        <v>755</v>
      </c>
      <c r="L204">
        <v>2.66</v>
      </c>
      <c r="M204">
        <v>48400</v>
      </c>
      <c r="N204">
        <v>109114</v>
      </c>
      <c r="O204">
        <v>3</v>
      </c>
      <c r="P204">
        <v>100</v>
      </c>
    </row>
    <row r="205" spans="1:16" x14ac:dyDescent="0.3">
      <c r="A205">
        <v>2023</v>
      </c>
      <c r="B205" t="s">
        <v>21</v>
      </c>
      <c r="C205" t="s">
        <v>29</v>
      </c>
      <c r="D205" t="s">
        <v>17</v>
      </c>
      <c r="E205" t="s">
        <v>31</v>
      </c>
      <c r="F205">
        <v>26795</v>
      </c>
      <c r="G205">
        <v>985</v>
      </c>
      <c r="H205">
        <v>117234</v>
      </c>
      <c r="I205" s="11">
        <f>Table1[[#This Row],[Revenue (Crore ₹)]]/Table1[[#This Row],[Doctors / Staff]]</f>
        <v>119.01928934010152</v>
      </c>
      <c r="J205">
        <v>13.17</v>
      </c>
      <c r="K205">
        <v>10299</v>
      </c>
      <c r="L205">
        <v>14.31</v>
      </c>
      <c r="M205">
        <v>11295</v>
      </c>
      <c r="N205">
        <v>105939</v>
      </c>
      <c r="O205">
        <v>2</v>
      </c>
      <c r="P205">
        <v>81</v>
      </c>
    </row>
    <row r="206" spans="1:16" x14ac:dyDescent="0.3">
      <c r="A206">
        <v>2024</v>
      </c>
      <c r="B206" t="s">
        <v>15</v>
      </c>
      <c r="C206" t="s">
        <v>27</v>
      </c>
      <c r="D206" t="s">
        <v>28</v>
      </c>
      <c r="E206" t="s">
        <v>38</v>
      </c>
      <c r="F206">
        <v>94696</v>
      </c>
      <c r="G206">
        <v>3389</v>
      </c>
      <c r="H206">
        <v>196987</v>
      </c>
      <c r="I206" s="11">
        <f>Table1[[#This Row],[Revenue (Crore ₹)]]/Table1[[#This Row],[Doctors / Staff]]</f>
        <v>58.125405724402476</v>
      </c>
      <c r="J206">
        <v>10.96</v>
      </c>
      <c r="K206">
        <v>13565</v>
      </c>
      <c r="L206">
        <v>2.66</v>
      </c>
      <c r="M206">
        <v>36882</v>
      </c>
      <c r="N206">
        <v>160105</v>
      </c>
      <c r="O206">
        <v>8</v>
      </c>
      <c r="P206">
        <v>73</v>
      </c>
    </row>
    <row r="207" spans="1:16" x14ac:dyDescent="0.3">
      <c r="A207">
        <v>2022</v>
      </c>
      <c r="B207" t="s">
        <v>39</v>
      </c>
      <c r="C207" t="s">
        <v>29</v>
      </c>
      <c r="D207" t="s">
        <v>17</v>
      </c>
      <c r="E207" t="s">
        <v>43</v>
      </c>
      <c r="F207">
        <v>71132</v>
      </c>
      <c r="G207">
        <v>3971</v>
      </c>
      <c r="H207">
        <v>16144</v>
      </c>
      <c r="I207" s="11">
        <f>Table1[[#This Row],[Revenue (Crore ₹)]]/Table1[[#This Row],[Doctors / Staff]]</f>
        <v>4.0654746915134723</v>
      </c>
      <c r="J207">
        <v>5.79</v>
      </c>
      <c r="K207">
        <v>6770</v>
      </c>
      <c r="L207">
        <v>13.83</v>
      </c>
      <c r="M207">
        <v>16072</v>
      </c>
      <c r="N207">
        <v>72</v>
      </c>
      <c r="O207">
        <v>17</v>
      </c>
      <c r="P207">
        <v>89</v>
      </c>
    </row>
    <row r="208" spans="1:16" x14ac:dyDescent="0.3">
      <c r="A208">
        <v>2021</v>
      </c>
      <c r="B208" t="s">
        <v>21</v>
      </c>
      <c r="C208" t="s">
        <v>22</v>
      </c>
      <c r="D208" t="s">
        <v>17</v>
      </c>
      <c r="E208" t="s">
        <v>38</v>
      </c>
      <c r="F208">
        <v>87059</v>
      </c>
      <c r="G208">
        <v>2313</v>
      </c>
      <c r="H208">
        <v>20399</v>
      </c>
      <c r="I208" s="11">
        <f>Table1[[#This Row],[Revenue (Crore ₹)]]/Table1[[#This Row],[Doctors / Staff]]</f>
        <v>8.8192823173367927</v>
      </c>
      <c r="J208">
        <v>23.56</v>
      </c>
      <c r="K208">
        <v>10618</v>
      </c>
      <c r="L208">
        <v>3.5</v>
      </c>
      <c r="M208">
        <v>6547</v>
      </c>
      <c r="N208">
        <v>13852</v>
      </c>
      <c r="O208">
        <v>12</v>
      </c>
      <c r="P208">
        <v>93</v>
      </c>
    </row>
    <row r="209" spans="1:16" x14ac:dyDescent="0.3">
      <c r="A209">
        <v>2025</v>
      </c>
      <c r="B209" t="s">
        <v>36</v>
      </c>
      <c r="C209" t="s">
        <v>37</v>
      </c>
      <c r="D209" t="s">
        <v>17</v>
      </c>
      <c r="E209" t="s">
        <v>31</v>
      </c>
      <c r="F209">
        <v>78162</v>
      </c>
      <c r="G209">
        <v>1695</v>
      </c>
      <c r="H209">
        <v>3472</v>
      </c>
      <c r="I209" s="11">
        <f>Table1[[#This Row],[Revenue (Crore ₹)]]/Table1[[#This Row],[Doctors / Staff]]</f>
        <v>2.0483775811209441</v>
      </c>
      <c r="J209">
        <v>9.24</v>
      </c>
      <c r="K209">
        <v>19514</v>
      </c>
      <c r="L209">
        <v>1.96</v>
      </c>
      <c r="M209">
        <v>31058</v>
      </c>
      <c r="N209">
        <v>-27586</v>
      </c>
      <c r="O209">
        <v>11</v>
      </c>
      <c r="P209">
        <v>70</v>
      </c>
    </row>
    <row r="210" spans="1:16" x14ac:dyDescent="0.3">
      <c r="A210">
        <v>2022</v>
      </c>
      <c r="B210" t="s">
        <v>21</v>
      </c>
      <c r="C210" t="s">
        <v>35</v>
      </c>
      <c r="D210" t="s">
        <v>17</v>
      </c>
      <c r="E210" t="s">
        <v>38</v>
      </c>
      <c r="F210">
        <v>15258</v>
      </c>
      <c r="G210">
        <v>1792</v>
      </c>
      <c r="H210">
        <v>12002</v>
      </c>
      <c r="I210" s="11">
        <f>Table1[[#This Row],[Revenue (Crore ₹)]]/Table1[[#This Row],[Doctors / Staff]]</f>
        <v>6.6975446428571432</v>
      </c>
      <c r="J210">
        <v>14.22</v>
      </c>
      <c r="K210">
        <v>5096</v>
      </c>
      <c r="L210">
        <v>4.67</v>
      </c>
      <c r="M210">
        <v>48248</v>
      </c>
      <c r="N210">
        <v>-36246</v>
      </c>
      <c r="O210">
        <v>13</v>
      </c>
      <c r="P210">
        <v>70</v>
      </c>
    </row>
    <row r="211" spans="1:16" x14ac:dyDescent="0.3">
      <c r="A211">
        <v>2025</v>
      </c>
      <c r="B211" t="s">
        <v>34</v>
      </c>
      <c r="C211" t="s">
        <v>25</v>
      </c>
      <c r="D211" t="s">
        <v>17</v>
      </c>
      <c r="E211" t="s">
        <v>38</v>
      </c>
      <c r="F211">
        <v>14709</v>
      </c>
      <c r="G211">
        <v>3126</v>
      </c>
      <c r="H211">
        <v>187591</v>
      </c>
      <c r="I211" s="11">
        <f>Table1[[#This Row],[Revenue (Crore ₹)]]/Table1[[#This Row],[Doctors / Staff]]</f>
        <v>60.009916826615481</v>
      </c>
      <c r="J211">
        <v>8.4700000000000006</v>
      </c>
      <c r="K211">
        <v>2627</v>
      </c>
      <c r="L211">
        <v>10.130000000000001</v>
      </c>
      <c r="M211">
        <v>32565</v>
      </c>
      <c r="N211">
        <v>155026</v>
      </c>
      <c r="O211">
        <v>4</v>
      </c>
      <c r="P211">
        <v>82</v>
      </c>
    </row>
    <row r="212" spans="1:16" x14ac:dyDescent="0.3">
      <c r="A212">
        <v>2021</v>
      </c>
      <c r="B212" t="s">
        <v>19</v>
      </c>
      <c r="C212" t="s">
        <v>37</v>
      </c>
      <c r="D212" t="s">
        <v>17</v>
      </c>
      <c r="E212" t="s">
        <v>38</v>
      </c>
      <c r="F212">
        <v>97808</v>
      </c>
      <c r="G212">
        <v>3945</v>
      </c>
      <c r="H212">
        <v>102734</v>
      </c>
      <c r="I212" s="11">
        <f>Table1[[#This Row],[Revenue (Crore ₹)]]/Table1[[#This Row],[Doctors / Staff]]</f>
        <v>26.041571609632445</v>
      </c>
      <c r="J212">
        <v>6.15</v>
      </c>
      <c r="K212">
        <v>8073</v>
      </c>
      <c r="L212">
        <v>11.76</v>
      </c>
      <c r="M212">
        <v>43873</v>
      </c>
      <c r="N212">
        <v>58861</v>
      </c>
      <c r="O212">
        <v>10</v>
      </c>
      <c r="P212">
        <v>70</v>
      </c>
    </row>
    <row r="213" spans="1:16" x14ac:dyDescent="0.3">
      <c r="A213">
        <v>2023</v>
      </c>
      <c r="B213" t="s">
        <v>21</v>
      </c>
      <c r="C213" t="s">
        <v>22</v>
      </c>
      <c r="D213" t="s">
        <v>17</v>
      </c>
      <c r="E213" t="s">
        <v>30</v>
      </c>
      <c r="F213">
        <v>86622</v>
      </c>
      <c r="G213">
        <v>1697</v>
      </c>
      <c r="H213">
        <v>184903</v>
      </c>
      <c r="I213" s="11">
        <f>Table1[[#This Row],[Revenue (Crore ₹)]]/Table1[[#This Row],[Doctors / Staff]]</f>
        <v>108.95875073659398</v>
      </c>
      <c r="J213">
        <v>3.74</v>
      </c>
      <c r="K213">
        <v>14414</v>
      </c>
      <c r="L213">
        <v>5.36</v>
      </c>
      <c r="M213">
        <v>14702</v>
      </c>
      <c r="N213">
        <v>170201</v>
      </c>
      <c r="O213">
        <v>13</v>
      </c>
      <c r="P213">
        <v>79</v>
      </c>
    </row>
    <row r="214" spans="1:16" x14ac:dyDescent="0.3">
      <c r="A214">
        <v>2025</v>
      </c>
      <c r="B214" t="s">
        <v>36</v>
      </c>
      <c r="C214" t="s">
        <v>25</v>
      </c>
      <c r="D214" t="s">
        <v>17</v>
      </c>
      <c r="E214" t="s">
        <v>31</v>
      </c>
      <c r="F214">
        <v>16353</v>
      </c>
      <c r="G214">
        <v>3475</v>
      </c>
      <c r="H214">
        <v>198027</v>
      </c>
      <c r="I214" s="11">
        <f>Table1[[#This Row],[Revenue (Crore ₹)]]/Table1[[#This Row],[Doctors / Staff]]</f>
        <v>56.98618705035971</v>
      </c>
      <c r="J214">
        <v>4.29</v>
      </c>
      <c r="K214">
        <v>17562</v>
      </c>
      <c r="L214">
        <v>13.14</v>
      </c>
      <c r="M214">
        <v>30095</v>
      </c>
      <c r="N214">
        <v>167932</v>
      </c>
      <c r="O214">
        <v>18</v>
      </c>
      <c r="P214">
        <v>98</v>
      </c>
    </row>
    <row r="215" spans="1:16" x14ac:dyDescent="0.3">
      <c r="A215">
        <v>2020</v>
      </c>
      <c r="B215" t="s">
        <v>21</v>
      </c>
      <c r="C215" t="s">
        <v>44</v>
      </c>
      <c r="D215" t="s">
        <v>28</v>
      </c>
      <c r="E215" t="s">
        <v>41</v>
      </c>
      <c r="F215">
        <v>62762</v>
      </c>
      <c r="G215">
        <v>4190</v>
      </c>
      <c r="H215">
        <v>21902</v>
      </c>
      <c r="I215" s="11">
        <f>Table1[[#This Row],[Revenue (Crore ₹)]]/Table1[[#This Row],[Doctors / Staff]]</f>
        <v>5.2272076372315039</v>
      </c>
      <c r="J215">
        <v>7.51</v>
      </c>
      <c r="K215">
        <v>12380</v>
      </c>
      <c r="L215">
        <v>8.25</v>
      </c>
      <c r="M215">
        <v>28611</v>
      </c>
      <c r="N215">
        <v>-6709</v>
      </c>
      <c r="O215">
        <v>10</v>
      </c>
      <c r="P215">
        <v>92</v>
      </c>
    </row>
    <row r="216" spans="1:16" x14ac:dyDescent="0.3">
      <c r="A216">
        <v>2023</v>
      </c>
      <c r="B216" t="s">
        <v>19</v>
      </c>
      <c r="C216" t="s">
        <v>35</v>
      </c>
      <c r="D216" t="s">
        <v>17</v>
      </c>
      <c r="E216" t="s">
        <v>38</v>
      </c>
      <c r="F216">
        <v>97149</v>
      </c>
      <c r="G216">
        <v>4356</v>
      </c>
      <c r="H216">
        <v>102217</v>
      </c>
      <c r="I216" s="11">
        <f>Table1[[#This Row],[Revenue (Crore ₹)]]/Table1[[#This Row],[Doctors / Staff]]</f>
        <v>23.465794306703398</v>
      </c>
      <c r="J216">
        <v>13.48</v>
      </c>
      <c r="K216">
        <v>2370</v>
      </c>
      <c r="L216">
        <v>8.6999999999999993</v>
      </c>
      <c r="M216">
        <v>21489</v>
      </c>
      <c r="N216">
        <v>80728</v>
      </c>
      <c r="O216">
        <v>7</v>
      </c>
      <c r="P216">
        <v>70</v>
      </c>
    </row>
    <row r="217" spans="1:16" x14ac:dyDescent="0.3">
      <c r="A217">
        <v>2023</v>
      </c>
      <c r="B217" t="s">
        <v>21</v>
      </c>
      <c r="C217" t="s">
        <v>42</v>
      </c>
      <c r="D217" t="s">
        <v>28</v>
      </c>
      <c r="E217" t="s">
        <v>43</v>
      </c>
      <c r="F217">
        <v>50290</v>
      </c>
      <c r="G217">
        <v>182</v>
      </c>
      <c r="H217">
        <v>17427</v>
      </c>
      <c r="I217" s="11">
        <f>Table1[[#This Row],[Revenue (Crore ₹)]]/Table1[[#This Row],[Doctors / Staff]]</f>
        <v>95.752747252747255</v>
      </c>
      <c r="J217">
        <v>19.16</v>
      </c>
      <c r="K217">
        <v>10469</v>
      </c>
      <c r="L217">
        <v>9.7799999999999994</v>
      </c>
      <c r="M217">
        <v>5349</v>
      </c>
      <c r="N217">
        <v>12078</v>
      </c>
      <c r="O217">
        <v>12</v>
      </c>
      <c r="P217">
        <v>92</v>
      </c>
    </row>
    <row r="218" spans="1:16" x14ac:dyDescent="0.3">
      <c r="A218">
        <v>2023</v>
      </c>
      <c r="B218" t="s">
        <v>15</v>
      </c>
      <c r="C218" t="s">
        <v>40</v>
      </c>
      <c r="D218" t="s">
        <v>28</v>
      </c>
      <c r="E218" t="s">
        <v>38</v>
      </c>
      <c r="F218">
        <v>70786</v>
      </c>
      <c r="G218">
        <v>4529</v>
      </c>
      <c r="H218">
        <v>80703</v>
      </c>
      <c r="I218" s="11">
        <f>Table1[[#This Row],[Revenue (Crore ₹)]]/Table1[[#This Row],[Doctors / Staff]]</f>
        <v>17.819165378670789</v>
      </c>
      <c r="J218">
        <v>7.46</v>
      </c>
      <c r="K218">
        <v>10540</v>
      </c>
      <c r="L218">
        <v>6.09</v>
      </c>
      <c r="M218">
        <v>6327</v>
      </c>
      <c r="N218">
        <v>74376</v>
      </c>
      <c r="O218">
        <v>8</v>
      </c>
      <c r="P218">
        <v>81</v>
      </c>
    </row>
    <row r="219" spans="1:16" x14ac:dyDescent="0.3">
      <c r="A219">
        <v>2025</v>
      </c>
      <c r="B219" t="s">
        <v>34</v>
      </c>
      <c r="C219" t="s">
        <v>22</v>
      </c>
      <c r="D219" t="s">
        <v>17</v>
      </c>
      <c r="E219" t="s">
        <v>26</v>
      </c>
      <c r="F219">
        <v>49127</v>
      </c>
      <c r="G219">
        <v>3152</v>
      </c>
      <c r="H219">
        <v>60100</v>
      </c>
      <c r="I219" s="11">
        <f>Table1[[#This Row],[Revenue (Crore ₹)]]/Table1[[#This Row],[Doctors / Staff]]</f>
        <v>19.06725888324873</v>
      </c>
      <c r="J219">
        <v>20.27</v>
      </c>
      <c r="K219">
        <v>16109</v>
      </c>
      <c r="L219">
        <v>5.93</v>
      </c>
      <c r="M219">
        <v>37743</v>
      </c>
      <c r="N219">
        <v>22357</v>
      </c>
      <c r="O219">
        <v>10</v>
      </c>
      <c r="P219">
        <v>92</v>
      </c>
    </row>
    <row r="220" spans="1:16" x14ac:dyDescent="0.3">
      <c r="A220">
        <v>2024</v>
      </c>
      <c r="B220" t="s">
        <v>15</v>
      </c>
      <c r="C220" t="s">
        <v>40</v>
      </c>
      <c r="D220" t="s">
        <v>28</v>
      </c>
      <c r="E220" t="s">
        <v>23</v>
      </c>
      <c r="F220">
        <v>63656</v>
      </c>
      <c r="G220">
        <v>956</v>
      </c>
      <c r="H220">
        <v>181081</v>
      </c>
      <c r="I220" s="11">
        <f>Table1[[#This Row],[Revenue (Crore ₹)]]/Table1[[#This Row],[Doctors / Staff]]</f>
        <v>189.4152719665272</v>
      </c>
      <c r="J220">
        <v>4.63</v>
      </c>
      <c r="K220">
        <v>9483</v>
      </c>
      <c r="L220">
        <v>3.94</v>
      </c>
      <c r="M220">
        <v>40274</v>
      </c>
      <c r="N220">
        <v>140807</v>
      </c>
      <c r="O220">
        <v>6</v>
      </c>
      <c r="P220">
        <v>82</v>
      </c>
    </row>
    <row r="221" spans="1:16" x14ac:dyDescent="0.3">
      <c r="A221">
        <v>2025</v>
      </c>
      <c r="B221" t="s">
        <v>15</v>
      </c>
      <c r="C221" t="s">
        <v>25</v>
      </c>
      <c r="D221" t="s">
        <v>17</v>
      </c>
      <c r="E221" t="s">
        <v>30</v>
      </c>
      <c r="F221">
        <v>3883</v>
      </c>
      <c r="G221">
        <v>174</v>
      </c>
      <c r="H221">
        <v>153639</v>
      </c>
      <c r="I221" s="11">
        <f>Table1[[#This Row],[Revenue (Crore ₹)]]/Table1[[#This Row],[Doctors / Staff]]</f>
        <v>882.98275862068965</v>
      </c>
      <c r="J221">
        <v>5.26</v>
      </c>
      <c r="K221">
        <v>16752</v>
      </c>
      <c r="L221">
        <v>4.78</v>
      </c>
      <c r="M221">
        <v>44304</v>
      </c>
      <c r="N221">
        <v>109335</v>
      </c>
      <c r="O221">
        <v>8</v>
      </c>
      <c r="P221">
        <v>72</v>
      </c>
    </row>
    <row r="222" spans="1:16" x14ac:dyDescent="0.3">
      <c r="A222">
        <v>2021</v>
      </c>
      <c r="B222" t="s">
        <v>19</v>
      </c>
      <c r="C222" t="s">
        <v>20</v>
      </c>
      <c r="D222" t="s">
        <v>17</v>
      </c>
      <c r="E222" t="s">
        <v>31</v>
      </c>
      <c r="F222">
        <v>40296</v>
      </c>
      <c r="G222">
        <v>3730</v>
      </c>
      <c r="H222">
        <v>121073</v>
      </c>
      <c r="I222" s="11">
        <f>Table1[[#This Row],[Revenue (Crore ₹)]]/Table1[[#This Row],[Doctors / Staff]]</f>
        <v>32.459249329758713</v>
      </c>
      <c r="J222">
        <v>14.34</v>
      </c>
      <c r="K222">
        <v>483</v>
      </c>
      <c r="L222">
        <v>1.02</v>
      </c>
      <c r="M222">
        <v>23812</v>
      </c>
      <c r="N222">
        <v>97261</v>
      </c>
      <c r="O222">
        <v>20</v>
      </c>
      <c r="P222">
        <v>74</v>
      </c>
    </row>
    <row r="223" spans="1:16" x14ac:dyDescent="0.3">
      <c r="A223">
        <v>2024</v>
      </c>
      <c r="B223" t="s">
        <v>21</v>
      </c>
      <c r="C223" t="s">
        <v>22</v>
      </c>
      <c r="D223" t="s">
        <v>17</v>
      </c>
      <c r="E223" t="s">
        <v>31</v>
      </c>
      <c r="F223">
        <v>86031</v>
      </c>
      <c r="G223">
        <v>2409</v>
      </c>
      <c r="H223">
        <v>92835</v>
      </c>
      <c r="I223" s="11">
        <f>Table1[[#This Row],[Revenue (Crore ₹)]]/Table1[[#This Row],[Doctors / Staff]]</f>
        <v>38.536737235367376</v>
      </c>
      <c r="J223">
        <v>23.86</v>
      </c>
      <c r="K223">
        <v>3125</v>
      </c>
      <c r="L223">
        <v>4.67</v>
      </c>
      <c r="M223">
        <v>35683</v>
      </c>
      <c r="N223">
        <v>57152</v>
      </c>
      <c r="O223">
        <v>4</v>
      </c>
      <c r="P223">
        <v>78</v>
      </c>
    </row>
    <row r="224" spans="1:16" x14ac:dyDescent="0.3">
      <c r="A224">
        <v>2020</v>
      </c>
      <c r="B224" t="s">
        <v>19</v>
      </c>
      <c r="C224" t="s">
        <v>37</v>
      </c>
      <c r="D224" t="s">
        <v>17</v>
      </c>
      <c r="E224" t="s">
        <v>26</v>
      </c>
      <c r="F224">
        <v>37991</v>
      </c>
      <c r="G224">
        <v>3878</v>
      </c>
      <c r="H224">
        <v>150798</v>
      </c>
      <c r="I224" s="11">
        <f>Table1[[#This Row],[Revenue (Crore ₹)]]/Table1[[#This Row],[Doctors / Staff]]</f>
        <v>38.885507993811245</v>
      </c>
      <c r="J224">
        <v>3.14</v>
      </c>
      <c r="K224">
        <v>884</v>
      </c>
      <c r="L224">
        <v>1.47</v>
      </c>
      <c r="M224">
        <v>6848</v>
      </c>
      <c r="N224">
        <v>143950</v>
      </c>
      <c r="O224">
        <v>15</v>
      </c>
      <c r="P224">
        <v>95</v>
      </c>
    </row>
    <row r="225" spans="1:16" x14ac:dyDescent="0.3">
      <c r="A225">
        <v>2022</v>
      </c>
      <c r="B225" t="s">
        <v>33</v>
      </c>
      <c r="C225" t="s">
        <v>32</v>
      </c>
      <c r="D225" t="s">
        <v>17</v>
      </c>
      <c r="E225" t="s">
        <v>43</v>
      </c>
      <c r="F225">
        <v>55738</v>
      </c>
      <c r="G225">
        <v>4680</v>
      </c>
      <c r="H225">
        <v>58675</v>
      </c>
      <c r="I225" s="11">
        <f>Table1[[#This Row],[Revenue (Crore ₹)]]/Table1[[#This Row],[Doctors / Staff]]</f>
        <v>12.537393162393162</v>
      </c>
      <c r="J225">
        <v>11.23</v>
      </c>
      <c r="K225">
        <v>18710</v>
      </c>
      <c r="L225">
        <v>14.78</v>
      </c>
      <c r="M225">
        <v>2693</v>
      </c>
      <c r="N225">
        <v>55982</v>
      </c>
      <c r="O225">
        <v>14</v>
      </c>
      <c r="P225">
        <v>96</v>
      </c>
    </row>
    <row r="226" spans="1:16" x14ac:dyDescent="0.3">
      <c r="A226">
        <v>2021</v>
      </c>
      <c r="B226" t="s">
        <v>36</v>
      </c>
      <c r="C226" t="s">
        <v>22</v>
      </c>
      <c r="D226" t="s">
        <v>17</v>
      </c>
      <c r="E226" t="s">
        <v>30</v>
      </c>
      <c r="F226">
        <v>87503</v>
      </c>
      <c r="G226">
        <v>4130</v>
      </c>
      <c r="H226">
        <v>114134</v>
      </c>
      <c r="I226" s="11">
        <f>Table1[[#This Row],[Revenue (Crore ₹)]]/Table1[[#This Row],[Doctors / Staff]]</f>
        <v>27.635351089588379</v>
      </c>
      <c r="J226">
        <v>24.4</v>
      </c>
      <c r="K226">
        <v>13519</v>
      </c>
      <c r="L226">
        <v>3.51</v>
      </c>
      <c r="M226">
        <v>36313</v>
      </c>
      <c r="N226">
        <v>77821</v>
      </c>
      <c r="O226">
        <v>13</v>
      </c>
      <c r="P226">
        <v>77</v>
      </c>
    </row>
    <row r="227" spans="1:16" x14ac:dyDescent="0.3">
      <c r="A227">
        <v>2020</v>
      </c>
      <c r="B227" t="s">
        <v>19</v>
      </c>
      <c r="C227" t="s">
        <v>44</v>
      </c>
      <c r="D227" t="s">
        <v>28</v>
      </c>
      <c r="E227" t="s">
        <v>38</v>
      </c>
      <c r="F227">
        <v>83921</v>
      </c>
      <c r="G227">
        <v>2441</v>
      </c>
      <c r="H227">
        <v>48530</v>
      </c>
      <c r="I227" s="11">
        <f>Table1[[#This Row],[Revenue (Crore ₹)]]/Table1[[#This Row],[Doctors / Staff]]</f>
        <v>19.881196231052847</v>
      </c>
      <c r="J227">
        <v>20.36</v>
      </c>
      <c r="K227">
        <v>17082</v>
      </c>
      <c r="L227">
        <v>9.26</v>
      </c>
      <c r="M227">
        <v>10668</v>
      </c>
      <c r="N227">
        <v>37862</v>
      </c>
      <c r="O227">
        <v>16</v>
      </c>
      <c r="P227">
        <v>94</v>
      </c>
    </row>
    <row r="228" spans="1:16" x14ac:dyDescent="0.3">
      <c r="A228">
        <v>2023</v>
      </c>
      <c r="B228" t="s">
        <v>33</v>
      </c>
      <c r="C228" t="s">
        <v>37</v>
      </c>
      <c r="D228" t="s">
        <v>17</v>
      </c>
      <c r="E228" t="s">
        <v>43</v>
      </c>
      <c r="F228">
        <v>7129</v>
      </c>
      <c r="G228">
        <v>2098</v>
      </c>
      <c r="H228">
        <v>107638</v>
      </c>
      <c r="I228" s="11">
        <f>Table1[[#This Row],[Revenue (Crore ₹)]]/Table1[[#This Row],[Doctors / Staff]]</f>
        <v>51.305052430886562</v>
      </c>
      <c r="J228">
        <v>21.91</v>
      </c>
      <c r="K228">
        <v>2450</v>
      </c>
      <c r="L228">
        <v>6.05</v>
      </c>
      <c r="M228">
        <v>43549</v>
      </c>
      <c r="N228">
        <v>64089</v>
      </c>
      <c r="O228">
        <v>4</v>
      </c>
      <c r="P228">
        <v>92</v>
      </c>
    </row>
    <row r="229" spans="1:16" x14ac:dyDescent="0.3">
      <c r="A229">
        <v>2020</v>
      </c>
      <c r="B229" t="s">
        <v>39</v>
      </c>
      <c r="C229" t="s">
        <v>20</v>
      </c>
      <c r="D229" t="s">
        <v>17</v>
      </c>
      <c r="E229" t="s">
        <v>43</v>
      </c>
      <c r="F229">
        <v>62708</v>
      </c>
      <c r="G229">
        <v>3552</v>
      </c>
      <c r="H229">
        <v>178827</v>
      </c>
      <c r="I229" s="11">
        <f>Table1[[#This Row],[Revenue (Crore ₹)]]/Table1[[#This Row],[Doctors / Staff]]</f>
        <v>50.345439189189186</v>
      </c>
      <c r="J229">
        <v>9.18</v>
      </c>
      <c r="K229">
        <v>17402</v>
      </c>
      <c r="L229">
        <v>11.1</v>
      </c>
      <c r="M229">
        <v>38792</v>
      </c>
      <c r="N229">
        <v>140035</v>
      </c>
      <c r="O229">
        <v>6</v>
      </c>
      <c r="P229">
        <v>74</v>
      </c>
    </row>
    <row r="230" spans="1:16" x14ac:dyDescent="0.3">
      <c r="A230">
        <v>2024</v>
      </c>
      <c r="B230" t="s">
        <v>39</v>
      </c>
      <c r="C230" t="s">
        <v>22</v>
      </c>
      <c r="D230" t="s">
        <v>17</v>
      </c>
      <c r="E230" t="s">
        <v>26</v>
      </c>
      <c r="F230">
        <v>99604</v>
      </c>
      <c r="G230">
        <v>2783</v>
      </c>
      <c r="H230">
        <v>182728</v>
      </c>
      <c r="I230" s="11">
        <f>Table1[[#This Row],[Revenue (Crore ₹)]]/Table1[[#This Row],[Doctors / Staff]]</f>
        <v>65.658641753503417</v>
      </c>
      <c r="J230">
        <v>15.36</v>
      </c>
      <c r="K230">
        <v>8778</v>
      </c>
      <c r="L230">
        <v>2.08</v>
      </c>
      <c r="M230">
        <v>23361</v>
      </c>
      <c r="N230">
        <v>159367</v>
      </c>
      <c r="O230">
        <v>3</v>
      </c>
      <c r="P230">
        <v>89</v>
      </c>
    </row>
    <row r="231" spans="1:16" x14ac:dyDescent="0.3">
      <c r="A231">
        <v>2025</v>
      </c>
      <c r="B231" t="s">
        <v>33</v>
      </c>
      <c r="C231" t="s">
        <v>20</v>
      </c>
      <c r="D231" t="s">
        <v>17</v>
      </c>
      <c r="E231" t="s">
        <v>43</v>
      </c>
      <c r="F231">
        <v>32203</v>
      </c>
      <c r="G231">
        <v>650</v>
      </c>
      <c r="H231">
        <v>58756</v>
      </c>
      <c r="I231" s="11">
        <f>Table1[[#This Row],[Revenue (Crore ₹)]]/Table1[[#This Row],[Doctors / Staff]]</f>
        <v>90.393846153846155</v>
      </c>
      <c r="J231">
        <v>22.98</v>
      </c>
      <c r="K231">
        <v>12938</v>
      </c>
      <c r="L231">
        <v>10.65</v>
      </c>
      <c r="M231">
        <v>18486</v>
      </c>
      <c r="N231">
        <v>40270</v>
      </c>
      <c r="O231">
        <v>16</v>
      </c>
      <c r="P231">
        <v>82</v>
      </c>
    </row>
    <row r="232" spans="1:16" x14ac:dyDescent="0.3">
      <c r="A232">
        <v>2023</v>
      </c>
      <c r="B232" t="s">
        <v>39</v>
      </c>
      <c r="C232" t="s">
        <v>44</v>
      </c>
      <c r="D232" t="s">
        <v>28</v>
      </c>
      <c r="E232" t="s">
        <v>38</v>
      </c>
      <c r="F232">
        <v>67089</v>
      </c>
      <c r="G232">
        <v>3690</v>
      </c>
      <c r="H232">
        <v>76338</v>
      </c>
      <c r="I232" s="11">
        <f>Table1[[#This Row],[Revenue (Crore ₹)]]/Table1[[#This Row],[Doctors / Staff]]</f>
        <v>20.68780487804878</v>
      </c>
      <c r="J232">
        <v>13.42</v>
      </c>
      <c r="K232">
        <v>15498</v>
      </c>
      <c r="L232">
        <v>6.04</v>
      </c>
      <c r="M232">
        <v>1594</v>
      </c>
      <c r="N232">
        <v>74744</v>
      </c>
      <c r="O232">
        <v>19</v>
      </c>
      <c r="P232">
        <v>72</v>
      </c>
    </row>
    <row r="233" spans="1:16" x14ac:dyDescent="0.3">
      <c r="A233">
        <v>2025</v>
      </c>
      <c r="B233" t="s">
        <v>36</v>
      </c>
      <c r="C233" t="s">
        <v>40</v>
      </c>
      <c r="D233" t="s">
        <v>28</v>
      </c>
      <c r="E233" t="s">
        <v>43</v>
      </c>
      <c r="F233">
        <v>49644</v>
      </c>
      <c r="G233">
        <v>4578</v>
      </c>
      <c r="H233">
        <v>64149</v>
      </c>
      <c r="I233" s="11">
        <f>Table1[[#This Row],[Revenue (Crore ₹)]]/Table1[[#This Row],[Doctors / Staff]]</f>
        <v>14.012450851900393</v>
      </c>
      <c r="J233">
        <v>12.42</v>
      </c>
      <c r="K233">
        <v>11451</v>
      </c>
      <c r="L233">
        <v>4.16</v>
      </c>
      <c r="M233">
        <v>27535</v>
      </c>
      <c r="N233">
        <v>36614</v>
      </c>
      <c r="O233">
        <v>8</v>
      </c>
      <c r="P233">
        <v>99</v>
      </c>
    </row>
    <row r="234" spans="1:16" x14ac:dyDescent="0.3">
      <c r="A234">
        <v>2023</v>
      </c>
      <c r="B234" t="s">
        <v>21</v>
      </c>
      <c r="C234" t="s">
        <v>42</v>
      </c>
      <c r="D234" t="s">
        <v>28</v>
      </c>
      <c r="E234" t="s">
        <v>30</v>
      </c>
      <c r="F234">
        <v>39998</v>
      </c>
      <c r="G234">
        <v>1454</v>
      </c>
      <c r="H234">
        <v>19808</v>
      </c>
      <c r="I234" s="11">
        <f>Table1[[#This Row],[Revenue (Crore ₹)]]/Table1[[#This Row],[Doctors / Staff]]</f>
        <v>13.623108665749657</v>
      </c>
      <c r="J234">
        <v>5.34</v>
      </c>
      <c r="K234">
        <v>1874</v>
      </c>
      <c r="L234">
        <v>10.97</v>
      </c>
      <c r="M234">
        <v>1942</v>
      </c>
      <c r="N234">
        <v>17866</v>
      </c>
      <c r="O234">
        <v>19</v>
      </c>
      <c r="P234">
        <v>79</v>
      </c>
    </row>
    <row r="235" spans="1:16" x14ac:dyDescent="0.3">
      <c r="A235">
        <v>2025</v>
      </c>
      <c r="B235" t="s">
        <v>39</v>
      </c>
      <c r="C235" t="s">
        <v>40</v>
      </c>
      <c r="D235" t="s">
        <v>28</v>
      </c>
      <c r="E235" t="s">
        <v>30</v>
      </c>
      <c r="F235">
        <v>65801</v>
      </c>
      <c r="G235">
        <v>1522</v>
      </c>
      <c r="H235">
        <v>161939</v>
      </c>
      <c r="I235" s="11">
        <f>Table1[[#This Row],[Revenue (Crore ₹)]]/Table1[[#This Row],[Doctors / Staff]]</f>
        <v>106.39881734559789</v>
      </c>
      <c r="J235">
        <v>5.27</v>
      </c>
      <c r="K235">
        <v>14191</v>
      </c>
      <c r="L235">
        <v>1.98</v>
      </c>
      <c r="M235">
        <v>9002</v>
      </c>
      <c r="N235">
        <v>152937</v>
      </c>
      <c r="O235">
        <v>11</v>
      </c>
      <c r="P235">
        <v>84</v>
      </c>
    </row>
    <row r="236" spans="1:16" x14ac:dyDescent="0.3">
      <c r="A236">
        <v>2023</v>
      </c>
      <c r="B236" t="s">
        <v>39</v>
      </c>
      <c r="C236" t="s">
        <v>27</v>
      </c>
      <c r="D236" t="s">
        <v>28</v>
      </c>
      <c r="E236" t="s">
        <v>43</v>
      </c>
      <c r="F236">
        <v>83598</v>
      </c>
      <c r="G236">
        <v>2338</v>
      </c>
      <c r="H236">
        <v>38905</v>
      </c>
      <c r="I236" s="11">
        <f>Table1[[#This Row],[Revenue (Crore ₹)]]/Table1[[#This Row],[Doctors / Staff]]</f>
        <v>16.640290846877672</v>
      </c>
      <c r="J236">
        <v>18.41</v>
      </c>
      <c r="K236">
        <v>88</v>
      </c>
      <c r="L236">
        <v>7.86</v>
      </c>
      <c r="M236">
        <v>39788</v>
      </c>
      <c r="N236">
        <v>-883</v>
      </c>
      <c r="O236">
        <v>12</v>
      </c>
      <c r="P236">
        <v>97</v>
      </c>
    </row>
    <row r="237" spans="1:16" x14ac:dyDescent="0.3">
      <c r="A237">
        <v>2023</v>
      </c>
      <c r="B237" t="s">
        <v>24</v>
      </c>
      <c r="C237" t="s">
        <v>27</v>
      </c>
      <c r="D237" t="s">
        <v>28</v>
      </c>
      <c r="E237" t="s">
        <v>41</v>
      </c>
      <c r="F237">
        <v>91490</v>
      </c>
      <c r="G237">
        <v>936</v>
      </c>
      <c r="H237">
        <v>92842</v>
      </c>
      <c r="I237" s="11">
        <f>Table1[[#This Row],[Revenue (Crore ₹)]]/Table1[[#This Row],[Doctors / Staff]]</f>
        <v>99.190170940170944</v>
      </c>
      <c r="J237">
        <v>15.79</v>
      </c>
      <c r="K237">
        <v>4919</v>
      </c>
      <c r="L237">
        <v>2.44</v>
      </c>
      <c r="M237">
        <v>38889</v>
      </c>
      <c r="N237">
        <v>53953</v>
      </c>
      <c r="O237">
        <v>1</v>
      </c>
      <c r="P237">
        <v>90</v>
      </c>
    </row>
    <row r="238" spans="1:16" x14ac:dyDescent="0.3">
      <c r="A238">
        <v>2023</v>
      </c>
      <c r="B238" t="s">
        <v>36</v>
      </c>
      <c r="C238" t="s">
        <v>29</v>
      </c>
      <c r="D238" t="s">
        <v>17</v>
      </c>
      <c r="E238" t="s">
        <v>18</v>
      </c>
      <c r="F238">
        <v>77857</v>
      </c>
      <c r="G238">
        <v>2321</v>
      </c>
      <c r="H238">
        <v>189243</v>
      </c>
      <c r="I238" s="11">
        <f>Table1[[#This Row],[Revenue (Crore ₹)]]/Table1[[#This Row],[Doctors / Staff]]</f>
        <v>81.535114174924601</v>
      </c>
      <c r="J238">
        <v>23.17</v>
      </c>
      <c r="K238">
        <v>7011</v>
      </c>
      <c r="L238">
        <v>7.64</v>
      </c>
      <c r="M238">
        <v>42049</v>
      </c>
      <c r="N238">
        <v>147194</v>
      </c>
      <c r="O238">
        <v>20</v>
      </c>
      <c r="P238">
        <v>78</v>
      </c>
    </row>
    <row r="239" spans="1:16" x14ac:dyDescent="0.3">
      <c r="A239">
        <v>2023</v>
      </c>
      <c r="B239" t="s">
        <v>34</v>
      </c>
      <c r="C239" t="s">
        <v>37</v>
      </c>
      <c r="D239" t="s">
        <v>17</v>
      </c>
      <c r="E239" t="s">
        <v>31</v>
      </c>
      <c r="F239">
        <v>60170</v>
      </c>
      <c r="G239">
        <v>336</v>
      </c>
      <c r="H239">
        <v>149923</v>
      </c>
      <c r="I239" s="11">
        <f>Table1[[#This Row],[Revenue (Crore ₹)]]/Table1[[#This Row],[Doctors / Staff]]</f>
        <v>446.19940476190476</v>
      </c>
      <c r="J239">
        <v>22.12</v>
      </c>
      <c r="K239">
        <v>19678</v>
      </c>
      <c r="L239">
        <v>4.7</v>
      </c>
      <c r="M239">
        <v>22090</v>
      </c>
      <c r="N239">
        <v>127833</v>
      </c>
      <c r="O239">
        <v>0</v>
      </c>
      <c r="P239">
        <v>81</v>
      </c>
    </row>
    <row r="240" spans="1:16" x14ac:dyDescent="0.3">
      <c r="A240">
        <v>2024</v>
      </c>
      <c r="B240" t="s">
        <v>39</v>
      </c>
      <c r="C240" t="s">
        <v>20</v>
      </c>
      <c r="D240" t="s">
        <v>17</v>
      </c>
      <c r="E240" t="s">
        <v>26</v>
      </c>
      <c r="F240">
        <v>87690</v>
      </c>
      <c r="G240">
        <v>3687</v>
      </c>
      <c r="H240">
        <v>53169</v>
      </c>
      <c r="I240" s="11">
        <f>Table1[[#This Row],[Revenue (Crore ₹)]]/Table1[[#This Row],[Doctors / Staff]]</f>
        <v>14.4206672091131</v>
      </c>
      <c r="J240">
        <v>22.53</v>
      </c>
      <c r="K240">
        <v>6603</v>
      </c>
      <c r="L240">
        <v>7.06</v>
      </c>
      <c r="M240">
        <v>28461</v>
      </c>
      <c r="N240">
        <v>24708</v>
      </c>
      <c r="O240">
        <v>7</v>
      </c>
      <c r="P240">
        <v>86</v>
      </c>
    </row>
    <row r="241" spans="1:16" x14ac:dyDescent="0.3">
      <c r="A241">
        <v>2020</v>
      </c>
      <c r="B241" t="s">
        <v>39</v>
      </c>
      <c r="C241" t="s">
        <v>20</v>
      </c>
      <c r="D241" t="s">
        <v>17</v>
      </c>
      <c r="E241" t="s">
        <v>18</v>
      </c>
      <c r="F241">
        <v>17387</v>
      </c>
      <c r="G241">
        <v>1441</v>
      </c>
      <c r="H241">
        <v>177847</v>
      </c>
      <c r="I241" s="11">
        <f>Table1[[#This Row],[Revenue (Crore ₹)]]/Table1[[#This Row],[Doctors / Staff]]</f>
        <v>123.41915336571824</v>
      </c>
      <c r="J241">
        <v>6.62</v>
      </c>
      <c r="K241">
        <v>18557</v>
      </c>
      <c r="L241">
        <v>6.62</v>
      </c>
      <c r="M241">
        <v>33072</v>
      </c>
      <c r="N241">
        <v>144775</v>
      </c>
      <c r="O241">
        <v>18</v>
      </c>
      <c r="P241">
        <v>89</v>
      </c>
    </row>
    <row r="242" spans="1:16" x14ac:dyDescent="0.3">
      <c r="A242">
        <v>2020</v>
      </c>
      <c r="B242" t="s">
        <v>21</v>
      </c>
      <c r="C242" t="s">
        <v>44</v>
      </c>
      <c r="D242" t="s">
        <v>28</v>
      </c>
      <c r="E242" t="s">
        <v>30</v>
      </c>
      <c r="F242">
        <v>37145</v>
      </c>
      <c r="G242">
        <v>786</v>
      </c>
      <c r="H242">
        <v>193305</v>
      </c>
      <c r="I242" s="11">
        <f>Table1[[#This Row],[Revenue (Crore ₹)]]/Table1[[#This Row],[Doctors / Staff]]</f>
        <v>245.93511450381681</v>
      </c>
      <c r="J242">
        <v>7.09</v>
      </c>
      <c r="K242">
        <v>6737</v>
      </c>
      <c r="L242">
        <v>3.37</v>
      </c>
      <c r="M242">
        <v>9934</v>
      </c>
      <c r="N242">
        <v>183371</v>
      </c>
      <c r="O242">
        <v>7</v>
      </c>
      <c r="P242">
        <v>88</v>
      </c>
    </row>
    <row r="243" spans="1:16" x14ac:dyDescent="0.3">
      <c r="A243">
        <v>2024</v>
      </c>
      <c r="B243" t="s">
        <v>19</v>
      </c>
      <c r="C243" t="s">
        <v>37</v>
      </c>
      <c r="D243" t="s">
        <v>17</v>
      </c>
      <c r="E243" t="s">
        <v>41</v>
      </c>
      <c r="F243">
        <v>7421</v>
      </c>
      <c r="G243">
        <v>2717</v>
      </c>
      <c r="H243">
        <v>93332</v>
      </c>
      <c r="I243" s="11">
        <f>Table1[[#This Row],[Revenue (Crore ₹)]]/Table1[[#This Row],[Doctors / Staff]]</f>
        <v>34.351122561648879</v>
      </c>
      <c r="J243">
        <v>15.83</v>
      </c>
      <c r="K243">
        <v>10364</v>
      </c>
      <c r="L243">
        <v>13.3</v>
      </c>
      <c r="M243">
        <v>28077</v>
      </c>
      <c r="N243">
        <v>65255</v>
      </c>
      <c r="O243">
        <v>19</v>
      </c>
      <c r="P243">
        <v>96</v>
      </c>
    </row>
    <row r="244" spans="1:16" x14ac:dyDescent="0.3">
      <c r="A244">
        <v>2024</v>
      </c>
      <c r="B244" t="s">
        <v>24</v>
      </c>
      <c r="C244" t="s">
        <v>20</v>
      </c>
      <c r="D244" t="s">
        <v>17</v>
      </c>
      <c r="E244" t="s">
        <v>18</v>
      </c>
      <c r="F244">
        <v>47241</v>
      </c>
      <c r="G244">
        <v>1984</v>
      </c>
      <c r="H244">
        <v>78247</v>
      </c>
      <c r="I244" s="11">
        <f>Table1[[#This Row],[Revenue (Crore ₹)]]/Table1[[#This Row],[Doctors / Staff]]</f>
        <v>39.439012096774192</v>
      </c>
      <c r="J244">
        <v>5.95</v>
      </c>
      <c r="K244">
        <v>6345</v>
      </c>
      <c r="L244">
        <v>8.3000000000000007</v>
      </c>
      <c r="M244">
        <v>28601</v>
      </c>
      <c r="N244">
        <v>49646</v>
      </c>
      <c r="O244">
        <v>8</v>
      </c>
      <c r="P244">
        <v>92</v>
      </c>
    </row>
    <row r="245" spans="1:16" x14ac:dyDescent="0.3">
      <c r="A245">
        <v>2020</v>
      </c>
      <c r="B245" t="s">
        <v>34</v>
      </c>
      <c r="C245" t="s">
        <v>22</v>
      </c>
      <c r="D245" t="s">
        <v>17</v>
      </c>
      <c r="E245" t="s">
        <v>41</v>
      </c>
      <c r="F245">
        <v>84444</v>
      </c>
      <c r="G245">
        <v>951</v>
      </c>
      <c r="H245">
        <v>68393</v>
      </c>
      <c r="I245" s="11">
        <f>Table1[[#This Row],[Revenue (Crore ₹)]]/Table1[[#This Row],[Doctors / Staff]]</f>
        <v>71.916929547844376</v>
      </c>
      <c r="J245">
        <v>15.33</v>
      </c>
      <c r="K245">
        <v>12675</v>
      </c>
      <c r="L245">
        <v>5.76</v>
      </c>
      <c r="M245">
        <v>17353</v>
      </c>
      <c r="N245">
        <v>51040</v>
      </c>
      <c r="O245">
        <v>8</v>
      </c>
      <c r="P245">
        <v>73</v>
      </c>
    </row>
    <row r="246" spans="1:16" x14ac:dyDescent="0.3">
      <c r="A246">
        <v>2020</v>
      </c>
      <c r="B246" t="s">
        <v>15</v>
      </c>
      <c r="C246" t="s">
        <v>35</v>
      </c>
      <c r="D246" t="s">
        <v>17</v>
      </c>
      <c r="E246" t="s">
        <v>43</v>
      </c>
      <c r="F246">
        <v>42602</v>
      </c>
      <c r="G246">
        <v>3500</v>
      </c>
      <c r="H246">
        <v>139930</v>
      </c>
      <c r="I246" s="11">
        <f>Table1[[#This Row],[Revenue (Crore ₹)]]/Table1[[#This Row],[Doctors / Staff]]</f>
        <v>39.979999999999997</v>
      </c>
      <c r="J246">
        <v>22.44</v>
      </c>
      <c r="K246">
        <v>8876</v>
      </c>
      <c r="L246">
        <v>3.14</v>
      </c>
      <c r="M246">
        <v>3141</v>
      </c>
      <c r="N246">
        <v>136789</v>
      </c>
      <c r="O246">
        <v>18</v>
      </c>
      <c r="P246">
        <v>76</v>
      </c>
    </row>
    <row r="247" spans="1:16" x14ac:dyDescent="0.3">
      <c r="A247">
        <v>2024</v>
      </c>
      <c r="B247" t="s">
        <v>19</v>
      </c>
      <c r="C247" t="s">
        <v>42</v>
      </c>
      <c r="D247" t="s">
        <v>28</v>
      </c>
      <c r="E247" t="s">
        <v>18</v>
      </c>
      <c r="F247">
        <v>66053</v>
      </c>
      <c r="G247">
        <v>3157</v>
      </c>
      <c r="H247">
        <v>79200</v>
      </c>
      <c r="I247" s="11">
        <f>Table1[[#This Row],[Revenue (Crore ₹)]]/Table1[[#This Row],[Doctors / Staff]]</f>
        <v>25.087108013937282</v>
      </c>
      <c r="J247">
        <v>6.84</v>
      </c>
      <c r="K247">
        <v>16604</v>
      </c>
      <c r="L247">
        <v>11.76</v>
      </c>
      <c r="M247">
        <v>13883</v>
      </c>
      <c r="N247">
        <v>65317</v>
      </c>
      <c r="O247">
        <v>15</v>
      </c>
      <c r="P247">
        <v>100</v>
      </c>
    </row>
    <row r="248" spans="1:16" x14ac:dyDescent="0.3">
      <c r="A248">
        <v>2024</v>
      </c>
      <c r="B248" t="s">
        <v>36</v>
      </c>
      <c r="C248" t="s">
        <v>37</v>
      </c>
      <c r="D248" t="s">
        <v>17</v>
      </c>
      <c r="E248" t="s">
        <v>38</v>
      </c>
      <c r="F248">
        <v>61428</v>
      </c>
      <c r="G248">
        <v>4169</v>
      </c>
      <c r="H248">
        <v>138035</v>
      </c>
      <c r="I248" s="11">
        <f>Table1[[#This Row],[Revenue (Crore ₹)]]/Table1[[#This Row],[Doctors / Staff]]</f>
        <v>33.109858479251621</v>
      </c>
      <c r="J248">
        <v>9.1</v>
      </c>
      <c r="K248">
        <v>10802</v>
      </c>
      <c r="L248">
        <v>9.19</v>
      </c>
      <c r="M248">
        <v>2005</v>
      </c>
      <c r="N248">
        <v>136030</v>
      </c>
      <c r="O248">
        <v>5</v>
      </c>
      <c r="P248">
        <v>70</v>
      </c>
    </row>
    <row r="249" spans="1:16" x14ac:dyDescent="0.3">
      <c r="A249">
        <v>2020</v>
      </c>
      <c r="B249" t="s">
        <v>33</v>
      </c>
      <c r="C249" t="s">
        <v>40</v>
      </c>
      <c r="D249" t="s">
        <v>28</v>
      </c>
      <c r="E249" t="s">
        <v>43</v>
      </c>
      <c r="F249">
        <v>81979</v>
      </c>
      <c r="G249">
        <v>2606</v>
      </c>
      <c r="H249">
        <v>177529</v>
      </c>
      <c r="I249" s="11">
        <f>Table1[[#This Row],[Revenue (Crore ₹)]]/Table1[[#This Row],[Doctors / Staff]]</f>
        <v>68.123177283192632</v>
      </c>
      <c r="J249">
        <v>20.94</v>
      </c>
      <c r="K249">
        <v>10242</v>
      </c>
      <c r="L249">
        <v>5.18</v>
      </c>
      <c r="M249">
        <v>15694</v>
      </c>
      <c r="N249">
        <v>161835</v>
      </c>
      <c r="O249">
        <v>18</v>
      </c>
      <c r="P249">
        <v>94</v>
      </c>
    </row>
    <row r="250" spans="1:16" x14ac:dyDescent="0.3">
      <c r="A250">
        <v>2023</v>
      </c>
      <c r="B250" t="s">
        <v>39</v>
      </c>
      <c r="C250" t="s">
        <v>27</v>
      </c>
      <c r="D250" t="s">
        <v>28</v>
      </c>
      <c r="E250" t="s">
        <v>23</v>
      </c>
      <c r="F250">
        <v>19972</v>
      </c>
      <c r="G250">
        <v>3006</v>
      </c>
      <c r="H250">
        <v>188630</v>
      </c>
      <c r="I250" s="11">
        <f>Table1[[#This Row],[Revenue (Crore ₹)]]/Table1[[#This Row],[Doctors / Staff]]</f>
        <v>62.751164337990687</v>
      </c>
      <c r="J250">
        <v>17.100000000000001</v>
      </c>
      <c r="K250">
        <v>16584</v>
      </c>
      <c r="L250">
        <v>1.1100000000000001</v>
      </c>
      <c r="M250">
        <v>3621</v>
      </c>
      <c r="N250">
        <v>185009</v>
      </c>
      <c r="O250">
        <v>8</v>
      </c>
      <c r="P250">
        <v>78</v>
      </c>
    </row>
    <row r="251" spans="1:16" x14ac:dyDescent="0.3">
      <c r="A251">
        <v>2022</v>
      </c>
      <c r="B251" t="s">
        <v>15</v>
      </c>
      <c r="C251" t="s">
        <v>44</v>
      </c>
      <c r="D251" t="s">
        <v>28</v>
      </c>
      <c r="E251" t="s">
        <v>38</v>
      </c>
      <c r="F251">
        <v>8638</v>
      </c>
      <c r="G251">
        <v>1170</v>
      </c>
      <c r="H251">
        <v>138532</v>
      </c>
      <c r="I251" s="11">
        <f>Table1[[#This Row],[Revenue (Crore ₹)]]/Table1[[#This Row],[Doctors / Staff]]</f>
        <v>118.4034188034188</v>
      </c>
      <c r="J251">
        <v>24.71</v>
      </c>
      <c r="K251">
        <v>7191</v>
      </c>
      <c r="L251">
        <v>4.54</v>
      </c>
      <c r="M251">
        <v>48032</v>
      </c>
      <c r="N251">
        <v>90500</v>
      </c>
      <c r="O251">
        <v>9</v>
      </c>
      <c r="P251">
        <v>92</v>
      </c>
    </row>
    <row r="252" spans="1:16" x14ac:dyDescent="0.3">
      <c r="A252">
        <v>2020</v>
      </c>
      <c r="B252" t="s">
        <v>34</v>
      </c>
      <c r="C252" t="s">
        <v>32</v>
      </c>
      <c r="D252" t="s">
        <v>17</v>
      </c>
      <c r="E252" t="s">
        <v>18</v>
      </c>
      <c r="F252">
        <v>30669</v>
      </c>
      <c r="G252">
        <v>3375</v>
      </c>
      <c r="H252">
        <v>149010</v>
      </c>
      <c r="I252" s="11">
        <f>Table1[[#This Row],[Revenue (Crore ₹)]]/Table1[[#This Row],[Doctors / Staff]]</f>
        <v>44.151111111111113</v>
      </c>
      <c r="J252">
        <v>24.8</v>
      </c>
      <c r="K252">
        <v>15700</v>
      </c>
      <c r="L252">
        <v>9.6199999999999992</v>
      </c>
      <c r="M252">
        <v>19063</v>
      </c>
      <c r="N252">
        <v>129947</v>
      </c>
      <c r="O252">
        <v>18</v>
      </c>
      <c r="P252">
        <v>75</v>
      </c>
    </row>
    <row r="253" spans="1:16" x14ac:dyDescent="0.3">
      <c r="A253">
        <v>2022</v>
      </c>
      <c r="B253" t="s">
        <v>39</v>
      </c>
      <c r="C253" t="s">
        <v>40</v>
      </c>
      <c r="D253" t="s">
        <v>28</v>
      </c>
      <c r="E253" t="s">
        <v>30</v>
      </c>
      <c r="F253">
        <v>26176</v>
      </c>
      <c r="G253">
        <v>1119</v>
      </c>
      <c r="H253">
        <v>77938</v>
      </c>
      <c r="I253" s="11">
        <f>Table1[[#This Row],[Revenue (Crore ₹)]]/Table1[[#This Row],[Doctors / Staff]]</f>
        <v>69.649687220732801</v>
      </c>
      <c r="J253">
        <v>16.18</v>
      </c>
      <c r="K253">
        <v>19874</v>
      </c>
      <c r="L253">
        <v>7.78</v>
      </c>
      <c r="M253">
        <v>48330</v>
      </c>
      <c r="N253">
        <v>29608</v>
      </c>
      <c r="O253">
        <v>15</v>
      </c>
      <c r="P253">
        <v>72</v>
      </c>
    </row>
    <row r="254" spans="1:16" x14ac:dyDescent="0.3">
      <c r="A254">
        <v>2025</v>
      </c>
      <c r="B254" t="s">
        <v>39</v>
      </c>
      <c r="C254" t="s">
        <v>42</v>
      </c>
      <c r="D254" t="s">
        <v>28</v>
      </c>
      <c r="E254" t="s">
        <v>43</v>
      </c>
      <c r="F254">
        <v>91620</v>
      </c>
      <c r="G254">
        <v>858</v>
      </c>
      <c r="H254">
        <v>90889</v>
      </c>
      <c r="I254" s="11">
        <f>Table1[[#This Row],[Revenue (Crore ₹)]]/Table1[[#This Row],[Doctors / Staff]]</f>
        <v>105.93123543123544</v>
      </c>
      <c r="J254">
        <v>18.47</v>
      </c>
      <c r="K254">
        <v>10735</v>
      </c>
      <c r="L254">
        <v>5.32</v>
      </c>
      <c r="M254">
        <v>33151</v>
      </c>
      <c r="N254">
        <v>57738</v>
      </c>
      <c r="O254">
        <v>10</v>
      </c>
      <c r="P254">
        <v>96</v>
      </c>
    </row>
    <row r="255" spans="1:16" x14ac:dyDescent="0.3">
      <c r="A255">
        <v>2024</v>
      </c>
      <c r="B255" t="s">
        <v>21</v>
      </c>
      <c r="C255" t="s">
        <v>29</v>
      </c>
      <c r="D255" t="s">
        <v>17</v>
      </c>
      <c r="E255" t="s">
        <v>43</v>
      </c>
      <c r="F255">
        <v>34141</v>
      </c>
      <c r="G255">
        <v>2500</v>
      </c>
      <c r="H255">
        <v>170745</v>
      </c>
      <c r="I255" s="11">
        <f>Table1[[#This Row],[Revenue (Crore ₹)]]/Table1[[#This Row],[Doctors / Staff]]</f>
        <v>68.298000000000002</v>
      </c>
      <c r="J255">
        <v>8</v>
      </c>
      <c r="K255">
        <v>9460</v>
      </c>
      <c r="L255">
        <v>14.23</v>
      </c>
      <c r="M255">
        <v>20684</v>
      </c>
      <c r="N255">
        <v>150061</v>
      </c>
      <c r="O255">
        <v>13</v>
      </c>
      <c r="P255">
        <v>93</v>
      </c>
    </row>
    <row r="256" spans="1:16" x14ac:dyDescent="0.3">
      <c r="A256">
        <v>2023</v>
      </c>
      <c r="B256" t="s">
        <v>21</v>
      </c>
      <c r="C256" t="s">
        <v>29</v>
      </c>
      <c r="D256" t="s">
        <v>17</v>
      </c>
      <c r="E256" t="s">
        <v>38</v>
      </c>
      <c r="F256">
        <v>3219</v>
      </c>
      <c r="G256">
        <v>1331</v>
      </c>
      <c r="H256">
        <v>79480</v>
      </c>
      <c r="I256" s="11">
        <f>Table1[[#This Row],[Revenue (Crore ₹)]]/Table1[[#This Row],[Doctors / Staff]]</f>
        <v>59.714500375657401</v>
      </c>
      <c r="J256">
        <v>4.0199999999999996</v>
      </c>
      <c r="K256">
        <v>13227</v>
      </c>
      <c r="L256">
        <v>9.82</v>
      </c>
      <c r="M256">
        <v>37771</v>
      </c>
      <c r="N256">
        <v>41709</v>
      </c>
      <c r="O256">
        <v>5</v>
      </c>
      <c r="P256">
        <v>89</v>
      </c>
    </row>
    <row r="257" spans="1:16" x14ac:dyDescent="0.3">
      <c r="A257">
        <v>2021</v>
      </c>
      <c r="B257" t="s">
        <v>34</v>
      </c>
      <c r="C257" t="s">
        <v>16</v>
      </c>
      <c r="D257" t="s">
        <v>17</v>
      </c>
      <c r="E257" t="s">
        <v>18</v>
      </c>
      <c r="F257">
        <v>68361</v>
      </c>
      <c r="G257">
        <v>1657</v>
      </c>
      <c r="H257">
        <v>184370</v>
      </c>
      <c r="I257" s="11">
        <f>Table1[[#This Row],[Revenue (Crore ₹)]]/Table1[[#This Row],[Doctors / Staff]]</f>
        <v>111.26735063367532</v>
      </c>
      <c r="J257">
        <v>20.57</v>
      </c>
      <c r="K257">
        <v>1691</v>
      </c>
      <c r="L257">
        <v>11.36</v>
      </c>
      <c r="M257">
        <v>11566</v>
      </c>
      <c r="N257">
        <v>172804</v>
      </c>
      <c r="O257">
        <v>7</v>
      </c>
      <c r="P257">
        <v>73</v>
      </c>
    </row>
    <row r="258" spans="1:16" x14ac:dyDescent="0.3">
      <c r="A258">
        <v>2024</v>
      </c>
      <c r="B258" t="s">
        <v>39</v>
      </c>
      <c r="C258" t="s">
        <v>20</v>
      </c>
      <c r="D258" t="s">
        <v>17</v>
      </c>
      <c r="E258" t="s">
        <v>18</v>
      </c>
      <c r="F258">
        <v>56243</v>
      </c>
      <c r="G258">
        <v>619</v>
      </c>
      <c r="H258">
        <v>45468</v>
      </c>
      <c r="I258" s="11">
        <f>Table1[[#This Row],[Revenue (Crore ₹)]]/Table1[[#This Row],[Doctors / Staff]]</f>
        <v>73.453957996768978</v>
      </c>
      <c r="J258">
        <v>24.7</v>
      </c>
      <c r="K258">
        <v>10092</v>
      </c>
      <c r="L258">
        <v>13.04</v>
      </c>
      <c r="M258">
        <v>5233</v>
      </c>
      <c r="N258">
        <v>40235</v>
      </c>
      <c r="O258">
        <v>10</v>
      </c>
      <c r="P258">
        <v>75</v>
      </c>
    </row>
    <row r="259" spans="1:16" x14ac:dyDescent="0.3">
      <c r="A259">
        <v>2021</v>
      </c>
      <c r="B259" t="s">
        <v>21</v>
      </c>
      <c r="C259" t="s">
        <v>32</v>
      </c>
      <c r="D259" t="s">
        <v>17</v>
      </c>
      <c r="E259" t="s">
        <v>43</v>
      </c>
      <c r="F259">
        <v>46685</v>
      </c>
      <c r="G259">
        <v>4308</v>
      </c>
      <c r="H259">
        <v>139635</v>
      </c>
      <c r="I259" s="11">
        <f>Table1[[#This Row],[Revenue (Crore ₹)]]/Table1[[#This Row],[Doctors / Staff]]</f>
        <v>32.412952646239553</v>
      </c>
      <c r="J259">
        <v>20.05</v>
      </c>
      <c r="K259">
        <v>10057</v>
      </c>
      <c r="L259">
        <v>1.1399999999999999</v>
      </c>
      <c r="M259">
        <v>41378</v>
      </c>
      <c r="N259">
        <v>98257</v>
      </c>
      <c r="O259">
        <v>9</v>
      </c>
      <c r="P259">
        <v>81</v>
      </c>
    </row>
    <row r="260" spans="1:16" x14ac:dyDescent="0.3">
      <c r="A260">
        <v>2025</v>
      </c>
      <c r="B260" t="s">
        <v>24</v>
      </c>
      <c r="C260" t="s">
        <v>32</v>
      </c>
      <c r="D260" t="s">
        <v>17</v>
      </c>
      <c r="E260" t="s">
        <v>26</v>
      </c>
      <c r="F260">
        <v>39807</v>
      </c>
      <c r="G260">
        <v>523</v>
      </c>
      <c r="H260">
        <v>41178</v>
      </c>
      <c r="I260" s="11">
        <f>Table1[[#This Row],[Revenue (Crore ₹)]]/Table1[[#This Row],[Doctors / Staff]]</f>
        <v>78.734225621414907</v>
      </c>
      <c r="J260">
        <v>15.55</v>
      </c>
      <c r="K260">
        <v>8805</v>
      </c>
      <c r="L260">
        <v>9.9</v>
      </c>
      <c r="M260">
        <v>32831</v>
      </c>
      <c r="N260">
        <v>8347</v>
      </c>
      <c r="O260">
        <v>3</v>
      </c>
      <c r="P260">
        <v>97</v>
      </c>
    </row>
    <row r="261" spans="1:16" x14ac:dyDescent="0.3">
      <c r="A261">
        <v>2023</v>
      </c>
      <c r="B261" t="s">
        <v>39</v>
      </c>
      <c r="C261" t="s">
        <v>37</v>
      </c>
      <c r="D261" t="s">
        <v>17</v>
      </c>
      <c r="E261" t="s">
        <v>18</v>
      </c>
      <c r="F261">
        <v>82801</v>
      </c>
      <c r="G261">
        <v>672</v>
      </c>
      <c r="H261">
        <v>37888</v>
      </c>
      <c r="I261" s="11">
        <f>Table1[[#This Row],[Revenue (Crore ₹)]]/Table1[[#This Row],[Doctors / Staff]]</f>
        <v>56.38095238095238</v>
      </c>
      <c r="J261">
        <v>6.17</v>
      </c>
      <c r="K261">
        <v>11942</v>
      </c>
      <c r="L261">
        <v>6.33</v>
      </c>
      <c r="M261">
        <v>6347</v>
      </c>
      <c r="N261">
        <v>31541</v>
      </c>
      <c r="O261">
        <v>16</v>
      </c>
      <c r="P261">
        <v>98</v>
      </c>
    </row>
    <row r="262" spans="1:16" x14ac:dyDescent="0.3">
      <c r="A262">
        <v>2025</v>
      </c>
      <c r="B262" t="s">
        <v>39</v>
      </c>
      <c r="C262" t="s">
        <v>29</v>
      </c>
      <c r="D262" t="s">
        <v>17</v>
      </c>
      <c r="E262" t="s">
        <v>18</v>
      </c>
      <c r="F262">
        <v>79604</v>
      </c>
      <c r="G262">
        <v>718</v>
      </c>
      <c r="H262">
        <v>98364</v>
      </c>
      <c r="I262" s="11">
        <f>Table1[[#This Row],[Revenue (Crore ₹)]]/Table1[[#This Row],[Doctors / Staff]]</f>
        <v>136.99721448467966</v>
      </c>
      <c r="J262">
        <v>15.8</v>
      </c>
      <c r="K262">
        <v>1478</v>
      </c>
      <c r="L262">
        <v>14.41</v>
      </c>
      <c r="M262">
        <v>36064</v>
      </c>
      <c r="N262">
        <v>62300</v>
      </c>
      <c r="O262">
        <v>16</v>
      </c>
      <c r="P262">
        <v>98</v>
      </c>
    </row>
    <row r="263" spans="1:16" x14ac:dyDescent="0.3">
      <c r="A263">
        <v>2025</v>
      </c>
      <c r="B263" t="s">
        <v>24</v>
      </c>
      <c r="C263" t="s">
        <v>27</v>
      </c>
      <c r="D263" t="s">
        <v>28</v>
      </c>
      <c r="E263" t="s">
        <v>30</v>
      </c>
      <c r="F263">
        <v>45856</v>
      </c>
      <c r="G263">
        <v>3158</v>
      </c>
      <c r="H263">
        <v>181268</v>
      </c>
      <c r="I263" s="11">
        <f>Table1[[#This Row],[Revenue (Crore ₹)]]/Table1[[#This Row],[Doctors / Staff]]</f>
        <v>57.399620012666247</v>
      </c>
      <c r="J263">
        <v>3.91</v>
      </c>
      <c r="K263">
        <v>11272</v>
      </c>
      <c r="L263">
        <v>12.42</v>
      </c>
      <c r="M263">
        <v>33440</v>
      </c>
      <c r="N263">
        <v>147828</v>
      </c>
      <c r="O263">
        <v>7</v>
      </c>
      <c r="P263">
        <v>91</v>
      </c>
    </row>
    <row r="264" spans="1:16" x14ac:dyDescent="0.3">
      <c r="A264">
        <v>2022</v>
      </c>
      <c r="B264" t="s">
        <v>39</v>
      </c>
      <c r="C264" t="s">
        <v>32</v>
      </c>
      <c r="D264" t="s">
        <v>17</v>
      </c>
      <c r="E264" t="s">
        <v>23</v>
      </c>
      <c r="F264">
        <v>12597</v>
      </c>
      <c r="G264">
        <v>3464</v>
      </c>
      <c r="H264">
        <v>197151</v>
      </c>
      <c r="I264" s="11">
        <f>Table1[[#This Row],[Revenue (Crore ₹)]]/Table1[[#This Row],[Doctors / Staff]]</f>
        <v>56.914260969976908</v>
      </c>
      <c r="J264">
        <v>22.86</v>
      </c>
      <c r="K264">
        <v>18595</v>
      </c>
      <c r="L264">
        <v>5.94</v>
      </c>
      <c r="M264">
        <v>6602</v>
      </c>
      <c r="N264">
        <v>190549</v>
      </c>
      <c r="O264">
        <v>16</v>
      </c>
      <c r="P264">
        <v>88</v>
      </c>
    </row>
    <row r="265" spans="1:16" x14ac:dyDescent="0.3">
      <c r="A265">
        <v>2022</v>
      </c>
      <c r="B265" t="s">
        <v>36</v>
      </c>
      <c r="C265" t="s">
        <v>44</v>
      </c>
      <c r="D265" t="s">
        <v>28</v>
      </c>
      <c r="E265" t="s">
        <v>31</v>
      </c>
      <c r="F265">
        <v>27718</v>
      </c>
      <c r="G265">
        <v>4638</v>
      </c>
      <c r="H265">
        <v>114018</v>
      </c>
      <c r="I265" s="11">
        <f>Table1[[#This Row],[Revenue (Crore ₹)]]/Table1[[#This Row],[Doctors / Staff]]</f>
        <v>24.583441138421733</v>
      </c>
      <c r="J265">
        <v>4.42</v>
      </c>
      <c r="K265">
        <v>17006</v>
      </c>
      <c r="L265">
        <v>6.63</v>
      </c>
      <c r="M265">
        <v>47765</v>
      </c>
      <c r="N265">
        <v>66253</v>
      </c>
      <c r="O265">
        <v>19</v>
      </c>
      <c r="P265">
        <v>74</v>
      </c>
    </row>
    <row r="266" spans="1:16" x14ac:dyDescent="0.3">
      <c r="A266">
        <v>2025</v>
      </c>
      <c r="B266" t="s">
        <v>34</v>
      </c>
      <c r="C266" t="s">
        <v>27</v>
      </c>
      <c r="D266" t="s">
        <v>28</v>
      </c>
      <c r="E266" t="s">
        <v>41</v>
      </c>
      <c r="F266">
        <v>84462</v>
      </c>
      <c r="G266">
        <v>4456</v>
      </c>
      <c r="H266">
        <v>142050</v>
      </c>
      <c r="I266" s="11">
        <f>Table1[[#This Row],[Revenue (Crore ₹)]]/Table1[[#This Row],[Doctors / Staff]]</f>
        <v>31.878366247755835</v>
      </c>
      <c r="J266">
        <v>11.93</v>
      </c>
      <c r="K266">
        <v>13869</v>
      </c>
      <c r="L266">
        <v>11.66</v>
      </c>
      <c r="M266">
        <v>48046</v>
      </c>
      <c r="N266">
        <v>94004</v>
      </c>
      <c r="O266">
        <v>16</v>
      </c>
      <c r="P266">
        <v>97</v>
      </c>
    </row>
    <row r="267" spans="1:16" x14ac:dyDescent="0.3">
      <c r="A267">
        <v>2025</v>
      </c>
      <c r="B267" t="s">
        <v>33</v>
      </c>
      <c r="C267" t="s">
        <v>16</v>
      </c>
      <c r="D267" t="s">
        <v>17</v>
      </c>
      <c r="E267" t="s">
        <v>23</v>
      </c>
      <c r="F267">
        <v>63317</v>
      </c>
      <c r="G267">
        <v>1192</v>
      </c>
      <c r="H267">
        <v>40342</v>
      </c>
      <c r="I267" s="11">
        <f>Table1[[#This Row],[Revenue (Crore ₹)]]/Table1[[#This Row],[Doctors / Staff]]</f>
        <v>33.843959731543627</v>
      </c>
      <c r="J267">
        <v>17.899999999999999</v>
      </c>
      <c r="K267">
        <v>5395</v>
      </c>
      <c r="L267">
        <v>7.15</v>
      </c>
      <c r="M267">
        <v>41092</v>
      </c>
      <c r="N267">
        <v>-750</v>
      </c>
      <c r="O267">
        <v>16</v>
      </c>
      <c r="P267">
        <v>76</v>
      </c>
    </row>
    <row r="268" spans="1:16" x14ac:dyDescent="0.3">
      <c r="A268">
        <v>2023</v>
      </c>
      <c r="B268" t="s">
        <v>21</v>
      </c>
      <c r="C268" t="s">
        <v>22</v>
      </c>
      <c r="D268" t="s">
        <v>17</v>
      </c>
      <c r="E268" t="s">
        <v>31</v>
      </c>
      <c r="F268">
        <v>70169</v>
      </c>
      <c r="G268">
        <v>1196</v>
      </c>
      <c r="H268">
        <v>167215</v>
      </c>
      <c r="I268" s="11">
        <f>Table1[[#This Row],[Revenue (Crore ₹)]]/Table1[[#This Row],[Doctors / Staff]]</f>
        <v>139.81187290969899</v>
      </c>
      <c r="J268">
        <v>15.82</v>
      </c>
      <c r="K268">
        <v>7556</v>
      </c>
      <c r="L268">
        <v>5.35</v>
      </c>
      <c r="M268">
        <v>43598</v>
      </c>
      <c r="N268">
        <v>123617</v>
      </c>
      <c r="O268">
        <v>11</v>
      </c>
      <c r="P268">
        <v>88</v>
      </c>
    </row>
    <row r="269" spans="1:16" x14ac:dyDescent="0.3">
      <c r="A269">
        <v>2020</v>
      </c>
      <c r="B269" t="s">
        <v>24</v>
      </c>
      <c r="C269" t="s">
        <v>20</v>
      </c>
      <c r="D269" t="s">
        <v>17</v>
      </c>
      <c r="E269" t="s">
        <v>26</v>
      </c>
      <c r="F269">
        <v>64529</v>
      </c>
      <c r="G269">
        <v>1776</v>
      </c>
      <c r="H269">
        <v>35288</v>
      </c>
      <c r="I269" s="11">
        <f>Table1[[#This Row],[Revenue (Crore ₹)]]/Table1[[#This Row],[Doctors / Staff]]</f>
        <v>19.86936936936937</v>
      </c>
      <c r="J269">
        <v>7.87</v>
      </c>
      <c r="K269">
        <v>1624</v>
      </c>
      <c r="L269">
        <v>13.45</v>
      </c>
      <c r="M269">
        <v>9684</v>
      </c>
      <c r="N269">
        <v>25604</v>
      </c>
      <c r="O269">
        <v>20</v>
      </c>
      <c r="P269">
        <v>99</v>
      </c>
    </row>
    <row r="270" spans="1:16" x14ac:dyDescent="0.3">
      <c r="A270">
        <v>2024</v>
      </c>
      <c r="B270" t="s">
        <v>36</v>
      </c>
      <c r="C270" t="s">
        <v>27</v>
      </c>
      <c r="D270" t="s">
        <v>28</v>
      </c>
      <c r="E270" t="s">
        <v>43</v>
      </c>
      <c r="F270">
        <v>21796</v>
      </c>
      <c r="G270">
        <v>1566</v>
      </c>
      <c r="H270">
        <v>32131</v>
      </c>
      <c r="I270" s="11">
        <f>Table1[[#This Row],[Revenue (Crore ₹)]]/Table1[[#This Row],[Doctors / Staff]]</f>
        <v>20.51787994891443</v>
      </c>
      <c r="J270">
        <v>10.81</v>
      </c>
      <c r="K270">
        <v>5002</v>
      </c>
      <c r="L270">
        <v>12.38</v>
      </c>
      <c r="M270">
        <v>14311</v>
      </c>
      <c r="N270">
        <v>17820</v>
      </c>
      <c r="O270">
        <v>16</v>
      </c>
      <c r="P270">
        <v>77</v>
      </c>
    </row>
    <row r="271" spans="1:16" x14ac:dyDescent="0.3">
      <c r="A271">
        <v>2023</v>
      </c>
      <c r="B271" t="s">
        <v>36</v>
      </c>
      <c r="C271" t="s">
        <v>32</v>
      </c>
      <c r="D271" t="s">
        <v>17</v>
      </c>
      <c r="E271" t="s">
        <v>18</v>
      </c>
      <c r="F271">
        <v>5504</v>
      </c>
      <c r="G271">
        <v>4307</v>
      </c>
      <c r="H271">
        <v>63134</v>
      </c>
      <c r="I271" s="11">
        <f>Table1[[#This Row],[Revenue (Crore ₹)]]/Table1[[#This Row],[Doctors / Staff]]</f>
        <v>14.658462967262595</v>
      </c>
      <c r="J271">
        <v>22.78</v>
      </c>
      <c r="K271">
        <v>13999</v>
      </c>
      <c r="L271">
        <v>6.31</v>
      </c>
      <c r="M271">
        <v>1430</v>
      </c>
      <c r="N271">
        <v>61704</v>
      </c>
      <c r="O271">
        <v>13</v>
      </c>
      <c r="P271">
        <v>70</v>
      </c>
    </row>
    <row r="272" spans="1:16" x14ac:dyDescent="0.3">
      <c r="A272">
        <v>2021</v>
      </c>
      <c r="B272" t="s">
        <v>15</v>
      </c>
      <c r="C272" t="s">
        <v>35</v>
      </c>
      <c r="D272" t="s">
        <v>17</v>
      </c>
      <c r="E272" t="s">
        <v>18</v>
      </c>
      <c r="F272">
        <v>19365</v>
      </c>
      <c r="G272">
        <v>2988</v>
      </c>
      <c r="H272">
        <v>47261</v>
      </c>
      <c r="I272" s="11">
        <f>Table1[[#This Row],[Revenue (Crore ₹)]]/Table1[[#This Row],[Doctors / Staff]]</f>
        <v>15.816934404283803</v>
      </c>
      <c r="J272">
        <v>5.1100000000000003</v>
      </c>
      <c r="K272">
        <v>2933</v>
      </c>
      <c r="L272">
        <v>5.43</v>
      </c>
      <c r="M272">
        <v>21661</v>
      </c>
      <c r="N272">
        <v>25600</v>
      </c>
      <c r="O272">
        <v>17</v>
      </c>
      <c r="P272">
        <v>70</v>
      </c>
    </row>
    <row r="273" spans="1:16" x14ac:dyDescent="0.3">
      <c r="A273">
        <v>2024</v>
      </c>
      <c r="B273" t="s">
        <v>24</v>
      </c>
      <c r="C273" t="s">
        <v>29</v>
      </c>
      <c r="D273" t="s">
        <v>17</v>
      </c>
      <c r="E273" t="s">
        <v>18</v>
      </c>
      <c r="F273">
        <v>89165</v>
      </c>
      <c r="G273">
        <v>203</v>
      </c>
      <c r="H273">
        <v>57435</v>
      </c>
      <c r="I273" s="11">
        <f>Table1[[#This Row],[Revenue (Crore ₹)]]/Table1[[#This Row],[Doctors / Staff]]</f>
        <v>282.93103448275861</v>
      </c>
      <c r="J273">
        <v>17.52</v>
      </c>
      <c r="K273">
        <v>18112</v>
      </c>
      <c r="L273">
        <v>1.78</v>
      </c>
      <c r="M273">
        <v>5937</v>
      </c>
      <c r="N273">
        <v>51498</v>
      </c>
      <c r="O273">
        <v>18</v>
      </c>
      <c r="P273">
        <v>74</v>
      </c>
    </row>
    <row r="274" spans="1:16" x14ac:dyDescent="0.3">
      <c r="A274">
        <v>2022</v>
      </c>
      <c r="B274" t="s">
        <v>36</v>
      </c>
      <c r="C274" t="s">
        <v>32</v>
      </c>
      <c r="D274" t="s">
        <v>17</v>
      </c>
      <c r="E274" t="s">
        <v>38</v>
      </c>
      <c r="F274">
        <v>59489</v>
      </c>
      <c r="G274">
        <v>3290</v>
      </c>
      <c r="H274">
        <v>84369</v>
      </c>
      <c r="I274" s="11">
        <f>Table1[[#This Row],[Revenue (Crore ₹)]]/Table1[[#This Row],[Doctors / Staff]]</f>
        <v>25.644072948328269</v>
      </c>
      <c r="J274">
        <v>24.94</v>
      </c>
      <c r="K274">
        <v>16048</v>
      </c>
      <c r="L274">
        <v>3.41</v>
      </c>
      <c r="M274">
        <v>1301</v>
      </c>
      <c r="N274">
        <v>83068</v>
      </c>
      <c r="O274">
        <v>12</v>
      </c>
      <c r="P274">
        <v>88</v>
      </c>
    </row>
    <row r="275" spans="1:16" x14ac:dyDescent="0.3">
      <c r="A275">
        <v>2023</v>
      </c>
      <c r="B275" t="s">
        <v>36</v>
      </c>
      <c r="C275" t="s">
        <v>35</v>
      </c>
      <c r="D275" t="s">
        <v>17</v>
      </c>
      <c r="E275" t="s">
        <v>41</v>
      </c>
      <c r="F275">
        <v>12710</v>
      </c>
      <c r="G275">
        <v>2552</v>
      </c>
      <c r="H275">
        <v>77083</v>
      </c>
      <c r="I275" s="11">
        <f>Table1[[#This Row],[Revenue (Crore ₹)]]/Table1[[#This Row],[Doctors / Staff]]</f>
        <v>30.204937304075234</v>
      </c>
      <c r="J275">
        <v>15.27</v>
      </c>
      <c r="K275">
        <v>6676</v>
      </c>
      <c r="L275">
        <v>3.97</v>
      </c>
      <c r="M275">
        <v>25838</v>
      </c>
      <c r="N275">
        <v>51245</v>
      </c>
      <c r="O275">
        <v>9</v>
      </c>
      <c r="P275">
        <v>72</v>
      </c>
    </row>
    <row r="276" spans="1:16" x14ac:dyDescent="0.3">
      <c r="A276">
        <v>2020</v>
      </c>
      <c r="B276" t="s">
        <v>36</v>
      </c>
      <c r="C276" t="s">
        <v>20</v>
      </c>
      <c r="D276" t="s">
        <v>17</v>
      </c>
      <c r="E276" t="s">
        <v>18</v>
      </c>
      <c r="F276">
        <v>48123</v>
      </c>
      <c r="G276">
        <v>281</v>
      </c>
      <c r="H276">
        <v>172059</v>
      </c>
      <c r="I276" s="11">
        <f>Table1[[#This Row],[Revenue (Crore ₹)]]/Table1[[#This Row],[Doctors / Staff]]</f>
        <v>612.3096085409253</v>
      </c>
      <c r="J276">
        <v>18.170000000000002</v>
      </c>
      <c r="K276">
        <v>3104</v>
      </c>
      <c r="L276">
        <v>2.0499999999999998</v>
      </c>
      <c r="M276">
        <v>45237</v>
      </c>
      <c r="N276">
        <v>126822</v>
      </c>
      <c r="O276">
        <v>8</v>
      </c>
      <c r="P276">
        <v>89</v>
      </c>
    </row>
    <row r="277" spans="1:16" x14ac:dyDescent="0.3">
      <c r="A277">
        <v>2024</v>
      </c>
      <c r="B277" t="s">
        <v>39</v>
      </c>
      <c r="C277" t="s">
        <v>35</v>
      </c>
      <c r="D277" t="s">
        <v>17</v>
      </c>
      <c r="E277" t="s">
        <v>43</v>
      </c>
      <c r="F277">
        <v>92008</v>
      </c>
      <c r="G277">
        <v>2564</v>
      </c>
      <c r="H277">
        <v>110321</v>
      </c>
      <c r="I277" s="11">
        <f>Table1[[#This Row],[Revenue (Crore ₹)]]/Table1[[#This Row],[Doctors / Staff]]</f>
        <v>43.026911076443056</v>
      </c>
      <c r="J277">
        <v>11.73</v>
      </c>
      <c r="K277">
        <v>15782</v>
      </c>
      <c r="L277">
        <v>3.33</v>
      </c>
      <c r="M277">
        <v>38754</v>
      </c>
      <c r="N277">
        <v>71567</v>
      </c>
      <c r="O277">
        <v>18</v>
      </c>
      <c r="P277">
        <v>89</v>
      </c>
    </row>
    <row r="278" spans="1:16" x14ac:dyDescent="0.3">
      <c r="A278">
        <v>2023</v>
      </c>
      <c r="B278" t="s">
        <v>33</v>
      </c>
      <c r="C278" t="s">
        <v>22</v>
      </c>
      <c r="D278" t="s">
        <v>17</v>
      </c>
      <c r="E278" t="s">
        <v>41</v>
      </c>
      <c r="F278">
        <v>8660</v>
      </c>
      <c r="G278">
        <v>2102</v>
      </c>
      <c r="H278">
        <v>181081</v>
      </c>
      <c r="I278" s="11">
        <f>Table1[[#This Row],[Revenue (Crore ₹)]]/Table1[[#This Row],[Doctors / Staff]]</f>
        <v>86.147002854424358</v>
      </c>
      <c r="J278">
        <v>21.07</v>
      </c>
      <c r="K278">
        <v>9884</v>
      </c>
      <c r="L278">
        <v>10.81</v>
      </c>
      <c r="M278">
        <v>31695</v>
      </c>
      <c r="N278">
        <v>149386</v>
      </c>
      <c r="O278">
        <v>7</v>
      </c>
      <c r="P278">
        <v>89</v>
      </c>
    </row>
    <row r="279" spans="1:16" x14ac:dyDescent="0.3">
      <c r="A279">
        <v>2023</v>
      </c>
      <c r="B279" t="s">
        <v>39</v>
      </c>
      <c r="C279" t="s">
        <v>32</v>
      </c>
      <c r="D279" t="s">
        <v>17</v>
      </c>
      <c r="E279" t="s">
        <v>38</v>
      </c>
      <c r="F279">
        <v>95446</v>
      </c>
      <c r="G279">
        <v>107</v>
      </c>
      <c r="H279">
        <v>149378</v>
      </c>
      <c r="I279" s="11">
        <f>Table1[[#This Row],[Revenue (Crore ₹)]]/Table1[[#This Row],[Doctors / Staff]]</f>
        <v>1396.0560747663551</v>
      </c>
      <c r="J279">
        <v>10.26</v>
      </c>
      <c r="K279">
        <v>16725</v>
      </c>
      <c r="L279">
        <v>3.52</v>
      </c>
      <c r="M279">
        <v>36185</v>
      </c>
      <c r="N279">
        <v>113193</v>
      </c>
      <c r="O279">
        <v>17</v>
      </c>
      <c r="P279">
        <v>95</v>
      </c>
    </row>
    <row r="280" spans="1:16" x14ac:dyDescent="0.3">
      <c r="A280">
        <v>2023</v>
      </c>
      <c r="B280" t="s">
        <v>36</v>
      </c>
      <c r="C280" t="s">
        <v>44</v>
      </c>
      <c r="D280" t="s">
        <v>28</v>
      </c>
      <c r="E280" t="s">
        <v>30</v>
      </c>
      <c r="F280">
        <v>84063</v>
      </c>
      <c r="G280">
        <v>2904</v>
      </c>
      <c r="H280">
        <v>65496</v>
      </c>
      <c r="I280" s="11">
        <f>Table1[[#This Row],[Revenue (Crore ₹)]]/Table1[[#This Row],[Doctors / Staff]]</f>
        <v>22.553719008264462</v>
      </c>
      <c r="J280">
        <v>14.4</v>
      </c>
      <c r="K280">
        <v>17760</v>
      </c>
      <c r="L280">
        <v>8.58</v>
      </c>
      <c r="M280">
        <v>8455</v>
      </c>
      <c r="N280">
        <v>57041</v>
      </c>
      <c r="O280">
        <v>5</v>
      </c>
      <c r="P280">
        <v>93</v>
      </c>
    </row>
    <row r="281" spans="1:16" x14ac:dyDescent="0.3">
      <c r="A281">
        <v>2025</v>
      </c>
      <c r="B281" t="s">
        <v>39</v>
      </c>
      <c r="C281" t="s">
        <v>22</v>
      </c>
      <c r="D281" t="s">
        <v>17</v>
      </c>
      <c r="E281" t="s">
        <v>30</v>
      </c>
      <c r="F281">
        <v>14211</v>
      </c>
      <c r="G281">
        <v>4039</v>
      </c>
      <c r="H281">
        <v>132715</v>
      </c>
      <c r="I281" s="11">
        <f>Table1[[#This Row],[Revenue (Crore ₹)]]/Table1[[#This Row],[Doctors / Staff]]</f>
        <v>32.858380787323597</v>
      </c>
      <c r="J281">
        <v>10.39</v>
      </c>
      <c r="K281">
        <v>7625</v>
      </c>
      <c r="L281">
        <v>12.51</v>
      </c>
      <c r="M281">
        <v>17635</v>
      </c>
      <c r="N281">
        <v>115080</v>
      </c>
      <c r="O281">
        <v>14</v>
      </c>
      <c r="P281">
        <v>71</v>
      </c>
    </row>
    <row r="282" spans="1:16" x14ac:dyDescent="0.3">
      <c r="A282">
        <v>2020</v>
      </c>
      <c r="B282" t="s">
        <v>24</v>
      </c>
      <c r="C282" t="s">
        <v>32</v>
      </c>
      <c r="D282" t="s">
        <v>17</v>
      </c>
      <c r="E282" t="s">
        <v>43</v>
      </c>
      <c r="F282">
        <v>79353</v>
      </c>
      <c r="G282">
        <v>2428</v>
      </c>
      <c r="H282">
        <v>177074</v>
      </c>
      <c r="I282" s="11">
        <f>Table1[[#This Row],[Revenue (Crore ₹)]]/Table1[[#This Row],[Doctors / Staff]]</f>
        <v>72.92998352553542</v>
      </c>
      <c r="J282">
        <v>15.54</v>
      </c>
      <c r="K282">
        <v>19353</v>
      </c>
      <c r="L282">
        <v>4.9400000000000004</v>
      </c>
      <c r="M282">
        <v>14948</v>
      </c>
      <c r="N282">
        <v>162126</v>
      </c>
      <c r="O282">
        <v>11</v>
      </c>
      <c r="P282">
        <v>75</v>
      </c>
    </row>
    <row r="283" spans="1:16" x14ac:dyDescent="0.3">
      <c r="A283">
        <v>2021</v>
      </c>
      <c r="B283" t="s">
        <v>15</v>
      </c>
      <c r="C283" t="s">
        <v>25</v>
      </c>
      <c r="D283" t="s">
        <v>17</v>
      </c>
      <c r="E283" t="s">
        <v>31</v>
      </c>
      <c r="F283">
        <v>27512</v>
      </c>
      <c r="G283">
        <v>204</v>
      </c>
      <c r="H283">
        <v>85155</v>
      </c>
      <c r="I283" s="11">
        <f>Table1[[#This Row],[Revenue (Crore ₹)]]/Table1[[#This Row],[Doctors / Staff]]</f>
        <v>417.4264705882353</v>
      </c>
      <c r="J283">
        <v>11.45</v>
      </c>
      <c r="K283">
        <v>8609</v>
      </c>
      <c r="L283">
        <v>3.55</v>
      </c>
      <c r="M283">
        <v>49115</v>
      </c>
      <c r="N283">
        <v>36040</v>
      </c>
      <c r="O283">
        <v>15</v>
      </c>
      <c r="P283">
        <v>93</v>
      </c>
    </row>
    <row r="284" spans="1:16" x14ac:dyDescent="0.3">
      <c r="A284">
        <v>2024</v>
      </c>
      <c r="B284" t="s">
        <v>19</v>
      </c>
      <c r="C284" t="s">
        <v>35</v>
      </c>
      <c r="D284" t="s">
        <v>17</v>
      </c>
      <c r="E284" t="s">
        <v>43</v>
      </c>
      <c r="F284">
        <v>86685</v>
      </c>
      <c r="G284">
        <v>1317</v>
      </c>
      <c r="H284">
        <v>103815</v>
      </c>
      <c r="I284" s="11">
        <f>Table1[[#This Row],[Revenue (Crore ₹)]]/Table1[[#This Row],[Doctors / Staff]]</f>
        <v>78.826879271070609</v>
      </c>
      <c r="J284">
        <v>16.43</v>
      </c>
      <c r="K284">
        <v>2835</v>
      </c>
      <c r="L284">
        <v>1.42</v>
      </c>
      <c r="M284">
        <v>10645</v>
      </c>
      <c r="N284">
        <v>93170</v>
      </c>
      <c r="O284">
        <v>12</v>
      </c>
      <c r="P284">
        <v>75</v>
      </c>
    </row>
    <row r="285" spans="1:16" x14ac:dyDescent="0.3">
      <c r="A285">
        <v>2021</v>
      </c>
      <c r="B285" t="s">
        <v>36</v>
      </c>
      <c r="C285" t="s">
        <v>16</v>
      </c>
      <c r="D285" t="s">
        <v>17</v>
      </c>
      <c r="E285" t="s">
        <v>41</v>
      </c>
      <c r="F285">
        <v>64295</v>
      </c>
      <c r="G285">
        <v>1316</v>
      </c>
      <c r="H285">
        <v>191447</v>
      </c>
      <c r="I285" s="11">
        <f>Table1[[#This Row],[Revenue (Crore ₹)]]/Table1[[#This Row],[Doctors / Staff]]</f>
        <v>145.47644376899697</v>
      </c>
      <c r="J285">
        <v>9.1300000000000008</v>
      </c>
      <c r="K285">
        <v>4235</v>
      </c>
      <c r="L285">
        <v>14.86</v>
      </c>
      <c r="M285">
        <v>35525</v>
      </c>
      <c r="N285">
        <v>155922</v>
      </c>
      <c r="O285">
        <v>15</v>
      </c>
      <c r="P285">
        <v>86</v>
      </c>
    </row>
    <row r="286" spans="1:16" x14ac:dyDescent="0.3">
      <c r="A286">
        <v>2021</v>
      </c>
      <c r="B286" t="s">
        <v>24</v>
      </c>
      <c r="C286" t="s">
        <v>37</v>
      </c>
      <c r="D286" t="s">
        <v>17</v>
      </c>
      <c r="E286" t="s">
        <v>43</v>
      </c>
      <c r="F286">
        <v>20075</v>
      </c>
      <c r="G286">
        <v>4319</v>
      </c>
      <c r="H286">
        <v>192954</v>
      </c>
      <c r="I286" s="11">
        <f>Table1[[#This Row],[Revenue (Crore ₹)]]/Table1[[#This Row],[Doctors / Staff]]</f>
        <v>44.675619356332483</v>
      </c>
      <c r="J286">
        <v>17.54</v>
      </c>
      <c r="K286">
        <v>13843</v>
      </c>
      <c r="L286">
        <v>8.0299999999999994</v>
      </c>
      <c r="M286">
        <v>5822</v>
      </c>
      <c r="N286">
        <v>187132</v>
      </c>
      <c r="O286">
        <v>4</v>
      </c>
      <c r="P286">
        <v>79</v>
      </c>
    </row>
    <row r="287" spans="1:16" x14ac:dyDescent="0.3">
      <c r="A287">
        <v>2020</v>
      </c>
      <c r="B287" t="s">
        <v>15</v>
      </c>
      <c r="C287" t="s">
        <v>22</v>
      </c>
      <c r="D287" t="s">
        <v>17</v>
      </c>
      <c r="E287" t="s">
        <v>30</v>
      </c>
      <c r="F287">
        <v>24561</v>
      </c>
      <c r="G287">
        <v>3489</v>
      </c>
      <c r="H287">
        <v>50684</v>
      </c>
      <c r="I287" s="11">
        <f>Table1[[#This Row],[Revenue (Crore ₹)]]/Table1[[#This Row],[Doctors / Staff]]</f>
        <v>14.526798509601605</v>
      </c>
      <c r="J287">
        <v>24.83</v>
      </c>
      <c r="K287">
        <v>10385</v>
      </c>
      <c r="L287">
        <v>10.67</v>
      </c>
      <c r="M287">
        <v>8211</v>
      </c>
      <c r="N287">
        <v>42473</v>
      </c>
      <c r="O287">
        <v>6</v>
      </c>
      <c r="P287">
        <v>73</v>
      </c>
    </row>
    <row r="288" spans="1:16" x14ac:dyDescent="0.3">
      <c r="A288">
        <v>2024</v>
      </c>
      <c r="B288" t="s">
        <v>34</v>
      </c>
      <c r="C288" t="s">
        <v>42</v>
      </c>
      <c r="D288" t="s">
        <v>28</v>
      </c>
      <c r="E288" t="s">
        <v>31</v>
      </c>
      <c r="F288">
        <v>25404</v>
      </c>
      <c r="G288">
        <v>260</v>
      </c>
      <c r="H288">
        <v>174440</v>
      </c>
      <c r="I288" s="11">
        <f>Table1[[#This Row],[Revenue (Crore ₹)]]/Table1[[#This Row],[Doctors / Staff]]</f>
        <v>670.92307692307691</v>
      </c>
      <c r="J288">
        <v>16.38</v>
      </c>
      <c r="K288">
        <v>18359</v>
      </c>
      <c r="L288">
        <v>2.0099999999999998</v>
      </c>
      <c r="M288">
        <v>6777</v>
      </c>
      <c r="N288">
        <v>167663</v>
      </c>
      <c r="O288">
        <v>13</v>
      </c>
      <c r="P288">
        <v>82</v>
      </c>
    </row>
    <row r="289" spans="1:16" x14ac:dyDescent="0.3">
      <c r="A289">
        <v>2020</v>
      </c>
      <c r="B289" t="s">
        <v>15</v>
      </c>
      <c r="C289" t="s">
        <v>25</v>
      </c>
      <c r="D289" t="s">
        <v>17</v>
      </c>
      <c r="E289" t="s">
        <v>41</v>
      </c>
      <c r="F289">
        <v>98072</v>
      </c>
      <c r="G289">
        <v>4129</v>
      </c>
      <c r="H289">
        <v>108072</v>
      </c>
      <c r="I289" s="11">
        <f>Table1[[#This Row],[Revenue (Crore ₹)]]/Table1[[#This Row],[Doctors / Staff]]</f>
        <v>26.173891983531121</v>
      </c>
      <c r="J289">
        <v>10.87</v>
      </c>
      <c r="K289">
        <v>12605</v>
      </c>
      <c r="L289">
        <v>4.76</v>
      </c>
      <c r="M289">
        <v>23888</v>
      </c>
      <c r="N289">
        <v>84184</v>
      </c>
      <c r="O289">
        <v>11</v>
      </c>
      <c r="P289">
        <v>81</v>
      </c>
    </row>
    <row r="290" spans="1:16" x14ac:dyDescent="0.3">
      <c r="A290">
        <v>2022</v>
      </c>
      <c r="B290" t="s">
        <v>34</v>
      </c>
      <c r="C290" t="s">
        <v>22</v>
      </c>
      <c r="D290" t="s">
        <v>17</v>
      </c>
      <c r="E290" t="s">
        <v>30</v>
      </c>
      <c r="F290">
        <v>25751</v>
      </c>
      <c r="G290">
        <v>2145</v>
      </c>
      <c r="H290">
        <v>189600</v>
      </c>
      <c r="I290" s="11">
        <f>Table1[[#This Row],[Revenue (Crore ₹)]]/Table1[[#This Row],[Doctors / Staff]]</f>
        <v>88.391608391608386</v>
      </c>
      <c r="J290">
        <v>7.62</v>
      </c>
      <c r="K290">
        <v>7295</v>
      </c>
      <c r="L290">
        <v>6.61</v>
      </c>
      <c r="M290">
        <v>29013</v>
      </c>
      <c r="N290">
        <v>160587</v>
      </c>
      <c r="O290">
        <v>6</v>
      </c>
      <c r="P290">
        <v>76</v>
      </c>
    </row>
    <row r="291" spans="1:16" x14ac:dyDescent="0.3">
      <c r="A291">
        <v>2024</v>
      </c>
      <c r="B291" t="s">
        <v>33</v>
      </c>
      <c r="C291" t="s">
        <v>25</v>
      </c>
      <c r="D291" t="s">
        <v>17</v>
      </c>
      <c r="E291" t="s">
        <v>31</v>
      </c>
      <c r="F291">
        <v>5045</v>
      </c>
      <c r="G291">
        <v>1832</v>
      </c>
      <c r="H291">
        <v>33212</v>
      </c>
      <c r="I291" s="11">
        <f>Table1[[#This Row],[Revenue (Crore ₹)]]/Table1[[#This Row],[Doctors / Staff]]</f>
        <v>18.12882096069869</v>
      </c>
      <c r="J291">
        <v>11.8</v>
      </c>
      <c r="K291">
        <v>1423</v>
      </c>
      <c r="L291">
        <v>2.06</v>
      </c>
      <c r="M291">
        <v>34063</v>
      </c>
      <c r="N291">
        <v>-851</v>
      </c>
      <c r="O291">
        <v>6</v>
      </c>
      <c r="P291">
        <v>78</v>
      </c>
    </row>
    <row r="292" spans="1:16" x14ac:dyDescent="0.3">
      <c r="A292">
        <v>2025</v>
      </c>
      <c r="B292" t="s">
        <v>19</v>
      </c>
      <c r="C292" t="s">
        <v>16</v>
      </c>
      <c r="D292" t="s">
        <v>17</v>
      </c>
      <c r="E292" t="s">
        <v>43</v>
      </c>
      <c r="F292">
        <v>84236</v>
      </c>
      <c r="G292">
        <v>4546</v>
      </c>
      <c r="H292">
        <v>30501</v>
      </c>
      <c r="I292" s="11">
        <f>Table1[[#This Row],[Revenue (Crore ₹)]]/Table1[[#This Row],[Doctors / Staff]]</f>
        <v>6.709414870215574</v>
      </c>
      <c r="J292">
        <v>23.1</v>
      </c>
      <c r="K292">
        <v>13130</v>
      </c>
      <c r="L292">
        <v>7.8</v>
      </c>
      <c r="M292">
        <v>47233</v>
      </c>
      <c r="N292">
        <v>-16732</v>
      </c>
      <c r="O292">
        <v>2</v>
      </c>
      <c r="P292">
        <v>79</v>
      </c>
    </row>
    <row r="293" spans="1:16" x14ac:dyDescent="0.3">
      <c r="A293">
        <v>2021</v>
      </c>
      <c r="B293" t="s">
        <v>39</v>
      </c>
      <c r="C293" t="s">
        <v>22</v>
      </c>
      <c r="D293" t="s">
        <v>17</v>
      </c>
      <c r="E293" t="s">
        <v>26</v>
      </c>
      <c r="F293">
        <v>18576</v>
      </c>
      <c r="G293">
        <v>1857</v>
      </c>
      <c r="H293">
        <v>26119</v>
      </c>
      <c r="I293" s="11">
        <f>Table1[[#This Row],[Revenue (Crore ₹)]]/Table1[[#This Row],[Doctors / Staff]]</f>
        <v>14.065158858373721</v>
      </c>
      <c r="J293">
        <v>19.100000000000001</v>
      </c>
      <c r="K293">
        <v>9483</v>
      </c>
      <c r="L293">
        <v>3.22</v>
      </c>
      <c r="M293">
        <v>29089</v>
      </c>
      <c r="N293">
        <v>-2970</v>
      </c>
      <c r="O293">
        <v>18</v>
      </c>
      <c r="P293">
        <v>90</v>
      </c>
    </row>
    <row r="294" spans="1:16" x14ac:dyDescent="0.3">
      <c r="A294">
        <v>2025</v>
      </c>
      <c r="B294" t="s">
        <v>21</v>
      </c>
      <c r="C294" t="s">
        <v>44</v>
      </c>
      <c r="D294" t="s">
        <v>28</v>
      </c>
      <c r="E294" t="s">
        <v>31</v>
      </c>
      <c r="F294">
        <v>17328</v>
      </c>
      <c r="G294">
        <v>2661</v>
      </c>
      <c r="H294">
        <v>129143</v>
      </c>
      <c r="I294" s="11">
        <f>Table1[[#This Row],[Revenue (Crore ₹)]]/Table1[[#This Row],[Doctors / Staff]]</f>
        <v>48.531754979331076</v>
      </c>
      <c r="J294">
        <v>20.5</v>
      </c>
      <c r="K294">
        <v>9691</v>
      </c>
      <c r="L294">
        <v>8.69</v>
      </c>
      <c r="M294">
        <v>19328</v>
      </c>
      <c r="N294">
        <v>109815</v>
      </c>
      <c r="O294">
        <v>12</v>
      </c>
      <c r="P294">
        <v>90</v>
      </c>
    </row>
    <row r="295" spans="1:16" x14ac:dyDescent="0.3">
      <c r="A295">
        <v>2021</v>
      </c>
      <c r="B295" t="s">
        <v>39</v>
      </c>
      <c r="C295" t="s">
        <v>22</v>
      </c>
      <c r="D295" t="s">
        <v>17</v>
      </c>
      <c r="E295" t="s">
        <v>31</v>
      </c>
      <c r="F295">
        <v>9593</v>
      </c>
      <c r="G295">
        <v>338</v>
      </c>
      <c r="H295">
        <v>142186</v>
      </c>
      <c r="I295" s="11">
        <f>Table1[[#This Row],[Revenue (Crore ₹)]]/Table1[[#This Row],[Doctors / Staff]]</f>
        <v>420.66863905325442</v>
      </c>
      <c r="J295">
        <v>21.71</v>
      </c>
      <c r="K295">
        <v>6408</v>
      </c>
      <c r="L295">
        <v>4.97</v>
      </c>
      <c r="M295">
        <v>3976</v>
      </c>
      <c r="N295">
        <v>138210</v>
      </c>
      <c r="O295">
        <v>4</v>
      </c>
      <c r="P295">
        <v>80</v>
      </c>
    </row>
    <row r="296" spans="1:16" x14ac:dyDescent="0.3">
      <c r="A296">
        <v>2024</v>
      </c>
      <c r="B296" t="s">
        <v>39</v>
      </c>
      <c r="C296" t="s">
        <v>20</v>
      </c>
      <c r="D296" t="s">
        <v>17</v>
      </c>
      <c r="E296" t="s">
        <v>26</v>
      </c>
      <c r="F296">
        <v>95556</v>
      </c>
      <c r="G296">
        <v>2317</v>
      </c>
      <c r="H296">
        <v>163238</v>
      </c>
      <c r="I296" s="11">
        <f>Table1[[#This Row],[Revenue (Crore ₹)]]/Table1[[#This Row],[Doctors / Staff]]</f>
        <v>70.452309020284858</v>
      </c>
      <c r="J296">
        <v>7.9</v>
      </c>
      <c r="K296">
        <v>11625</v>
      </c>
      <c r="L296">
        <v>5.18</v>
      </c>
      <c r="M296">
        <v>2072</v>
      </c>
      <c r="N296">
        <v>161166</v>
      </c>
      <c r="O296">
        <v>2</v>
      </c>
      <c r="P296">
        <v>89</v>
      </c>
    </row>
    <row r="297" spans="1:16" x14ac:dyDescent="0.3">
      <c r="A297">
        <v>2023</v>
      </c>
      <c r="B297" t="s">
        <v>24</v>
      </c>
      <c r="C297" t="s">
        <v>44</v>
      </c>
      <c r="D297" t="s">
        <v>28</v>
      </c>
      <c r="E297" t="s">
        <v>30</v>
      </c>
      <c r="F297">
        <v>90744</v>
      </c>
      <c r="G297">
        <v>1567</v>
      </c>
      <c r="H297">
        <v>65749</v>
      </c>
      <c r="I297" s="11">
        <f>Table1[[#This Row],[Revenue (Crore ₹)]]/Table1[[#This Row],[Doctors / Staff]]</f>
        <v>41.958519463943844</v>
      </c>
      <c r="J297">
        <v>6.25</v>
      </c>
      <c r="K297">
        <v>6248</v>
      </c>
      <c r="L297">
        <v>3.47</v>
      </c>
      <c r="M297">
        <v>43360</v>
      </c>
      <c r="N297">
        <v>22389</v>
      </c>
      <c r="O297">
        <v>19</v>
      </c>
      <c r="P297">
        <v>78</v>
      </c>
    </row>
    <row r="298" spans="1:16" x14ac:dyDescent="0.3">
      <c r="A298">
        <v>2021</v>
      </c>
      <c r="B298" t="s">
        <v>36</v>
      </c>
      <c r="C298" t="s">
        <v>40</v>
      </c>
      <c r="D298" t="s">
        <v>28</v>
      </c>
      <c r="E298" t="s">
        <v>31</v>
      </c>
      <c r="F298">
        <v>28281</v>
      </c>
      <c r="G298">
        <v>4865</v>
      </c>
      <c r="H298">
        <v>135390</v>
      </c>
      <c r="I298" s="11">
        <f>Table1[[#This Row],[Revenue (Crore ₹)]]/Table1[[#This Row],[Doctors / Staff]]</f>
        <v>27.829393627954779</v>
      </c>
      <c r="J298">
        <v>15.35</v>
      </c>
      <c r="K298">
        <v>7082</v>
      </c>
      <c r="L298">
        <v>14.62</v>
      </c>
      <c r="M298">
        <v>38772</v>
      </c>
      <c r="N298">
        <v>96618</v>
      </c>
      <c r="O298">
        <v>7</v>
      </c>
      <c r="P298">
        <v>78</v>
      </c>
    </row>
    <row r="299" spans="1:16" x14ac:dyDescent="0.3">
      <c r="A299">
        <v>2025</v>
      </c>
      <c r="B299" t="s">
        <v>21</v>
      </c>
      <c r="C299" t="s">
        <v>35</v>
      </c>
      <c r="D299" t="s">
        <v>17</v>
      </c>
      <c r="E299" t="s">
        <v>18</v>
      </c>
      <c r="F299">
        <v>35673</v>
      </c>
      <c r="G299">
        <v>1882</v>
      </c>
      <c r="H299">
        <v>69106</v>
      </c>
      <c r="I299" s="11">
        <f>Table1[[#This Row],[Revenue (Crore ₹)]]/Table1[[#This Row],[Doctors / Staff]]</f>
        <v>36.719447396386819</v>
      </c>
      <c r="J299">
        <v>10.63</v>
      </c>
      <c r="K299">
        <v>7593</v>
      </c>
      <c r="L299">
        <v>3.35</v>
      </c>
      <c r="M299">
        <v>7124</v>
      </c>
      <c r="N299">
        <v>61982</v>
      </c>
      <c r="O299">
        <v>16</v>
      </c>
      <c r="P299">
        <v>92</v>
      </c>
    </row>
    <row r="300" spans="1:16" x14ac:dyDescent="0.3">
      <c r="A300">
        <v>2022</v>
      </c>
      <c r="B300" t="s">
        <v>15</v>
      </c>
      <c r="C300" t="s">
        <v>20</v>
      </c>
      <c r="D300" t="s">
        <v>17</v>
      </c>
      <c r="E300" t="s">
        <v>31</v>
      </c>
      <c r="F300">
        <v>70145</v>
      </c>
      <c r="G300">
        <v>4864</v>
      </c>
      <c r="H300">
        <v>85404</v>
      </c>
      <c r="I300" s="11">
        <f>Table1[[#This Row],[Revenue (Crore ₹)]]/Table1[[#This Row],[Doctors / Staff]]</f>
        <v>17.558388157894736</v>
      </c>
      <c r="J300">
        <v>18.25</v>
      </c>
      <c r="K300">
        <v>3118</v>
      </c>
      <c r="L300">
        <v>1.73</v>
      </c>
      <c r="M300">
        <v>45972</v>
      </c>
      <c r="N300">
        <v>39432</v>
      </c>
      <c r="O300">
        <v>0</v>
      </c>
      <c r="P300">
        <v>70</v>
      </c>
    </row>
    <row r="301" spans="1:16" x14ac:dyDescent="0.3">
      <c r="A301">
        <v>2020</v>
      </c>
      <c r="B301" t="s">
        <v>21</v>
      </c>
      <c r="C301" t="s">
        <v>20</v>
      </c>
      <c r="D301" t="s">
        <v>17</v>
      </c>
      <c r="E301" t="s">
        <v>18</v>
      </c>
      <c r="F301">
        <v>5170</v>
      </c>
      <c r="G301">
        <v>2451</v>
      </c>
      <c r="H301">
        <v>110915</v>
      </c>
      <c r="I301" s="11">
        <f>Table1[[#This Row],[Revenue (Crore ₹)]]/Table1[[#This Row],[Doctors / Staff]]</f>
        <v>45.252957976336191</v>
      </c>
      <c r="J301">
        <v>7.57</v>
      </c>
      <c r="K301">
        <v>9035</v>
      </c>
      <c r="L301">
        <v>13.86</v>
      </c>
      <c r="M301">
        <v>3909</v>
      </c>
      <c r="N301">
        <v>107006</v>
      </c>
      <c r="O301">
        <v>15</v>
      </c>
      <c r="P301">
        <v>78</v>
      </c>
    </row>
    <row r="302" spans="1:16" x14ac:dyDescent="0.3">
      <c r="A302">
        <v>2021</v>
      </c>
      <c r="B302" t="s">
        <v>19</v>
      </c>
      <c r="C302" t="s">
        <v>29</v>
      </c>
      <c r="D302" t="s">
        <v>17</v>
      </c>
      <c r="E302" t="s">
        <v>38</v>
      </c>
      <c r="F302">
        <v>23645</v>
      </c>
      <c r="G302">
        <v>3628</v>
      </c>
      <c r="H302">
        <v>198675</v>
      </c>
      <c r="I302" s="11">
        <f>Table1[[#This Row],[Revenue (Crore ₹)]]/Table1[[#This Row],[Doctors / Staff]]</f>
        <v>54.761576626240355</v>
      </c>
      <c r="J302">
        <v>6.37</v>
      </c>
      <c r="K302">
        <v>18398</v>
      </c>
      <c r="L302">
        <v>12.24</v>
      </c>
      <c r="M302">
        <v>45273</v>
      </c>
      <c r="N302">
        <v>153402</v>
      </c>
      <c r="O302">
        <v>20</v>
      </c>
      <c r="P302">
        <v>89</v>
      </c>
    </row>
    <row r="303" spans="1:16" x14ac:dyDescent="0.3">
      <c r="A303">
        <v>2022</v>
      </c>
      <c r="B303" t="s">
        <v>34</v>
      </c>
      <c r="C303" t="s">
        <v>37</v>
      </c>
      <c r="D303" t="s">
        <v>17</v>
      </c>
      <c r="E303" t="s">
        <v>23</v>
      </c>
      <c r="F303">
        <v>15004</v>
      </c>
      <c r="G303">
        <v>2947</v>
      </c>
      <c r="H303">
        <v>96683</v>
      </c>
      <c r="I303" s="11">
        <f>Table1[[#This Row],[Revenue (Crore ₹)]]/Table1[[#This Row],[Doctors / Staff]]</f>
        <v>32.807261621988459</v>
      </c>
      <c r="J303">
        <v>5.41</v>
      </c>
      <c r="K303">
        <v>1201</v>
      </c>
      <c r="L303">
        <v>13.89</v>
      </c>
      <c r="M303">
        <v>33958</v>
      </c>
      <c r="N303">
        <v>62725</v>
      </c>
      <c r="O303">
        <v>20</v>
      </c>
      <c r="P303">
        <v>78</v>
      </c>
    </row>
    <row r="304" spans="1:16" x14ac:dyDescent="0.3">
      <c r="A304">
        <v>2020</v>
      </c>
      <c r="B304" t="s">
        <v>36</v>
      </c>
      <c r="C304" t="s">
        <v>40</v>
      </c>
      <c r="D304" t="s">
        <v>28</v>
      </c>
      <c r="E304" t="s">
        <v>23</v>
      </c>
      <c r="F304">
        <v>17939</v>
      </c>
      <c r="G304">
        <v>676</v>
      </c>
      <c r="H304">
        <v>157989</v>
      </c>
      <c r="I304" s="11">
        <f>Table1[[#This Row],[Revenue (Crore ₹)]]/Table1[[#This Row],[Doctors / Staff]]</f>
        <v>233.71153846153845</v>
      </c>
      <c r="J304">
        <v>10.220000000000001</v>
      </c>
      <c r="K304">
        <v>10877</v>
      </c>
      <c r="L304">
        <v>3.15</v>
      </c>
      <c r="M304">
        <v>37946</v>
      </c>
      <c r="N304">
        <v>120043</v>
      </c>
      <c r="O304">
        <v>8</v>
      </c>
      <c r="P304">
        <v>83</v>
      </c>
    </row>
    <row r="305" spans="1:16" x14ac:dyDescent="0.3">
      <c r="A305">
        <v>2022</v>
      </c>
      <c r="B305" t="s">
        <v>19</v>
      </c>
      <c r="C305" t="s">
        <v>16</v>
      </c>
      <c r="D305" t="s">
        <v>17</v>
      </c>
      <c r="E305" t="s">
        <v>18</v>
      </c>
      <c r="F305">
        <v>35972</v>
      </c>
      <c r="G305">
        <v>1761</v>
      </c>
      <c r="H305">
        <v>130104</v>
      </c>
      <c r="I305" s="11">
        <f>Table1[[#This Row],[Revenue (Crore ₹)]]/Table1[[#This Row],[Doctors / Staff]]</f>
        <v>73.880749574105621</v>
      </c>
      <c r="J305">
        <v>18.11</v>
      </c>
      <c r="K305">
        <v>5920</v>
      </c>
      <c r="L305">
        <v>7.92</v>
      </c>
      <c r="M305">
        <v>48543</v>
      </c>
      <c r="N305">
        <v>81561</v>
      </c>
      <c r="O305">
        <v>12</v>
      </c>
      <c r="P305">
        <v>86</v>
      </c>
    </row>
    <row r="306" spans="1:16" x14ac:dyDescent="0.3">
      <c r="A306">
        <v>2024</v>
      </c>
      <c r="B306" t="s">
        <v>34</v>
      </c>
      <c r="C306" t="s">
        <v>42</v>
      </c>
      <c r="D306" t="s">
        <v>28</v>
      </c>
      <c r="E306" t="s">
        <v>23</v>
      </c>
      <c r="F306">
        <v>9228</v>
      </c>
      <c r="G306">
        <v>1201</v>
      </c>
      <c r="H306">
        <v>55132</v>
      </c>
      <c r="I306" s="11">
        <f>Table1[[#This Row],[Revenue (Crore ₹)]]/Table1[[#This Row],[Doctors / Staff]]</f>
        <v>45.905079100749376</v>
      </c>
      <c r="J306">
        <v>8.2899999999999991</v>
      </c>
      <c r="K306">
        <v>837</v>
      </c>
      <c r="L306">
        <v>5.61</v>
      </c>
      <c r="M306">
        <v>3897</v>
      </c>
      <c r="N306">
        <v>51235</v>
      </c>
      <c r="O306">
        <v>9</v>
      </c>
      <c r="P306">
        <v>78</v>
      </c>
    </row>
    <row r="307" spans="1:16" x14ac:dyDescent="0.3">
      <c r="A307">
        <v>2020</v>
      </c>
      <c r="B307" t="s">
        <v>24</v>
      </c>
      <c r="C307" t="s">
        <v>32</v>
      </c>
      <c r="D307" t="s">
        <v>17</v>
      </c>
      <c r="E307" t="s">
        <v>41</v>
      </c>
      <c r="F307">
        <v>21965</v>
      </c>
      <c r="G307">
        <v>1580</v>
      </c>
      <c r="H307">
        <v>14004</v>
      </c>
      <c r="I307" s="11">
        <f>Table1[[#This Row],[Revenue (Crore ₹)]]/Table1[[#This Row],[Doctors / Staff]]</f>
        <v>8.8632911392405056</v>
      </c>
      <c r="J307">
        <v>8.1999999999999993</v>
      </c>
      <c r="K307">
        <v>10124</v>
      </c>
      <c r="L307">
        <v>14.74</v>
      </c>
      <c r="M307">
        <v>10716</v>
      </c>
      <c r="N307">
        <v>3288</v>
      </c>
      <c r="O307">
        <v>4</v>
      </c>
      <c r="P307">
        <v>87</v>
      </c>
    </row>
    <row r="308" spans="1:16" x14ac:dyDescent="0.3">
      <c r="A308">
        <v>2024</v>
      </c>
      <c r="B308" t="s">
        <v>19</v>
      </c>
      <c r="C308" t="s">
        <v>20</v>
      </c>
      <c r="D308" t="s">
        <v>17</v>
      </c>
      <c r="E308" t="s">
        <v>26</v>
      </c>
      <c r="F308">
        <v>38098</v>
      </c>
      <c r="G308">
        <v>3283</v>
      </c>
      <c r="H308">
        <v>34836</v>
      </c>
      <c r="I308" s="11">
        <f>Table1[[#This Row],[Revenue (Crore ₹)]]/Table1[[#This Row],[Doctors / Staff]]</f>
        <v>10.611026500152299</v>
      </c>
      <c r="J308">
        <v>7.97</v>
      </c>
      <c r="K308">
        <v>13459</v>
      </c>
      <c r="L308">
        <v>6.02</v>
      </c>
      <c r="M308">
        <v>34513</v>
      </c>
      <c r="N308">
        <v>323</v>
      </c>
      <c r="O308">
        <v>8</v>
      </c>
      <c r="P308">
        <v>72</v>
      </c>
    </row>
    <row r="309" spans="1:16" x14ac:dyDescent="0.3">
      <c r="A309">
        <v>2021</v>
      </c>
      <c r="B309" t="s">
        <v>33</v>
      </c>
      <c r="C309" t="s">
        <v>22</v>
      </c>
      <c r="D309" t="s">
        <v>17</v>
      </c>
      <c r="E309" t="s">
        <v>23</v>
      </c>
      <c r="F309">
        <v>36032</v>
      </c>
      <c r="G309">
        <v>129</v>
      </c>
      <c r="H309">
        <v>27373</v>
      </c>
      <c r="I309" s="11">
        <f>Table1[[#This Row],[Revenue (Crore ₹)]]/Table1[[#This Row],[Doctors / Staff]]</f>
        <v>212.19379844961242</v>
      </c>
      <c r="J309">
        <v>9.18</v>
      </c>
      <c r="K309">
        <v>11763</v>
      </c>
      <c r="L309">
        <v>2.79</v>
      </c>
      <c r="M309">
        <v>30921</v>
      </c>
      <c r="N309">
        <v>-3548</v>
      </c>
      <c r="O309">
        <v>19</v>
      </c>
      <c r="P309">
        <v>77</v>
      </c>
    </row>
    <row r="310" spans="1:16" x14ac:dyDescent="0.3">
      <c r="A310">
        <v>2020</v>
      </c>
      <c r="B310" t="s">
        <v>36</v>
      </c>
      <c r="C310" t="s">
        <v>20</v>
      </c>
      <c r="D310" t="s">
        <v>17</v>
      </c>
      <c r="E310" t="s">
        <v>18</v>
      </c>
      <c r="F310">
        <v>46541</v>
      </c>
      <c r="G310">
        <v>293</v>
      </c>
      <c r="H310">
        <v>802</v>
      </c>
      <c r="I310" s="11">
        <f>Table1[[#This Row],[Revenue (Crore ₹)]]/Table1[[#This Row],[Doctors / Staff]]</f>
        <v>2.7372013651877132</v>
      </c>
      <c r="J310">
        <v>19.100000000000001</v>
      </c>
      <c r="K310">
        <v>2331</v>
      </c>
      <c r="L310">
        <v>7.77</v>
      </c>
      <c r="M310">
        <v>21706</v>
      </c>
      <c r="N310">
        <v>-20904</v>
      </c>
      <c r="O310">
        <v>8</v>
      </c>
      <c r="P310">
        <v>87</v>
      </c>
    </row>
    <row r="311" spans="1:16" x14ac:dyDescent="0.3">
      <c r="A311">
        <v>2023</v>
      </c>
      <c r="B311" t="s">
        <v>15</v>
      </c>
      <c r="C311" t="s">
        <v>22</v>
      </c>
      <c r="D311" t="s">
        <v>17</v>
      </c>
      <c r="E311" t="s">
        <v>26</v>
      </c>
      <c r="F311">
        <v>50358</v>
      </c>
      <c r="G311">
        <v>4031</v>
      </c>
      <c r="H311">
        <v>116460</v>
      </c>
      <c r="I311" s="11">
        <f>Table1[[#This Row],[Revenue (Crore ₹)]]/Table1[[#This Row],[Doctors / Staff]]</f>
        <v>28.891094021334656</v>
      </c>
      <c r="J311">
        <v>19.09</v>
      </c>
      <c r="K311">
        <v>15277</v>
      </c>
      <c r="L311">
        <v>14.33</v>
      </c>
      <c r="M311">
        <v>25994</v>
      </c>
      <c r="N311">
        <v>90466</v>
      </c>
      <c r="O311">
        <v>12</v>
      </c>
      <c r="P311">
        <v>72</v>
      </c>
    </row>
    <row r="312" spans="1:16" x14ac:dyDescent="0.3">
      <c r="A312">
        <v>2022</v>
      </c>
      <c r="B312" t="s">
        <v>19</v>
      </c>
      <c r="C312" t="s">
        <v>42</v>
      </c>
      <c r="D312" t="s">
        <v>28</v>
      </c>
      <c r="E312" t="s">
        <v>26</v>
      </c>
      <c r="F312">
        <v>20360</v>
      </c>
      <c r="G312">
        <v>2266</v>
      </c>
      <c r="H312">
        <v>73052</v>
      </c>
      <c r="I312" s="11">
        <f>Table1[[#This Row],[Revenue (Crore ₹)]]/Table1[[#This Row],[Doctors / Staff]]</f>
        <v>32.238305383936449</v>
      </c>
      <c r="J312">
        <v>8.2200000000000006</v>
      </c>
      <c r="K312">
        <v>8655</v>
      </c>
      <c r="L312">
        <v>13.93</v>
      </c>
      <c r="M312">
        <v>47966</v>
      </c>
      <c r="N312">
        <v>25086</v>
      </c>
      <c r="O312">
        <v>1</v>
      </c>
      <c r="P312">
        <v>87</v>
      </c>
    </row>
    <row r="313" spans="1:16" x14ac:dyDescent="0.3">
      <c r="A313">
        <v>2022</v>
      </c>
      <c r="B313" t="s">
        <v>34</v>
      </c>
      <c r="C313" t="s">
        <v>32</v>
      </c>
      <c r="D313" t="s">
        <v>17</v>
      </c>
      <c r="E313" t="s">
        <v>43</v>
      </c>
      <c r="F313">
        <v>91859</v>
      </c>
      <c r="G313">
        <v>4856</v>
      </c>
      <c r="H313">
        <v>65509</v>
      </c>
      <c r="I313" s="11">
        <f>Table1[[#This Row],[Revenue (Crore ₹)]]/Table1[[#This Row],[Doctors / Staff]]</f>
        <v>13.490321252059308</v>
      </c>
      <c r="J313">
        <v>21.05</v>
      </c>
      <c r="K313">
        <v>14664</v>
      </c>
      <c r="L313">
        <v>2.8</v>
      </c>
      <c r="M313">
        <v>33183</v>
      </c>
      <c r="N313">
        <v>32326</v>
      </c>
      <c r="O313">
        <v>3</v>
      </c>
      <c r="P313">
        <v>92</v>
      </c>
    </row>
    <row r="314" spans="1:16" x14ac:dyDescent="0.3">
      <c r="A314">
        <v>2022</v>
      </c>
      <c r="B314" t="s">
        <v>21</v>
      </c>
      <c r="C314" t="s">
        <v>37</v>
      </c>
      <c r="D314" t="s">
        <v>17</v>
      </c>
      <c r="E314" t="s">
        <v>41</v>
      </c>
      <c r="F314">
        <v>73919</v>
      </c>
      <c r="G314">
        <v>827</v>
      </c>
      <c r="H314">
        <v>127567</v>
      </c>
      <c r="I314" s="11">
        <f>Table1[[#This Row],[Revenue (Crore ₹)]]/Table1[[#This Row],[Doctors / Staff]]</f>
        <v>154.2527206771463</v>
      </c>
      <c r="J314">
        <v>18.79</v>
      </c>
      <c r="K314">
        <v>12421</v>
      </c>
      <c r="L314">
        <v>14.25</v>
      </c>
      <c r="M314">
        <v>29937</v>
      </c>
      <c r="N314">
        <v>97630</v>
      </c>
      <c r="O314">
        <v>8</v>
      </c>
      <c r="P314">
        <v>73</v>
      </c>
    </row>
    <row r="315" spans="1:16" x14ac:dyDescent="0.3">
      <c r="A315">
        <v>2023</v>
      </c>
      <c r="B315" t="s">
        <v>36</v>
      </c>
      <c r="C315" t="s">
        <v>20</v>
      </c>
      <c r="D315" t="s">
        <v>17</v>
      </c>
      <c r="E315" t="s">
        <v>26</v>
      </c>
      <c r="F315">
        <v>21266</v>
      </c>
      <c r="G315">
        <v>2746</v>
      </c>
      <c r="H315">
        <v>161141</v>
      </c>
      <c r="I315" s="11">
        <f>Table1[[#This Row],[Revenue (Crore ₹)]]/Table1[[#This Row],[Doctors / Staff]]</f>
        <v>58.682083029861616</v>
      </c>
      <c r="J315">
        <v>7.93</v>
      </c>
      <c r="K315">
        <v>6236</v>
      </c>
      <c r="L315">
        <v>12.2</v>
      </c>
      <c r="M315">
        <v>21154</v>
      </c>
      <c r="N315">
        <v>139987</v>
      </c>
      <c r="O315">
        <v>5</v>
      </c>
      <c r="P315">
        <v>74</v>
      </c>
    </row>
    <row r="316" spans="1:16" x14ac:dyDescent="0.3">
      <c r="A316">
        <v>2025</v>
      </c>
      <c r="B316" t="s">
        <v>33</v>
      </c>
      <c r="C316" t="s">
        <v>37</v>
      </c>
      <c r="D316" t="s">
        <v>17</v>
      </c>
      <c r="E316" t="s">
        <v>26</v>
      </c>
      <c r="F316">
        <v>52880</v>
      </c>
      <c r="G316">
        <v>1778</v>
      </c>
      <c r="H316">
        <v>160883</v>
      </c>
      <c r="I316" s="11">
        <f>Table1[[#This Row],[Revenue (Crore ₹)]]/Table1[[#This Row],[Doctors / Staff]]</f>
        <v>90.485376827896516</v>
      </c>
      <c r="J316">
        <v>23.2</v>
      </c>
      <c r="K316">
        <v>9276</v>
      </c>
      <c r="L316">
        <v>4.95</v>
      </c>
      <c r="M316">
        <v>2602</v>
      </c>
      <c r="N316">
        <v>158281</v>
      </c>
      <c r="O316">
        <v>9</v>
      </c>
      <c r="P316">
        <v>93</v>
      </c>
    </row>
    <row r="317" spans="1:16" x14ac:dyDescent="0.3">
      <c r="A317">
        <v>2024</v>
      </c>
      <c r="B317" t="s">
        <v>33</v>
      </c>
      <c r="C317" t="s">
        <v>40</v>
      </c>
      <c r="D317" t="s">
        <v>28</v>
      </c>
      <c r="E317" t="s">
        <v>31</v>
      </c>
      <c r="F317">
        <v>97292</v>
      </c>
      <c r="G317">
        <v>1754</v>
      </c>
      <c r="H317">
        <v>187112</v>
      </c>
      <c r="I317" s="11">
        <f>Table1[[#This Row],[Revenue (Crore ₹)]]/Table1[[#This Row],[Doctors / Staff]]</f>
        <v>106.67730900798176</v>
      </c>
      <c r="J317">
        <v>22.88</v>
      </c>
      <c r="K317">
        <v>19399</v>
      </c>
      <c r="L317">
        <v>3.76</v>
      </c>
      <c r="M317">
        <v>2216</v>
      </c>
      <c r="N317">
        <v>184896</v>
      </c>
      <c r="O317">
        <v>10</v>
      </c>
      <c r="P317">
        <v>78</v>
      </c>
    </row>
    <row r="318" spans="1:16" x14ac:dyDescent="0.3">
      <c r="A318">
        <v>2024</v>
      </c>
      <c r="B318" t="s">
        <v>24</v>
      </c>
      <c r="C318" t="s">
        <v>37</v>
      </c>
      <c r="D318" t="s">
        <v>17</v>
      </c>
      <c r="E318" t="s">
        <v>31</v>
      </c>
      <c r="F318">
        <v>30581</v>
      </c>
      <c r="G318">
        <v>4915</v>
      </c>
      <c r="H318">
        <v>86943</v>
      </c>
      <c r="I318" s="11">
        <f>Table1[[#This Row],[Revenue (Crore ₹)]]/Table1[[#This Row],[Doctors / Staff]]</f>
        <v>17.689318413021365</v>
      </c>
      <c r="J318">
        <v>17.36</v>
      </c>
      <c r="K318">
        <v>19323</v>
      </c>
      <c r="L318">
        <v>7.41</v>
      </c>
      <c r="M318">
        <v>27758</v>
      </c>
      <c r="N318">
        <v>59185</v>
      </c>
      <c r="O318">
        <v>9</v>
      </c>
      <c r="P318">
        <v>73</v>
      </c>
    </row>
    <row r="319" spans="1:16" x14ac:dyDescent="0.3">
      <c r="A319">
        <v>2020</v>
      </c>
      <c r="B319" t="s">
        <v>34</v>
      </c>
      <c r="C319" t="s">
        <v>25</v>
      </c>
      <c r="D319" t="s">
        <v>17</v>
      </c>
      <c r="E319" t="s">
        <v>41</v>
      </c>
      <c r="F319">
        <v>49512</v>
      </c>
      <c r="G319">
        <v>3271</v>
      </c>
      <c r="H319">
        <v>16664</v>
      </c>
      <c r="I319" s="11">
        <f>Table1[[#This Row],[Revenue (Crore ₹)]]/Table1[[#This Row],[Doctors / Staff]]</f>
        <v>5.0944665239987774</v>
      </c>
      <c r="J319">
        <v>20.36</v>
      </c>
      <c r="K319">
        <v>11785</v>
      </c>
      <c r="L319">
        <v>14.26</v>
      </c>
      <c r="M319">
        <v>25577</v>
      </c>
      <c r="N319">
        <v>-8913</v>
      </c>
      <c r="O319">
        <v>4</v>
      </c>
      <c r="P319">
        <v>82</v>
      </c>
    </row>
    <row r="320" spans="1:16" x14ac:dyDescent="0.3">
      <c r="A320">
        <v>2024</v>
      </c>
      <c r="B320" t="s">
        <v>33</v>
      </c>
      <c r="C320" t="s">
        <v>40</v>
      </c>
      <c r="D320" t="s">
        <v>28</v>
      </c>
      <c r="E320" t="s">
        <v>23</v>
      </c>
      <c r="F320">
        <v>36751</v>
      </c>
      <c r="G320">
        <v>2984</v>
      </c>
      <c r="H320">
        <v>47014</v>
      </c>
      <c r="I320" s="11">
        <f>Table1[[#This Row],[Revenue (Crore ₹)]]/Table1[[#This Row],[Doctors / Staff]]</f>
        <v>15.755361930294907</v>
      </c>
      <c r="J320">
        <v>4.08</v>
      </c>
      <c r="K320">
        <v>19774</v>
      </c>
      <c r="L320">
        <v>3</v>
      </c>
      <c r="M320">
        <v>21826</v>
      </c>
      <c r="N320">
        <v>25188</v>
      </c>
      <c r="O320">
        <v>9</v>
      </c>
      <c r="P320">
        <v>89</v>
      </c>
    </row>
    <row r="321" spans="1:16" x14ac:dyDescent="0.3">
      <c r="A321">
        <v>2021</v>
      </c>
      <c r="B321" t="s">
        <v>34</v>
      </c>
      <c r="C321" t="s">
        <v>29</v>
      </c>
      <c r="D321" t="s">
        <v>17</v>
      </c>
      <c r="E321" t="s">
        <v>43</v>
      </c>
      <c r="F321">
        <v>59600</v>
      </c>
      <c r="G321">
        <v>591</v>
      </c>
      <c r="H321">
        <v>46783</v>
      </c>
      <c r="I321" s="11">
        <f>Table1[[#This Row],[Revenue (Crore ₹)]]/Table1[[#This Row],[Doctors / Staff]]</f>
        <v>79.159052453468703</v>
      </c>
      <c r="J321">
        <v>22.47</v>
      </c>
      <c r="K321">
        <v>10573</v>
      </c>
      <c r="L321">
        <v>14.54</v>
      </c>
      <c r="M321">
        <v>24982</v>
      </c>
      <c r="N321">
        <v>21801</v>
      </c>
      <c r="O321">
        <v>0</v>
      </c>
      <c r="P321">
        <v>94</v>
      </c>
    </row>
    <row r="322" spans="1:16" x14ac:dyDescent="0.3">
      <c r="A322">
        <v>2024</v>
      </c>
      <c r="B322" t="s">
        <v>36</v>
      </c>
      <c r="C322" t="s">
        <v>44</v>
      </c>
      <c r="D322" t="s">
        <v>28</v>
      </c>
      <c r="E322" t="s">
        <v>41</v>
      </c>
      <c r="F322">
        <v>86106</v>
      </c>
      <c r="G322">
        <v>239</v>
      </c>
      <c r="H322">
        <v>62175</v>
      </c>
      <c r="I322" s="11">
        <f>Table1[[#This Row],[Revenue (Crore ₹)]]/Table1[[#This Row],[Doctors / Staff]]</f>
        <v>260.14644351464437</v>
      </c>
      <c r="J322">
        <v>24.79</v>
      </c>
      <c r="K322">
        <v>194</v>
      </c>
      <c r="L322">
        <v>3.69</v>
      </c>
      <c r="M322">
        <v>35698</v>
      </c>
      <c r="N322">
        <v>26477</v>
      </c>
      <c r="O322">
        <v>9</v>
      </c>
      <c r="P322">
        <v>90</v>
      </c>
    </row>
    <row r="323" spans="1:16" x14ac:dyDescent="0.3">
      <c r="A323">
        <v>2020</v>
      </c>
      <c r="B323" t="s">
        <v>36</v>
      </c>
      <c r="C323" t="s">
        <v>44</v>
      </c>
      <c r="D323" t="s">
        <v>28</v>
      </c>
      <c r="E323" t="s">
        <v>30</v>
      </c>
      <c r="F323">
        <v>39649</v>
      </c>
      <c r="G323">
        <v>3273</v>
      </c>
      <c r="H323">
        <v>101360</v>
      </c>
      <c r="I323" s="11">
        <f>Table1[[#This Row],[Revenue (Crore ₹)]]/Table1[[#This Row],[Doctors / Staff]]</f>
        <v>30.968530400244425</v>
      </c>
      <c r="J323">
        <v>20.55</v>
      </c>
      <c r="K323">
        <v>13939</v>
      </c>
      <c r="L323">
        <v>10.66</v>
      </c>
      <c r="M323">
        <v>13171</v>
      </c>
      <c r="N323">
        <v>88189</v>
      </c>
      <c r="O323">
        <v>10</v>
      </c>
      <c r="P323">
        <v>77</v>
      </c>
    </row>
    <row r="324" spans="1:16" x14ac:dyDescent="0.3">
      <c r="A324">
        <v>2024</v>
      </c>
      <c r="B324" t="s">
        <v>21</v>
      </c>
      <c r="C324" t="s">
        <v>42</v>
      </c>
      <c r="D324" t="s">
        <v>28</v>
      </c>
      <c r="E324" t="s">
        <v>23</v>
      </c>
      <c r="F324">
        <v>98691</v>
      </c>
      <c r="G324">
        <v>2666</v>
      </c>
      <c r="H324">
        <v>14722</v>
      </c>
      <c r="I324" s="11">
        <f>Table1[[#This Row],[Revenue (Crore ₹)]]/Table1[[#This Row],[Doctors / Staff]]</f>
        <v>5.5221305326331587</v>
      </c>
      <c r="J324">
        <v>10.16</v>
      </c>
      <c r="K324">
        <v>7915</v>
      </c>
      <c r="L324">
        <v>9.73</v>
      </c>
      <c r="M324">
        <v>17041</v>
      </c>
      <c r="N324">
        <v>-2319</v>
      </c>
      <c r="O324">
        <v>18</v>
      </c>
      <c r="P324">
        <v>94</v>
      </c>
    </row>
    <row r="325" spans="1:16" x14ac:dyDescent="0.3">
      <c r="A325">
        <v>2025</v>
      </c>
      <c r="B325" t="s">
        <v>34</v>
      </c>
      <c r="C325" t="s">
        <v>29</v>
      </c>
      <c r="D325" t="s">
        <v>17</v>
      </c>
      <c r="E325" t="s">
        <v>43</v>
      </c>
      <c r="F325">
        <v>24684</v>
      </c>
      <c r="G325">
        <v>2259</v>
      </c>
      <c r="H325">
        <v>70113</v>
      </c>
      <c r="I325" s="11">
        <f>Table1[[#This Row],[Revenue (Crore ₹)]]/Table1[[#This Row],[Doctors / Staff]]</f>
        <v>31.037184594953519</v>
      </c>
      <c r="J325">
        <v>15.67</v>
      </c>
      <c r="K325">
        <v>2539</v>
      </c>
      <c r="L325">
        <v>11.42</v>
      </c>
      <c r="M325">
        <v>43044</v>
      </c>
      <c r="N325">
        <v>27069</v>
      </c>
      <c r="O325">
        <v>4</v>
      </c>
      <c r="P325">
        <v>100</v>
      </c>
    </row>
    <row r="326" spans="1:16" x14ac:dyDescent="0.3">
      <c r="A326">
        <v>2022</v>
      </c>
      <c r="B326" t="s">
        <v>39</v>
      </c>
      <c r="C326" t="s">
        <v>22</v>
      </c>
      <c r="D326" t="s">
        <v>17</v>
      </c>
      <c r="E326" t="s">
        <v>30</v>
      </c>
      <c r="F326">
        <v>82293</v>
      </c>
      <c r="G326">
        <v>842</v>
      </c>
      <c r="H326">
        <v>168868</v>
      </c>
      <c r="I326" s="11">
        <f>Table1[[#This Row],[Revenue (Crore ₹)]]/Table1[[#This Row],[Doctors / Staff]]</f>
        <v>200.55581947743468</v>
      </c>
      <c r="J326">
        <v>22.95</v>
      </c>
      <c r="K326">
        <v>1842</v>
      </c>
      <c r="L326">
        <v>5.0599999999999996</v>
      </c>
      <c r="M326">
        <v>22930</v>
      </c>
      <c r="N326">
        <v>145938</v>
      </c>
      <c r="O326">
        <v>18</v>
      </c>
      <c r="P326">
        <v>71</v>
      </c>
    </row>
    <row r="327" spans="1:16" x14ac:dyDescent="0.3">
      <c r="A327">
        <v>2022</v>
      </c>
      <c r="B327" t="s">
        <v>33</v>
      </c>
      <c r="C327" t="s">
        <v>32</v>
      </c>
      <c r="D327" t="s">
        <v>17</v>
      </c>
      <c r="E327" t="s">
        <v>30</v>
      </c>
      <c r="F327">
        <v>27525</v>
      </c>
      <c r="G327">
        <v>3779</v>
      </c>
      <c r="H327">
        <v>199555</v>
      </c>
      <c r="I327" s="11">
        <f>Table1[[#This Row],[Revenue (Crore ₹)]]/Table1[[#This Row],[Doctors / Staff]]</f>
        <v>52.806297962423919</v>
      </c>
      <c r="J327">
        <v>16.28</v>
      </c>
      <c r="K327">
        <v>7542</v>
      </c>
      <c r="L327">
        <v>12.2</v>
      </c>
      <c r="M327">
        <v>19367</v>
      </c>
      <c r="N327">
        <v>180188</v>
      </c>
      <c r="O327">
        <v>3</v>
      </c>
      <c r="P327">
        <v>73</v>
      </c>
    </row>
    <row r="328" spans="1:16" x14ac:dyDescent="0.3">
      <c r="A328">
        <v>2020</v>
      </c>
      <c r="B328" t="s">
        <v>15</v>
      </c>
      <c r="C328" t="s">
        <v>32</v>
      </c>
      <c r="D328" t="s">
        <v>17</v>
      </c>
      <c r="E328" t="s">
        <v>38</v>
      </c>
      <c r="F328">
        <v>87927</v>
      </c>
      <c r="G328">
        <v>2557</v>
      </c>
      <c r="H328">
        <v>49290</v>
      </c>
      <c r="I328" s="11">
        <f>Table1[[#This Row],[Revenue (Crore ₹)]]/Table1[[#This Row],[Doctors / Staff]]</f>
        <v>19.276495893625341</v>
      </c>
      <c r="J328">
        <v>8.4600000000000009</v>
      </c>
      <c r="K328">
        <v>18707</v>
      </c>
      <c r="L328">
        <v>7.7</v>
      </c>
      <c r="M328">
        <v>15336</v>
      </c>
      <c r="N328">
        <v>33954</v>
      </c>
      <c r="O328">
        <v>10</v>
      </c>
      <c r="P328">
        <v>80</v>
      </c>
    </row>
    <row r="329" spans="1:16" x14ac:dyDescent="0.3">
      <c r="A329">
        <v>2021</v>
      </c>
      <c r="B329" t="s">
        <v>24</v>
      </c>
      <c r="C329" t="s">
        <v>37</v>
      </c>
      <c r="D329" t="s">
        <v>17</v>
      </c>
      <c r="E329" t="s">
        <v>23</v>
      </c>
      <c r="F329">
        <v>37481</v>
      </c>
      <c r="G329">
        <v>1785</v>
      </c>
      <c r="H329">
        <v>156827</v>
      </c>
      <c r="I329" s="11">
        <f>Table1[[#This Row],[Revenue (Crore ₹)]]/Table1[[#This Row],[Doctors / Staff]]</f>
        <v>87.858263305322126</v>
      </c>
      <c r="J329">
        <v>17.010000000000002</v>
      </c>
      <c r="K329">
        <v>9492</v>
      </c>
      <c r="L329">
        <v>11.84</v>
      </c>
      <c r="M329">
        <v>27972</v>
      </c>
      <c r="N329">
        <v>128855</v>
      </c>
      <c r="O329">
        <v>5</v>
      </c>
      <c r="P329">
        <v>88</v>
      </c>
    </row>
    <row r="330" spans="1:16" x14ac:dyDescent="0.3">
      <c r="A330">
        <v>2023</v>
      </c>
      <c r="B330" t="s">
        <v>24</v>
      </c>
      <c r="C330" t="s">
        <v>44</v>
      </c>
      <c r="D330" t="s">
        <v>28</v>
      </c>
      <c r="E330" t="s">
        <v>31</v>
      </c>
      <c r="F330">
        <v>30095</v>
      </c>
      <c r="G330">
        <v>1620</v>
      </c>
      <c r="H330">
        <v>160180</v>
      </c>
      <c r="I330" s="11">
        <f>Table1[[#This Row],[Revenue (Crore ₹)]]/Table1[[#This Row],[Doctors / Staff]]</f>
        <v>98.876543209876544</v>
      </c>
      <c r="J330">
        <v>7.95</v>
      </c>
      <c r="K330">
        <v>16842</v>
      </c>
      <c r="L330">
        <v>10.210000000000001</v>
      </c>
      <c r="M330">
        <v>2529</v>
      </c>
      <c r="N330">
        <v>157651</v>
      </c>
      <c r="O330">
        <v>16</v>
      </c>
      <c r="P330">
        <v>92</v>
      </c>
    </row>
    <row r="331" spans="1:16" x14ac:dyDescent="0.3">
      <c r="A331">
        <v>2022</v>
      </c>
      <c r="B331" t="s">
        <v>34</v>
      </c>
      <c r="C331" t="s">
        <v>37</v>
      </c>
      <c r="D331" t="s">
        <v>17</v>
      </c>
      <c r="E331" t="s">
        <v>26</v>
      </c>
      <c r="F331">
        <v>49267</v>
      </c>
      <c r="G331">
        <v>4594</v>
      </c>
      <c r="H331">
        <v>86201</v>
      </c>
      <c r="I331" s="11">
        <f>Table1[[#This Row],[Revenue (Crore ₹)]]/Table1[[#This Row],[Doctors / Staff]]</f>
        <v>18.763822377013497</v>
      </c>
      <c r="J331">
        <v>3.84</v>
      </c>
      <c r="K331">
        <v>16915</v>
      </c>
      <c r="L331">
        <v>7.11</v>
      </c>
      <c r="M331">
        <v>41279</v>
      </c>
      <c r="N331">
        <v>44922</v>
      </c>
      <c r="O331">
        <v>6</v>
      </c>
      <c r="P331">
        <v>93</v>
      </c>
    </row>
    <row r="332" spans="1:16" x14ac:dyDescent="0.3">
      <c r="A332">
        <v>2025</v>
      </c>
      <c r="B332" t="s">
        <v>21</v>
      </c>
      <c r="C332" t="s">
        <v>32</v>
      </c>
      <c r="D332" t="s">
        <v>17</v>
      </c>
      <c r="E332" t="s">
        <v>30</v>
      </c>
      <c r="F332">
        <v>79980</v>
      </c>
      <c r="G332">
        <v>3628</v>
      </c>
      <c r="H332">
        <v>174625</v>
      </c>
      <c r="I332" s="11">
        <f>Table1[[#This Row],[Revenue (Crore ₹)]]/Table1[[#This Row],[Doctors / Staff]]</f>
        <v>48.13257993384785</v>
      </c>
      <c r="J332">
        <v>5.45</v>
      </c>
      <c r="K332">
        <v>12446</v>
      </c>
      <c r="L332">
        <v>8.0399999999999991</v>
      </c>
      <c r="M332">
        <v>14524</v>
      </c>
      <c r="N332">
        <v>160101</v>
      </c>
      <c r="O332">
        <v>8</v>
      </c>
      <c r="P332">
        <v>96</v>
      </c>
    </row>
    <row r="333" spans="1:16" x14ac:dyDescent="0.3">
      <c r="A333">
        <v>2023</v>
      </c>
      <c r="B333" t="s">
        <v>21</v>
      </c>
      <c r="C333" t="s">
        <v>20</v>
      </c>
      <c r="D333" t="s">
        <v>17</v>
      </c>
      <c r="E333" t="s">
        <v>23</v>
      </c>
      <c r="F333">
        <v>76326</v>
      </c>
      <c r="G333">
        <v>654</v>
      </c>
      <c r="H333">
        <v>70045</v>
      </c>
      <c r="I333" s="11">
        <f>Table1[[#This Row],[Revenue (Crore ₹)]]/Table1[[#This Row],[Doctors / Staff]]</f>
        <v>107.10244648318043</v>
      </c>
      <c r="J333">
        <v>15.71</v>
      </c>
      <c r="K333">
        <v>3047</v>
      </c>
      <c r="L333">
        <v>2.12</v>
      </c>
      <c r="M333">
        <v>40529</v>
      </c>
      <c r="N333">
        <v>29516</v>
      </c>
      <c r="O333">
        <v>16</v>
      </c>
      <c r="P333">
        <v>76</v>
      </c>
    </row>
    <row r="334" spans="1:16" x14ac:dyDescent="0.3">
      <c r="A334">
        <v>2021</v>
      </c>
      <c r="B334" t="s">
        <v>21</v>
      </c>
      <c r="C334" t="s">
        <v>20</v>
      </c>
      <c r="D334" t="s">
        <v>17</v>
      </c>
      <c r="E334" t="s">
        <v>41</v>
      </c>
      <c r="F334">
        <v>19312</v>
      </c>
      <c r="G334">
        <v>797</v>
      </c>
      <c r="H334">
        <v>108938</v>
      </c>
      <c r="I334" s="11">
        <f>Table1[[#This Row],[Revenue (Crore ₹)]]/Table1[[#This Row],[Doctors / Staff]]</f>
        <v>136.68506900878293</v>
      </c>
      <c r="J334">
        <v>7.8</v>
      </c>
      <c r="K334">
        <v>19668</v>
      </c>
      <c r="L334">
        <v>3.07</v>
      </c>
      <c r="M334">
        <v>46551</v>
      </c>
      <c r="N334">
        <v>62387</v>
      </c>
      <c r="O334">
        <v>16</v>
      </c>
      <c r="P334">
        <v>71</v>
      </c>
    </row>
    <row r="335" spans="1:16" x14ac:dyDescent="0.3">
      <c r="A335">
        <v>2021</v>
      </c>
      <c r="B335" t="s">
        <v>15</v>
      </c>
      <c r="C335" t="s">
        <v>20</v>
      </c>
      <c r="D335" t="s">
        <v>17</v>
      </c>
      <c r="E335" t="s">
        <v>43</v>
      </c>
      <c r="F335">
        <v>60687</v>
      </c>
      <c r="G335">
        <v>758</v>
      </c>
      <c r="H335">
        <v>84079</v>
      </c>
      <c r="I335" s="11">
        <f>Table1[[#This Row],[Revenue (Crore ₹)]]/Table1[[#This Row],[Doctors / Staff]]</f>
        <v>110.9221635883905</v>
      </c>
      <c r="J335">
        <v>22.44</v>
      </c>
      <c r="K335">
        <v>9311</v>
      </c>
      <c r="L335">
        <v>6.17</v>
      </c>
      <c r="M335">
        <v>18721</v>
      </c>
      <c r="N335">
        <v>65358</v>
      </c>
      <c r="O335">
        <v>15</v>
      </c>
      <c r="P335">
        <v>79</v>
      </c>
    </row>
    <row r="336" spans="1:16" x14ac:dyDescent="0.3">
      <c r="A336">
        <v>2022</v>
      </c>
      <c r="B336" t="s">
        <v>39</v>
      </c>
      <c r="C336" t="s">
        <v>44</v>
      </c>
      <c r="D336" t="s">
        <v>28</v>
      </c>
      <c r="E336" t="s">
        <v>30</v>
      </c>
      <c r="F336">
        <v>6460</v>
      </c>
      <c r="G336">
        <v>3355</v>
      </c>
      <c r="H336">
        <v>25536</v>
      </c>
      <c r="I336" s="11">
        <f>Table1[[#This Row],[Revenue (Crore ₹)]]/Table1[[#This Row],[Doctors / Staff]]</f>
        <v>7.6113263785394931</v>
      </c>
      <c r="J336">
        <v>5.19</v>
      </c>
      <c r="K336">
        <v>11459</v>
      </c>
      <c r="L336">
        <v>7.16</v>
      </c>
      <c r="M336">
        <v>29622</v>
      </c>
      <c r="N336">
        <v>-4086</v>
      </c>
      <c r="O336">
        <v>17</v>
      </c>
      <c r="P336">
        <v>76</v>
      </c>
    </row>
    <row r="337" spans="1:16" x14ac:dyDescent="0.3">
      <c r="A337">
        <v>2021</v>
      </c>
      <c r="B337" t="s">
        <v>33</v>
      </c>
      <c r="C337" t="s">
        <v>25</v>
      </c>
      <c r="D337" t="s">
        <v>17</v>
      </c>
      <c r="E337" t="s">
        <v>26</v>
      </c>
      <c r="F337">
        <v>2789</v>
      </c>
      <c r="G337">
        <v>3502</v>
      </c>
      <c r="H337">
        <v>31766</v>
      </c>
      <c r="I337" s="11">
        <f>Table1[[#This Row],[Revenue (Crore ₹)]]/Table1[[#This Row],[Doctors / Staff]]</f>
        <v>9.0708166761850375</v>
      </c>
      <c r="J337">
        <v>19.07</v>
      </c>
      <c r="K337">
        <v>17869</v>
      </c>
      <c r="L337">
        <v>3.88</v>
      </c>
      <c r="M337">
        <v>8968</v>
      </c>
      <c r="N337">
        <v>22798</v>
      </c>
      <c r="O337">
        <v>7</v>
      </c>
      <c r="P337">
        <v>92</v>
      </c>
    </row>
    <row r="338" spans="1:16" x14ac:dyDescent="0.3">
      <c r="A338">
        <v>2021</v>
      </c>
      <c r="B338" t="s">
        <v>21</v>
      </c>
      <c r="C338" t="s">
        <v>29</v>
      </c>
      <c r="D338" t="s">
        <v>17</v>
      </c>
      <c r="E338" t="s">
        <v>38</v>
      </c>
      <c r="F338">
        <v>13357</v>
      </c>
      <c r="G338">
        <v>3708</v>
      </c>
      <c r="H338">
        <v>47071</v>
      </c>
      <c r="I338" s="11">
        <f>Table1[[#This Row],[Revenue (Crore ₹)]]/Table1[[#This Row],[Doctors / Staff]]</f>
        <v>12.694444444444445</v>
      </c>
      <c r="J338">
        <v>5.89</v>
      </c>
      <c r="K338">
        <v>18091</v>
      </c>
      <c r="L338">
        <v>2.02</v>
      </c>
      <c r="M338">
        <v>15034</v>
      </c>
      <c r="N338">
        <v>32037</v>
      </c>
      <c r="O338">
        <v>2</v>
      </c>
      <c r="P338">
        <v>77</v>
      </c>
    </row>
    <row r="339" spans="1:16" x14ac:dyDescent="0.3">
      <c r="A339">
        <v>2023</v>
      </c>
      <c r="B339" t="s">
        <v>15</v>
      </c>
      <c r="C339" t="s">
        <v>32</v>
      </c>
      <c r="D339" t="s">
        <v>17</v>
      </c>
      <c r="E339" t="s">
        <v>18</v>
      </c>
      <c r="F339">
        <v>42040</v>
      </c>
      <c r="G339">
        <v>4470</v>
      </c>
      <c r="H339">
        <v>196207</v>
      </c>
      <c r="I339" s="11">
        <f>Table1[[#This Row],[Revenue (Crore ₹)]]/Table1[[#This Row],[Doctors / Staff]]</f>
        <v>43.894183445190158</v>
      </c>
      <c r="J339">
        <v>10.53</v>
      </c>
      <c r="K339">
        <v>295</v>
      </c>
      <c r="L339">
        <v>13.18</v>
      </c>
      <c r="M339">
        <v>19146</v>
      </c>
      <c r="N339">
        <v>177061</v>
      </c>
      <c r="O339">
        <v>18</v>
      </c>
      <c r="P339">
        <v>92</v>
      </c>
    </row>
    <row r="340" spans="1:16" x14ac:dyDescent="0.3">
      <c r="A340">
        <v>2022</v>
      </c>
      <c r="B340" t="s">
        <v>34</v>
      </c>
      <c r="C340" t="s">
        <v>22</v>
      </c>
      <c r="D340" t="s">
        <v>17</v>
      </c>
      <c r="E340" t="s">
        <v>23</v>
      </c>
      <c r="F340">
        <v>56485</v>
      </c>
      <c r="G340">
        <v>930</v>
      </c>
      <c r="H340">
        <v>89100</v>
      </c>
      <c r="I340" s="11">
        <f>Table1[[#This Row],[Revenue (Crore ₹)]]/Table1[[#This Row],[Doctors / Staff]]</f>
        <v>95.806451612903231</v>
      </c>
      <c r="J340">
        <v>6.32</v>
      </c>
      <c r="K340">
        <v>8723</v>
      </c>
      <c r="L340">
        <v>10.78</v>
      </c>
      <c r="M340">
        <v>24520</v>
      </c>
      <c r="N340">
        <v>64580</v>
      </c>
      <c r="O340">
        <v>13</v>
      </c>
      <c r="P340">
        <v>91</v>
      </c>
    </row>
    <row r="341" spans="1:16" x14ac:dyDescent="0.3">
      <c r="A341">
        <v>2021</v>
      </c>
      <c r="B341" t="s">
        <v>15</v>
      </c>
      <c r="C341" t="s">
        <v>25</v>
      </c>
      <c r="D341" t="s">
        <v>17</v>
      </c>
      <c r="E341" t="s">
        <v>23</v>
      </c>
      <c r="F341">
        <v>75605</v>
      </c>
      <c r="G341">
        <v>498</v>
      </c>
      <c r="H341">
        <v>140317</v>
      </c>
      <c r="I341" s="11">
        <f>Table1[[#This Row],[Revenue (Crore ₹)]]/Table1[[#This Row],[Doctors / Staff]]</f>
        <v>281.76104417670683</v>
      </c>
      <c r="J341">
        <v>7.71</v>
      </c>
      <c r="K341">
        <v>1333</v>
      </c>
      <c r="L341">
        <v>1.06</v>
      </c>
      <c r="M341">
        <v>13051</v>
      </c>
      <c r="N341">
        <v>127266</v>
      </c>
      <c r="O341">
        <v>15</v>
      </c>
      <c r="P341">
        <v>89</v>
      </c>
    </row>
    <row r="342" spans="1:16" x14ac:dyDescent="0.3">
      <c r="A342">
        <v>2022</v>
      </c>
      <c r="B342" t="s">
        <v>21</v>
      </c>
      <c r="C342" t="s">
        <v>37</v>
      </c>
      <c r="D342" t="s">
        <v>17</v>
      </c>
      <c r="E342" t="s">
        <v>43</v>
      </c>
      <c r="F342">
        <v>46486</v>
      </c>
      <c r="G342">
        <v>3623</v>
      </c>
      <c r="H342">
        <v>196652</v>
      </c>
      <c r="I342" s="11">
        <f>Table1[[#This Row],[Revenue (Crore ₹)]]/Table1[[#This Row],[Doctors / Staff]]</f>
        <v>54.278774496273805</v>
      </c>
      <c r="J342">
        <v>12.52</v>
      </c>
      <c r="K342">
        <v>908</v>
      </c>
      <c r="L342">
        <v>13.23</v>
      </c>
      <c r="M342">
        <v>30237</v>
      </c>
      <c r="N342">
        <v>166415</v>
      </c>
      <c r="O342">
        <v>19</v>
      </c>
      <c r="P342">
        <v>75</v>
      </c>
    </row>
    <row r="343" spans="1:16" x14ac:dyDescent="0.3">
      <c r="A343">
        <v>2020</v>
      </c>
      <c r="B343" t="s">
        <v>33</v>
      </c>
      <c r="C343" t="s">
        <v>44</v>
      </c>
      <c r="D343" t="s">
        <v>28</v>
      </c>
      <c r="E343" t="s">
        <v>38</v>
      </c>
      <c r="F343">
        <v>5810</v>
      </c>
      <c r="G343">
        <v>2045</v>
      </c>
      <c r="H343">
        <v>167391</v>
      </c>
      <c r="I343" s="11">
        <f>Table1[[#This Row],[Revenue (Crore ₹)]]/Table1[[#This Row],[Doctors / Staff]]</f>
        <v>81.85378973105135</v>
      </c>
      <c r="J343">
        <v>15.46</v>
      </c>
      <c r="K343">
        <v>19867</v>
      </c>
      <c r="L343">
        <v>4.41</v>
      </c>
      <c r="M343">
        <v>35757</v>
      </c>
      <c r="N343">
        <v>131634</v>
      </c>
      <c r="O343">
        <v>12</v>
      </c>
      <c r="P343">
        <v>75</v>
      </c>
    </row>
    <row r="344" spans="1:16" x14ac:dyDescent="0.3">
      <c r="A344">
        <v>2024</v>
      </c>
      <c r="B344" t="s">
        <v>15</v>
      </c>
      <c r="C344" t="s">
        <v>40</v>
      </c>
      <c r="D344" t="s">
        <v>28</v>
      </c>
      <c r="E344" t="s">
        <v>30</v>
      </c>
      <c r="F344">
        <v>33791</v>
      </c>
      <c r="G344">
        <v>4628</v>
      </c>
      <c r="H344">
        <v>82404</v>
      </c>
      <c r="I344" s="11">
        <f>Table1[[#This Row],[Revenue (Crore ₹)]]/Table1[[#This Row],[Doctors / Staff]]</f>
        <v>17.805531547104582</v>
      </c>
      <c r="J344">
        <v>18.809999999999999</v>
      </c>
      <c r="K344">
        <v>5341</v>
      </c>
      <c r="L344">
        <v>7.55</v>
      </c>
      <c r="M344">
        <v>38025</v>
      </c>
      <c r="N344">
        <v>44379</v>
      </c>
      <c r="O344">
        <v>19</v>
      </c>
      <c r="P344">
        <v>81</v>
      </c>
    </row>
    <row r="345" spans="1:16" x14ac:dyDescent="0.3">
      <c r="A345">
        <v>2025</v>
      </c>
      <c r="B345" t="s">
        <v>34</v>
      </c>
      <c r="C345" t="s">
        <v>32</v>
      </c>
      <c r="D345" t="s">
        <v>17</v>
      </c>
      <c r="E345" t="s">
        <v>41</v>
      </c>
      <c r="F345">
        <v>24362</v>
      </c>
      <c r="G345">
        <v>3238</v>
      </c>
      <c r="H345">
        <v>159251</v>
      </c>
      <c r="I345" s="11">
        <f>Table1[[#This Row],[Revenue (Crore ₹)]]/Table1[[#This Row],[Doctors / Staff]]</f>
        <v>49.181902408894381</v>
      </c>
      <c r="J345">
        <v>24.19</v>
      </c>
      <c r="K345">
        <v>7575</v>
      </c>
      <c r="L345">
        <v>13.59</v>
      </c>
      <c r="M345">
        <v>9473</v>
      </c>
      <c r="N345">
        <v>149778</v>
      </c>
      <c r="O345">
        <v>1</v>
      </c>
      <c r="P345">
        <v>70</v>
      </c>
    </row>
    <row r="346" spans="1:16" x14ac:dyDescent="0.3">
      <c r="A346">
        <v>2025</v>
      </c>
      <c r="B346" t="s">
        <v>21</v>
      </c>
      <c r="C346" t="s">
        <v>20</v>
      </c>
      <c r="D346" t="s">
        <v>17</v>
      </c>
      <c r="E346" t="s">
        <v>26</v>
      </c>
      <c r="F346">
        <v>76674</v>
      </c>
      <c r="G346">
        <v>2764</v>
      </c>
      <c r="H346">
        <v>131846</v>
      </c>
      <c r="I346" s="11">
        <f>Table1[[#This Row],[Revenue (Crore ₹)]]/Table1[[#This Row],[Doctors / Staff]]</f>
        <v>47.701157742402316</v>
      </c>
      <c r="J346">
        <v>16.649999999999999</v>
      </c>
      <c r="K346">
        <v>10766</v>
      </c>
      <c r="L346">
        <v>3.6</v>
      </c>
      <c r="M346">
        <v>4474</v>
      </c>
      <c r="N346">
        <v>127372</v>
      </c>
      <c r="O346">
        <v>16</v>
      </c>
      <c r="P346">
        <v>89</v>
      </c>
    </row>
    <row r="347" spans="1:16" x14ac:dyDescent="0.3">
      <c r="A347">
        <v>2023</v>
      </c>
      <c r="B347" t="s">
        <v>19</v>
      </c>
      <c r="C347" t="s">
        <v>37</v>
      </c>
      <c r="D347" t="s">
        <v>17</v>
      </c>
      <c r="E347" t="s">
        <v>26</v>
      </c>
      <c r="F347">
        <v>30509</v>
      </c>
      <c r="G347">
        <v>1494</v>
      </c>
      <c r="H347">
        <v>186744</v>
      </c>
      <c r="I347" s="11">
        <f>Table1[[#This Row],[Revenue (Crore ₹)]]/Table1[[#This Row],[Doctors / Staff]]</f>
        <v>124.99598393574297</v>
      </c>
      <c r="J347">
        <v>17.510000000000002</v>
      </c>
      <c r="K347">
        <v>10713</v>
      </c>
      <c r="L347">
        <v>10.210000000000001</v>
      </c>
      <c r="M347">
        <v>24180</v>
      </c>
      <c r="N347">
        <v>162564</v>
      </c>
      <c r="O347">
        <v>8</v>
      </c>
      <c r="P347">
        <v>71</v>
      </c>
    </row>
    <row r="348" spans="1:16" x14ac:dyDescent="0.3">
      <c r="A348">
        <v>2022</v>
      </c>
      <c r="B348" t="s">
        <v>34</v>
      </c>
      <c r="C348" t="s">
        <v>42</v>
      </c>
      <c r="D348" t="s">
        <v>28</v>
      </c>
      <c r="E348" t="s">
        <v>43</v>
      </c>
      <c r="F348">
        <v>28162</v>
      </c>
      <c r="G348">
        <v>948</v>
      </c>
      <c r="H348">
        <v>48039</v>
      </c>
      <c r="I348" s="11">
        <f>Table1[[#This Row],[Revenue (Crore ₹)]]/Table1[[#This Row],[Doctors / Staff]]</f>
        <v>50.674050632911396</v>
      </c>
      <c r="J348">
        <v>11.8</v>
      </c>
      <c r="K348">
        <v>19495</v>
      </c>
      <c r="L348">
        <v>2.09</v>
      </c>
      <c r="M348">
        <v>9283</v>
      </c>
      <c r="N348">
        <v>38756</v>
      </c>
      <c r="O348">
        <v>11</v>
      </c>
      <c r="P348">
        <v>77</v>
      </c>
    </row>
    <row r="349" spans="1:16" x14ac:dyDescent="0.3">
      <c r="A349">
        <v>2023</v>
      </c>
      <c r="B349" t="s">
        <v>36</v>
      </c>
      <c r="C349" t="s">
        <v>25</v>
      </c>
      <c r="D349" t="s">
        <v>17</v>
      </c>
      <c r="E349" t="s">
        <v>38</v>
      </c>
      <c r="F349">
        <v>54699</v>
      </c>
      <c r="G349">
        <v>1536</v>
      </c>
      <c r="H349">
        <v>101502</v>
      </c>
      <c r="I349" s="11">
        <f>Table1[[#This Row],[Revenue (Crore ₹)]]/Table1[[#This Row],[Doctors / Staff]]</f>
        <v>66.08203125</v>
      </c>
      <c r="J349">
        <v>8.44</v>
      </c>
      <c r="K349">
        <v>1746</v>
      </c>
      <c r="L349">
        <v>8.23</v>
      </c>
      <c r="M349">
        <v>43027</v>
      </c>
      <c r="N349">
        <v>58475</v>
      </c>
      <c r="O349">
        <v>12</v>
      </c>
      <c r="P349">
        <v>95</v>
      </c>
    </row>
    <row r="350" spans="1:16" x14ac:dyDescent="0.3">
      <c r="A350">
        <v>2024</v>
      </c>
      <c r="B350" t="s">
        <v>39</v>
      </c>
      <c r="C350" t="s">
        <v>16</v>
      </c>
      <c r="D350" t="s">
        <v>17</v>
      </c>
      <c r="E350" t="s">
        <v>26</v>
      </c>
      <c r="F350">
        <v>85467</v>
      </c>
      <c r="G350">
        <v>4891</v>
      </c>
      <c r="H350">
        <v>24959</v>
      </c>
      <c r="I350" s="11">
        <f>Table1[[#This Row],[Revenue (Crore ₹)]]/Table1[[#This Row],[Doctors / Staff]]</f>
        <v>5.1030464117767327</v>
      </c>
      <c r="J350">
        <v>10.89</v>
      </c>
      <c r="K350">
        <v>10841</v>
      </c>
      <c r="L350">
        <v>7.92</v>
      </c>
      <c r="M350">
        <v>35232</v>
      </c>
      <c r="N350">
        <v>-10273</v>
      </c>
      <c r="O350">
        <v>18</v>
      </c>
      <c r="P350">
        <v>84</v>
      </c>
    </row>
    <row r="351" spans="1:16" x14ac:dyDescent="0.3">
      <c r="A351">
        <v>2021</v>
      </c>
      <c r="B351" t="s">
        <v>24</v>
      </c>
      <c r="C351" t="s">
        <v>42</v>
      </c>
      <c r="D351" t="s">
        <v>28</v>
      </c>
      <c r="E351" t="s">
        <v>30</v>
      </c>
      <c r="F351">
        <v>51087</v>
      </c>
      <c r="G351">
        <v>2153</v>
      </c>
      <c r="H351">
        <v>47910</v>
      </c>
      <c r="I351" s="11">
        <f>Table1[[#This Row],[Revenue (Crore ₹)]]/Table1[[#This Row],[Doctors / Staff]]</f>
        <v>22.252670692057595</v>
      </c>
      <c r="J351">
        <v>3.95</v>
      </c>
      <c r="K351">
        <v>14630</v>
      </c>
      <c r="L351">
        <v>7.75</v>
      </c>
      <c r="M351">
        <v>35619</v>
      </c>
      <c r="N351">
        <v>12291</v>
      </c>
      <c r="O351">
        <v>16</v>
      </c>
      <c r="P351">
        <v>78</v>
      </c>
    </row>
    <row r="352" spans="1:16" x14ac:dyDescent="0.3">
      <c r="A352">
        <v>2020</v>
      </c>
      <c r="B352" t="s">
        <v>19</v>
      </c>
      <c r="C352" t="s">
        <v>40</v>
      </c>
      <c r="D352" t="s">
        <v>28</v>
      </c>
      <c r="E352" t="s">
        <v>41</v>
      </c>
      <c r="F352">
        <v>98075</v>
      </c>
      <c r="G352">
        <v>3197</v>
      </c>
      <c r="H352">
        <v>9799</v>
      </c>
      <c r="I352" s="11">
        <f>Table1[[#This Row],[Revenue (Crore ₹)]]/Table1[[#This Row],[Doctors / Staff]]</f>
        <v>3.0650609946825149</v>
      </c>
      <c r="J352">
        <v>15.72</v>
      </c>
      <c r="K352">
        <v>15810</v>
      </c>
      <c r="L352">
        <v>12.08</v>
      </c>
      <c r="M352">
        <v>19709</v>
      </c>
      <c r="N352">
        <v>-9910</v>
      </c>
      <c r="O352">
        <v>11</v>
      </c>
      <c r="P352">
        <v>79</v>
      </c>
    </row>
    <row r="353" spans="1:16" x14ac:dyDescent="0.3">
      <c r="A353">
        <v>2025</v>
      </c>
      <c r="B353" t="s">
        <v>39</v>
      </c>
      <c r="C353" t="s">
        <v>29</v>
      </c>
      <c r="D353" t="s">
        <v>17</v>
      </c>
      <c r="E353" t="s">
        <v>23</v>
      </c>
      <c r="F353">
        <v>38258</v>
      </c>
      <c r="G353">
        <v>1735</v>
      </c>
      <c r="H353">
        <v>138432</v>
      </c>
      <c r="I353" s="11">
        <f>Table1[[#This Row],[Revenue (Crore ₹)]]/Table1[[#This Row],[Doctors / Staff]]</f>
        <v>79.787896253602312</v>
      </c>
      <c r="J353">
        <v>13.25</v>
      </c>
      <c r="K353">
        <v>4398</v>
      </c>
      <c r="L353">
        <v>2.2400000000000002</v>
      </c>
      <c r="M353">
        <v>18941</v>
      </c>
      <c r="N353">
        <v>119491</v>
      </c>
      <c r="O353">
        <v>4</v>
      </c>
      <c r="P353">
        <v>73</v>
      </c>
    </row>
    <row r="354" spans="1:16" x14ac:dyDescent="0.3">
      <c r="A354">
        <v>2021</v>
      </c>
      <c r="B354" t="s">
        <v>34</v>
      </c>
      <c r="C354" t="s">
        <v>35</v>
      </c>
      <c r="D354" t="s">
        <v>17</v>
      </c>
      <c r="E354" t="s">
        <v>26</v>
      </c>
      <c r="F354">
        <v>19200</v>
      </c>
      <c r="G354">
        <v>180</v>
      </c>
      <c r="H354">
        <v>53815</v>
      </c>
      <c r="I354" s="11">
        <f>Table1[[#This Row],[Revenue (Crore ₹)]]/Table1[[#This Row],[Doctors / Staff]]</f>
        <v>298.97222222222223</v>
      </c>
      <c r="J354">
        <v>17.79</v>
      </c>
      <c r="K354">
        <v>13007</v>
      </c>
      <c r="L354">
        <v>10.36</v>
      </c>
      <c r="M354">
        <v>48864</v>
      </c>
      <c r="N354">
        <v>4951</v>
      </c>
      <c r="O354">
        <v>16</v>
      </c>
      <c r="P354">
        <v>82</v>
      </c>
    </row>
    <row r="355" spans="1:16" x14ac:dyDescent="0.3">
      <c r="A355">
        <v>2023</v>
      </c>
      <c r="B355" t="s">
        <v>39</v>
      </c>
      <c r="C355" t="s">
        <v>27</v>
      </c>
      <c r="D355" t="s">
        <v>28</v>
      </c>
      <c r="E355" t="s">
        <v>23</v>
      </c>
      <c r="F355">
        <v>98485</v>
      </c>
      <c r="G355">
        <v>4356</v>
      </c>
      <c r="H355">
        <v>100560</v>
      </c>
      <c r="I355" s="11">
        <f>Table1[[#This Row],[Revenue (Crore ₹)]]/Table1[[#This Row],[Doctors / Staff]]</f>
        <v>23.085399449035812</v>
      </c>
      <c r="J355">
        <v>4.8</v>
      </c>
      <c r="K355">
        <v>473</v>
      </c>
      <c r="L355">
        <v>5.21</v>
      </c>
      <c r="M355">
        <v>22393</v>
      </c>
      <c r="N355">
        <v>78167</v>
      </c>
      <c r="O355">
        <v>7</v>
      </c>
      <c r="P355">
        <v>97</v>
      </c>
    </row>
    <row r="356" spans="1:16" x14ac:dyDescent="0.3">
      <c r="A356">
        <v>2020</v>
      </c>
      <c r="B356" t="s">
        <v>39</v>
      </c>
      <c r="C356" t="s">
        <v>20</v>
      </c>
      <c r="D356" t="s">
        <v>17</v>
      </c>
      <c r="E356" t="s">
        <v>41</v>
      </c>
      <c r="F356">
        <v>37111</v>
      </c>
      <c r="G356">
        <v>1090</v>
      </c>
      <c r="H356">
        <v>157223</v>
      </c>
      <c r="I356" s="11">
        <f>Table1[[#This Row],[Revenue (Crore ₹)]]/Table1[[#This Row],[Doctors / Staff]]</f>
        <v>144.24128440366974</v>
      </c>
      <c r="J356">
        <v>3.57</v>
      </c>
      <c r="K356">
        <v>8989</v>
      </c>
      <c r="L356">
        <v>4.92</v>
      </c>
      <c r="M356">
        <v>20305</v>
      </c>
      <c r="N356">
        <v>136918</v>
      </c>
      <c r="O356">
        <v>8</v>
      </c>
      <c r="P356">
        <v>94</v>
      </c>
    </row>
    <row r="357" spans="1:16" x14ac:dyDescent="0.3">
      <c r="A357">
        <v>2020</v>
      </c>
      <c r="B357" t="s">
        <v>21</v>
      </c>
      <c r="C357" t="s">
        <v>25</v>
      </c>
      <c r="D357" t="s">
        <v>17</v>
      </c>
      <c r="E357" t="s">
        <v>18</v>
      </c>
      <c r="F357">
        <v>99096</v>
      </c>
      <c r="G357">
        <v>859</v>
      </c>
      <c r="H357">
        <v>54812</v>
      </c>
      <c r="I357" s="11">
        <f>Table1[[#This Row],[Revenue (Crore ₹)]]/Table1[[#This Row],[Doctors / Staff]]</f>
        <v>63.809080325960416</v>
      </c>
      <c r="J357">
        <v>7.25</v>
      </c>
      <c r="K357">
        <v>8825</v>
      </c>
      <c r="L357">
        <v>10.56</v>
      </c>
      <c r="M357">
        <v>23157</v>
      </c>
      <c r="N357">
        <v>31655</v>
      </c>
      <c r="O357">
        <v>9</v>
      </c>
      <c r="P357">
        <v>78</v>
      </c>
    </row>
    <row r="358" spans="1:16" x14ac:dyDescent="0.3">
      <c r="A358">
        <v>2021</v>
      </c>
      <c r="B358" t="s">
        <v>15</v>
      </c>
      <c r="C358" t="s">
        <v>40</v>
      </c>
      <c r="D358" t="s">
        <v>28</v>
      </c>
      <c r="E358" t="s">
        <v>26</v>
      </c>
      <c r="F358">
        <v>72596</v>
      </c>
      <c r="G358">
        <v>2691</v>
      </c>
      <c r="H358">
        <v>78554</v>
      </c>
      <c r="I358" s="11">
        <f>Table1[[#This Row],[Revenue (Crore ₹)]]/Table1[[#This Row],[Doctors / Staff]]</f>
        <v>29.191378669639541</v>
      </c>
      <c r="J358">
        <v>3.35</v>
      </c>
      <c r="K358">
        <v>11568</v>
      </c>
      <c r="L358">
        <v>5.4</v>
      </c>
      <c r="M358">
        <v>9968</v>
      </c>
      <c r="N358">
        <v>68586</v>
      </c>
      <c r="O358">
        <v>5</v>
      </c>
      <c r="P358">
        <v>92</v>
      </c>
    </row>
    <row r="359" spans="1:16" x14ac:dyDescent="0.3">
      <c r="A359">
        <v>2021</v>
      </c>
      <c r="B359" t="s">
        <v>15</v>
      </c>
      <c r="C359" t="s">
        <v>20</v>
      </c>
      <c r="D359" t="s">
        <v>17</v>
      </c>
      <c r="E359" t="s">
        <v>41</v>
      </c>
      <c r="F359">
        <v>17218</v>
      </c>
      <c r="G359">
        <v>3559</v>
      </c>
      <c r="H359">
        <v>9000</v>
      </c>
      <c r="I359" s="11">
        <f>Table1[[#This Row],[Revenue (Crore ₹)]]/Table1[[#This Row],[Doctors / Staff]]</f>
        <v>2.5288002247822421</v>
      </c>
      <c r="J359">
        <v>6.75</v>
      </c>
      <c r="K359">
        <v>1871</v>
      </c>
      <c r="L359">
        <v>7.68</v>
      </c>
      <c r="M359">
        <v>2104</v>
      </c>
      <c r="N359">
        <v>6896</v>
      </c>
      <c r="O359">
        <v>4</v>
      </c>
      <c r="P359">
        <v>96</v>
      </c>
    </row>
    <row r="360" spans="1:16" x14ac:dyDescent="0.3">
      <c r="A360">
        <v>2020</v>
      </c>
      <c r="B360" t="s">
        <v>33</v>
      </c>
      <c r="C360" t="s">
        <v>16</v>
      </c>
      <c r="D360" t="s">
        <v>17</v>
      </c>
      <c r="E360" t="s">
        <v>41</v>
      </c>
      <c r="F360">
        <v>37544</v>
      </c>
      <c r="G360">
        <v>4729</v>
      </c>
      <c r="H360">
        <v>124342</v>
      </c>
      <c r="I360" s="11">
        <f>Table1[[#This Row],[Revenue (Crore ₹)]]/Table1[[#This Row],[Doctors / Staff]]</f>
        <v>26.29350814125608</v>
      </c>
      <c r="J360">
        <v>19.690000000000001</v>
      </c>
      <c r="K360">
        <v>3817</v>
      </c>
      <c r="L360">
        <v>5.95</v>
      </c>
      <c r="M360">
        <v>8279</v>
      </c>
      <c r="N360">
        <v>116063</v>
      </c>
      <c r="O360">
        <v>4</v>
      </c>
      <c r="P360">
        <v>85</v>
      </c>
    </row>
    <row r="361" spans="1:16" x14ac:dyDescent="0.3">
      <c r="A361">
        <v>2021</v>
      </c>
      <c r="B361" t="s">
        <v>33</v>
      </c>
      <c r="C361" t="s">
        <v>22</v>
      </c>
      <c r="D361" t="s">
        <v>17</v>
      </c>
      <c r="E361" t="s">
        <v>26</v>
      </c>
      <c r="F361">
        <v>68238</v>
      </c>
      <c r="G361">
        <v>3724</v>
      </c>
      <c r="H361">
        <v>117905</v>
      </c>
      <c r="I361" s="11">
        <f>Table1[[#This Row],[Revenue (Crore ₹)]]/Table1[[#This Row],[Doctors / Staff]]</f>
        <v>31.660848549946294</v>
      </c>
      <c r="J361">
        <v>8.8000000000000007</v>
      </c>
      <c r="K361">
        <v>10124</v>
      </c>
      <c r="L361">
        <v>13.81</v>
      </c>
      <c r="M361">
        <v>41266</v>
      </c>
      <c r="N361">
        <v>76639</v>
      </c>
      <c r="O361">
        <v>20</v>
      </c>
      <c r="P361">
        <v>76</v>
      </c>
    </row>
    <row r="362" spans="1:16" x14ac:dyDescent="0.3">
      <c r="A362">
        <v>2024</v>
      </c>
      <c r="B362" t="s">
        <v>33</v>
      </c>
      <c r="C362" t="s">
        <v>42</v>
      </c>
      <c r="D362" t="s">
        <v>28</v>
      </c>
      <c r="E362" t="s">
        <v>43</v>
      </c>
      <c r="F362">
        <v>12296</v>
      </c>
      <c r="G362">
        <v>3291</v>
      </c>
      <c r="H362">
        <v>90386</v>
      </c>
      <c r="I362" s="11">
        <f>Table1[[#This Row],[Revenue (Crore ₹)]]/Table1[[#This Row],[Doctors / Staff]]</f>
        <v>27.464600425402612</v>
      </c>
      <c r="J362">
        <v>15.07</v>
      </c>
      <c r="K362">
        <v>12447</v>
      </c>
      <c r="L362">
        <v>8.93</v>
      </c>
      <c r="M362">
        <v>47206</v>
      </c>
      <c r="N362">
        <v>43180</v>
      </c>
      <c r="O362">
        <v>18</v>
      </c>
      <c r="P362">
        <v>91</v>
      </c>
    </row>
    <row r="363" spans="1:16" x14ac:dyDescent="0.3">
      <c r="A363">
        <v>2022</v>
      </c>
      <c r="B363" t="s">
        <v>39</v>
      </c>
      <c r="C363" t="s">
        <v>35</v>
      </c>
      <c r="D363" t="s">
        <v>17</v>
      </c>
      <c r="E363" t="s">
        <v>23</v>
      </c>
      <c r="F363">
        <v>60056</v>
      </c>
      <c r="G363">
        <v>2970</v>
      </c>
      <c r="H363">
        <v>103086</v>
      </c>
      <c r="I363" s="11">
        <f>Table1[[#This Row],[Revenue (Crore ₹)]]/Table1[[#This Row],[Doctors / Staff]]</f>
        <v>34.709090909090911</v>
      </c>
      <c r="J363">
        <v>14.18</v>
      </c>
      <c r="K363">
        <v>12926</v>
      </c>
      <c r="L363">
        <v>11.02</v>
      </c>
      <c r="M363">
        <v>41631</v>
      </c>
      <c r="N363">
        <v>61455</v>
      </c>
      <c r="O363">
        <v>13</v>
      </c>
      <c r="P363">
        <v>84</v>
      </c>
    </row>
    <row r="364" spans="1:16" x14ac:dyDescent="0.3">
      <c r="A364">
        <v>2024</v>
      </c>
      <c r="B364" t="s">
        <v>39</v>
      </c>
      <c r="C364" t="s">
        <v>32</v>
      </c>
      <c r="D364" t="s">
        <v>17</v>
      </c>
      <c r="E364" t="s">
        <v>23</v>
      </c>
      <c r="F364">
        <v>76815</v>
      </c>
      <c r="G364">
        <v>4028</v>
      </c>
      <c r="H364">
        <v>162821</v>
      </c>
      <c r="I364" s="11">
        <f>Table1[[#This Row],[Revenue (Crore ₹)]]/Table1[[#This Row],[Doctors / Staff]]</f>
        <v>40.422293942403179</v>
      </c>
      <c r="J364">
        <v>23.57</v>
      </c>
      <c r="K364">
        <v>5588</v>
      </c>
      <c r="L364">
        <v>14.9</v>
      </c>
      <c r="M364">
        <v>24806</v>
      </c>
      <c r="N364">
        <v>138015</v>
      </c>
      <c r="O364">
        <v>14</v>
      </c>
      <c r="P364">
        <v>87</v>
      </c>
    </row>
    <row r="365" spans="1:16" x14ac:dyDescent="0.3">
      <c r="A365">
        <v>2024</v>
      </c>
      <c r="B365" t="s">
        <v>15</v>
      </c>
      <c r="C365" t="s">
        <v>40</v>
      </c>
      <c r="D365" t="s">
        <v>28</v>
      </c>
      <c r="E365" t="s">
        <v>26</v>
      </c>
      <c r="F365">
        <v>4518</v>
      </c>
      <c r="G365">
        <v>4616</v>
      </c>
      <c r="H365">
        <v>108520</v>
      </c>
      <c r="I365" s="11">
        <f>Table1[[#This Row],[Revenue (Crore ₹)]]/Table1[[#This Row],[Doctors / Staff]]</f>
        <v>23.509532062391681</v>
      </c>
      <c r="J365">
        <v>5.22</v>
      </c>
      <c r="K365">
        <v>17637</v>
      </c>
      <c r="L365">
        <v>12.55</v>
      </c>
      <c r="M365">
        <v>37489</v>
      </c>
      <c r="N365">
        <v>71031</v>
      </c>
      <c r="O365">
        <v>1</v>
      </c>
      <c r="P365">
        <v>91</v>
      </c>
    </row>
    <row r="366" spans="1:16" x14ac:dyDescent="0.3">
      <c r="A366">
        <v>2024</v>
      </c>
      <c r="B366" t="s">
        <v>19</v>
      </c>
      <c r="C366" t="s">
        <v>37</v>
      </c>
      <c r="D366" t="s">
        <v>17</v>
      </c>
      <c r="E366" t="s">
        <v>31</v>
      </c>
      <c r="F366">
        <v>19822</v>
      </c>
      <c r="G366">
        <v>3878</v>
      </c>
      <c r="H366">
        <v>181100</v>
      </c>
      <c r="I366" s="11">
        <f>Table1[[#This Row],[Revenue (Crore ₹)]]/Table1[[#This Row],[Doctors / Staff]]</f>
        <v>46.69932955131511</v>
      </c>
      <c r="J366">
        <v>19.62</v>
      </c>
      <c r="K366">
        <v>883</v>
      </c>
      <c r="L366">
        <v>14.76</v>
      </c>
      <c r="M366">
        <v>14487</v>
      </c>
      <c r="N366">
        <v>166613</v>
      </c>
      <c r="O366">
        <v>15</v>
      </c>
      <c r="P366">
        <v>75</v>
      </c>
    </row>
    <row r="367" spans="1:16" x14ac:dyDescent="0.3">
      <c r="A367">
        <v>2024</v>
      </c>
      <c r="B367" t="s">
        <v>15</v>
      </c>
      <c r="C367" t="s">
        <v>27</v>
      </c>
      <c r="D367" t="s">
        <v>28</v>
      </c>
      <c r="E367" t="s">
        <v>23</v>
      </c>
      <c r="F367">
        <v>94881</v>
      </c>
      <c r="G367">
        <v>828</v>
      </c>
      <c r="H367">
        <v>192190</v>
      </c>
      <c r="I367" s="11">
        <f>Table1[[#This Row],[Revenue (Crore ₹)]]/Table1[[#This Row],[Doctors / Staff]]</f>
        <v>232.11352657004832</v>
      </c>
      <c r="J367">
        <v>22.92</v>
      </c>
      <c r="K367">
        <v>11976</v>
      </c>
      <c r="L367">
        <v>7.85</v>
      </c>
      <c r="M367">
        <v>13186</v>
      </c>
      <c r="N367">
        <v>179004</v>
      </c>
      <c r="O367">
        <v>14</v>
      </c>
      <c r="P367">
        <v>92</v>
      </c>
    </row>
    <row r="368" spans="1:16" x14ac:dyDescent="0.3">
      <c r="A368">
        <v>2025</v>
      </c>
      <c r="B368" t="s">
        <v>21</v>
      </c>
      <c r="C368" t="s">
        <v>32</v>
      </c>
      <c r="D368" t="s">
        <v>17</v>
      </c>
      <c r="E368" t="s">
        <v>43</v>
      </c>
      <c r="F368">
        <v>11569</v>
      </c>
      <c r="G368">
        <v>1813</v>
      </c>
      <c r="H368">
        <v>25009</v>
      </c>
      <c r="I368" s="11">
        <f>Table1[[#This Row],[Revenue (Crore ₹)]]/Table1[[#This Row],[Doctors / Staff]]</f>
        <v>13.794263651406508</v>
      </c>
      <c r="J368">
        <v>22.38</v>
      </c>
      <c r="K368">
        <v>9919</v>
      </c>
      <c r="L368">
        <v>4.78</v>
      </c>
      <c r="M368">
        <v>6699</v>
      </c>
      <c r="N368">
        <v>18310</v>
      </c>
      <c r="O368">
        <v>5</v>
      </c>
      <c r="P368">
        <v>78</v>
      </c>
    </row>
    <row r="369" spans="1:16" x14ac:dyDescent="0.3">
      <c r="A369">
        <v>2022</v>
      </c>
      <c r="B369" t="s">
        <v>19</v>
      </c>
      <c r="C369" t="s">
        <v>25</v>
      </c>
      <c r="D369" t="s">
        <v>17</v>
      </c>
      <c r="E369" t="s">
        <v>41</v>
      </c>
      <c r="F369">
        <v>3662</v>
      </c>
      <c r="G369">
        <v>2717</v>
      </c>
      <c r="H369">
        <v>112419</v>
      </c>
      <c r="I369" s="11">
        <f>Table1[[#This Row],[Revenue (Crore ₹)]]/Table1[[#This Row],[Doctors / Staff]]</f>
        <v>41.376150165623848</v>
      </c>
      <c r="J369">
        <v>3.92</v>
      </c>
      <c r="K369">
        <v>684</v>
      </c>
      <c r="L369">
        <v>8.7899999999999991</v>
      </c>
      <c r="M369">
        <v>36069</v>
      </c>
      <c r="N369">
        <v>76350</v>
      </c>
      <c r="O369">
        <v>4</v>
      </c>
      <c r="P369">
        <v>81</v>
      </c>
    </row>
    <row r="370" spans="1:16" x14ac:dyDescent="0.3">
      <c r="A370">
        <v>2021</v>
      </c>
      <c r="B370" t="s">
        <v>39</v>
      </c>
      <c r="C370" t="s">
        <v>32</v>
      </c>
      <c r="D370" t="s">
        <v>17</v>
      </c>
      <c r="E370" t="s">
        <v>38</v>
      </c>
      <c r="F370">
        <v>97939</v>
      </c>
      <c r="G370">
        <v>932</v>
      </c>
      <c r="H370">
        <v>73251</v>
      </c>
      <c r="I370" s="11">
        <f>Table1[[#This Row],[Revenue (Crore ₹)]]/Table1[[#This Row],[Doctors / Staff]]</f>
        <v>78.595493562231766</v>
      </c>
      <c r="J370">
        <v>9.15</v>
      </c>
      <c r="K370">
        <v>18106</v>
      </c>
      <c r="L370">
        <v>5.0599999999999996</v>
      </c>
      <c r="M370">
        <v>2482</v>
      </c>
      <c r="N370">
        <v>70769</v>
      </c>
      <c r="O370">
        <v>18</v>
      </c>
      <c r="P370">
        <v>85</v>
      </c>
    </row>
    <row r="371" spans="1:16" x14ac:dyDescent="0.3">
      <c r="A371">
        <v>2021</v>
      </c>
      <c r="B371" t="s">
        <v>36</v>
      </c>
      <c r="C371" t="s">
        <v>32</v>
      </c>
      <c r="D371" t="s">
        <v>17</v>
      </c>
      <c r="E371" t="s">
        <v>38</v>
      </c>
      <c r="F371">
        <v>80511</v>
      </c>
      <c r="G371">
        <v>3646</v>
      </c>
      <c r="H371">
        <v>123863</v>
      </c>
      <c r="I371" s="11">
        <f>Table1[[#This Row],[Revenue (Crore ₹)]]/Table1[[#This Row],[Doctors / Staff]]</f>
        <v>33.972298409215576</v>
      </c>
      <c r="J371">
        <v>17.940000000000001</v>
      </c>
      <c r="K371">
        <v>2355</v>
      </c>
      <c r="L371">
        <v>6.99</v>
      </c>
      <c r="M371">
        <v>48412</v>
      </c>
      <c r="N371">
        <v>75451</v>
      </c>
      <c r="O371">
        <v>3</v>
      </c>
      <c r="P371">
        <v>95</v>
      </c>
    </row>
    <row r="372" spans="1:16" x14ac:dyDescent="0.3">
      <c r="A372">
        <v>2023</v>
      </c>
      <c r="B372" t="s">
        <v>36</v>
      </c>
      <c r="C372" t="s">
        <v>27</v>
      </c>
      <c r="D372" t="s">
        <v>28</v>
      </c>
      <c r="E372" t="s">
        <v>26</v>
      </c>
      <c r="F372">
        <v>70133</v>
      </c>
      <c r="G372">
        <v>1862</v>
      </c>
      <c r="H372">
        <v>188232</v>
      </c>
      <c r="I372" s="11">
        <f>Table1[[#This Row],[Revenue (Crore ₹)]]/Table1[[#This Row],[Doctors / Staff]]</f>
        <v>101.09129967776585</v>
      </c>
      <c r="J372">
        <v>9.57</v>
      </c>
      <c r="K372">
        <v>14787</v>
      </c>
      <c r="L372">
        <v>14.97</v>
      </c>
      <c r="M372">
        <v>38985</v>
      </c>
      <c r="N372">
        <v>149247</v>
      </c>
      <c r="O372">
        <v>10</v>
      </c>
      <c r="P372">
        <v>85</v>
      </c>
    </row>
    <row r="373" spans="1:16" x14ac:dyDescent="0.3">
      <c r="A373">
        <v>2023</v>
      </c>
      <c r="B373" t="s">
        <v>39</v>
      </c>
      <c r="C373" t="s">
        <v>35</v>
      </c>
      <c r="D373" t="s">
        <v>17</v>
      </c>
      <c r="E373" t="s">
        <v>41</v>
      </c>
      <c r="F373">
        <v>24059</v>
      </c>
      <c r="G373">
        <v>4777</v>
      </c>
      <c r="H373">
        <v>123264</v>
      </c>
      <c r="I373" s="11">
        <f>Table1[[#This Row],[Revenue (Crore ₹)]]/Table1[[#This Row],[Doctors / Staff]]</f>
        <v>25.803642453422651</v>
      </c>
      <c r="J373">
        <v>22.33</v>
      </c>
      <c r="K373">
        <v>15688</v>
      </c>
      <c r="L373">
        <v>9.39</v>
      </c>
      <c r="M373">
        <v>13483</v>
      </c>
      <c r="N373">
        <v>109781</v>
      </c>
      <c r="O373">
        <v>8</v>
      </c>
      <c r="P373">
        <v>89</v>
      </c>
    </row>
    <row r="374" spans="1:16" x14ac:dyDescent="0.3">
      <c r="A374">
        <v>2024</v>
      </c>
      <c r="B374" t="s">
        <v>39</v>
      </c>
      <c r="C374" t="s">
        <v>40</v>
      </c>
      <c r="D374" t="s">
        <v>28</v>
      </c>
      <c r="E374" t="s">
        <v>41</v>
      </c>
      <c r="F374">
        <v>87223</v>
      </c>
      <c r="G374">
        <v>1198</v>
      </c>
      <c r="H374">
        <v>142835</v>
      </c>
      <c r="I374" s="11">
        <f>Table1[[#This Row],[Revenue (Crore ₹)]]/Table1[[#This Row],[Doctors / Staff]]</f>
        <v>119.22787979966611</v>
      </c>
      <c r="J374">
        <v>5.66</v>
      </c>
      <c r="K374">
        <v>2473</v>
      </c>
      <c r="L374">
        <v>4.54</v>
      </c>
      <c r="M374">
        <v>27563</v>
      </c>
      <c r="N374">
        <v>115272</v>
      </c>
      <c r="O374">
        <v>14</v>
      </c>
      <c r="P374">
        <v>70</v>
      </c>
    </row>
    <row r="375" spans="1:16" x14ac:dyDescent="0.3">
      <c r="A375">
        <v>2021</v>
      </c>
      <c r="B375" t="s">
        <v>39</v>
      </c>
      <c r="C375" t="s">
        <v>35</v>
      </c>
      <c r="D375" t="s">
        <v>17</v>
      </c>
      <c r="E375" t="s">
        <v>23</v>
      </c>
      <c r="F375">
        <v>28860</v>
      </c>
      <c r="G375">
        <v>1122</v>
      </c>
      <c r="H375">
        <v>93372</v>
      </c>
      <c r="I375" s="11">
        <f>Table1[[#This Row],[Revenue (Crore ₹)]]/Table1[[#This Row],[Doctors / Staff]]</f>
        <v>83.219251336898395</v>
      </c>
      <c r="J375">
        <v>12.59</v>
      </c>
      <c r="K375">
        <v>18789</v>
      </c>
      <c r="L375">
        <v>14.37</v>
      </c>
      <c r="M375">
        <v>9821</v>
      </c>
      <c r="N375">
        <v>83551</v>
      </c>
      <c r="O375">
        <v>11</v>
      </c>
      <c r="P375">
        <v>81</v>
      </c>
    </row>
    <row r="376" spans="1:16" x14ac:dyDescent="0.3">
      <c r="A376">
        <v>2020</v>
      </c>
      <c r="B376" t="s">
        <v>34</v>
      </c>
      <c r="C376" t="s">
        <v>42</v>
      </c>
      <c r="D376" t="s">
        <v>28</v>
      </c>
      <c r="E376" t="s">
        <v>31</v>
      </c>
      <c r="F376">
        <v>82552</v>
      </c>
      <c r="G376">
        <v>790</v>
      </c>
      <c r="H376">
        <v>83467</v>
      </c>
      <c r="I376" s="11">
        <f>Table1[[#This Row],[Revenue (Crore ₹)]]/Table1[[#This Row],[Doctors / Staff]]</f>
        <v>105.65443037974684</v>
      </c>
      <c r="J376">
        <v>7.99</v>
      </c>
      <c r="K376">
        <v>1963</v>
      </c>
      <c r="L376">
        <v>12.17</v>
      </c>
      <c r="M376">
        <v>27663</v>
      </c>
      <c r="N376">
        <v>55804</v>
      </c>
      <c r="O376">
        <v>10</v>
      </c>
      <c r="P376">
        <v>82</v>
      </c>
    </row>
    <row r="377" spans="1:16" x14ac:dyDescent="0.3">
      <c r="A377">
        <v>2025</v>
      </c>
      <c r="B377" t="s">
        <v>33</v>
      </c>
      <c r="C377" t="s">
        <v>35</v>
      </c>
      <c r="D377" t="s">
        <v>17</v>
      </c>
      <c r="E377" t="s">
        <v>31</v>
      </c>
      <c r="F377">
        <v>35138</v>
      </c>
      <c r="G377">
        <v>2693</v>
      </c>
      <c r="H377">
        <v>64955</v>
      </c>
      <c r="I377" s="11">
        <f>Table1[[#This Row],[Revenue (Crore ₹)]]/Table1[[#This Row],[Doctors / Staff]]</f>
        <v>24.119940586706274</v>
      </c>
      <c r="J377">
        <v>13.82</v>
      </c>
      <c r="K377">
        <v>3691</v>
      </c>
      <c r="L377">
        <v>2.62</v>
      </c>
      <c r="M377">
        <v>15575</v>
      </c>
      <c r="N377">
        <v>49380</v>
      </c>
      <c r="O377">
        <v>9</v>
      </c>
      <c r="P377">
        <v>85</v>
      </c>
    </row>
    <row r="378" spans="1:16" x14ac:dyDescent="0.3">
      <c r="A378">
        <v>2023</v>
      </c>
      <c r="B378" t="s">
        <v>15</v>
      </c>
      <c r="C378" t="s">
        <v>29</v>
      </c>
      <c r="D378" t="s">
        <v>17</v>
      </c>
      <c r="E378" t="s">
        <v>38</v>
      </c>
      <c r="F378">
        <v>62913</v>
      </c>
      <c r="G378">
        <v>1257</v>
      </c>
      <c r="H378">
        <v>124801</v>
      </c>
      <c r="I378" s="11">
        <f>Table1[[#This Row],[Revenue (Crore ₹)]]/Table1[[#This Row],[Doctors / Staff]]</f>
        <v>99.284805091487669</v>
      </c>
      <c r="J378">
        <v>24.37</v>
      </c>
      <c r="K378">
        <v>16574</v>
      </c>
      <c r="L378">
        <v>7.66</v>
      </c>
      <c r="M378">
        <v>36002</v>
      </c>
      <c r="N378">
        <v>88799</v>
      </c>
      <c r="O378">
        <v>12</v>
      </c>
      <c r="P378">
        <v>77</v>
      </c>
    </row>
    <row r="379" spans="1:16" x14ac:dyDescent="0.3">
      <c r="A379">
        <v>2021</v>
      </c>
      <c r="B379" t="s">
        <v>33</v>
      </c>
      <c r="C379" t="s">
        <v>32</v>
      </c>
      <c r="D379" t="s">
        <v>17</v>
      </c>
      <c r="E379" t="s">
        <v>43</v>
      </c>
      <c r="F379">
        <v>11952</v>
      </c>
      <c r="G379">
        <v>1538</v>
      </c>
      <c r="H379">
        <v>86057</v>
      </c>
      <c r="I379" s="11">
        <f>Table1[[#This Row],[Revenue (Crore ₹)]]/Table1[[#This Row],[Doctors / Staff]]</f>
        <v>55.953836150845255</v>
      </c>
      <c r="J379">
        <v>16.48</v>
      </c>
      <c r="K379">
        <v>14199</v>
      </c>
      <c r="L379">
        <v>12</v>
      </c>
      <c r="M379">
        <v>8176</v>
      </c>
      <c r="N379">
        <v>77881</v>
      </c>
      <c r="O379">
        <v>11</v>
      </c>
      <c r="P379">
        <v>100</v>
      </c>
    </row>
    <row r="380" spans="1:16" x14ac:dyDescent="0.3">
      <c r="A380">
        <v>2022</v>
      </c>
      <c r="B380" t="s">
        <v>36</v>
      </c>
      <c r="C380" t="s">
        <v>44</v>
      </c>
      <c r="D380" t="s">
        <v>28</v>
      </c>
      <c r="E380" t="s">
        <v>31</v>
      </c>
      <c r="F380">
        <v>7265</v>
      </c>
      <c r="G380">
        <v>4069</v>
      </c>
      <c r="H380">
        <v>68685</v>
      </c>
      <c r="I380" s="11">
        <f>Table1[[#This Row],[Revenue (Crore ₹)]]/Table1[[#This Row],[Doctors / Staff]]</f>
        <v>16.880068812976162</v>
      </c>
      <c r="J380">
        <v>19.7</v>
      </c>
      <c r="K380">
        <v>19436</v>
      </c>
      <c r="L380">
        <v>8.92</v>
      </c>
      <c r="M380">
        <v>45733</v>
      </c>
      <c r="N380">
        <v>22952</v>
      </c>
      <c r="O380">
        <v>7</v>
      </c>
      <c r="P380">
        <v>96</v>
      </c>
    </row>
    <row r="381" spans="1:16" x14ac:dyDescent="0.3">
      <c r="A381">
        <v>2020</v>
      </c>
      <c r="B381" t="s">
        <v>33</v>
      </c>
      <c r="C381" t="s">
        <v>37</v>
      </c>
      <c r="D381" t="s">
        <v>17</v>
      </c>
      <c r="E381" t="s">
        <v>26</v>
      </c>
      <c r="F381">
        <v>80526</v>
      </c>
      <c r="G381">
        <v>1622</v>
      </c>
      <c r="H381">
        <v>135735</v>
      </c>
      <c r="I381" s="11">
        <f>Table1[[#This Row],[Revenue (Crore ₹)]]/Table1[[#This Row],[Doctors / Staff]]</f>
        <v>83.683723797780516</v>
      </c>
      <c r="J381">
        <v>23.94</v>
      </c>
      <c r="K381">
        <v>16651</v>
      </c>
      <c r="L381">
        <v>7.55</v>
      </c>
      <c r="M381">
        <v>37367</v>
      </c>
      <c r="N381">
        <v>98368</v>
      </c>
      <c r="O381">
        <v>13</v>
      </c>
      <c r="P381">
        <v>76</v>
      </c>
    </row>
    <row r="382" spans="1:16" x14ac:dyDescent="0.3">
      <c r="A382">
        <v>2022</v>
      </c>
      <c r="B382" t="s">
        <v>36</v>
      </c>
      <c r="C382" t="s">
        <v>32</v>
      </c>
      <c r="D382" t="s">
        <v>17</v>
      </c>
      <c r="E382" t="s">
        <v>26</v>
      </c>
      <c r="F382">
        <v>15810</v>
      </c>
      <c r="G382">
        <v>3591</v>
      </c>
      <c r="H382">
        <v>111281</v>
      </c>
      <c r="I382" s="11">
        <f>Table1[[#This Row],[Revenue (Crore ₹)]]/Table1[[#This Row],[Doctors / Staff]]</f>
        <v>30.988861041492619</v>
      </c>
      <c r="J382">
        <v>9.17</v>
      </c>
      <c r="K382">
        <v>7311</v>
      </c>
      <c r="L382">
        <v>10.65</v>
      </c>
      <c r="M382">
        <v>46596</v>
      </c>
      <c r="N382">
        <v>64685</v>
      </c>
      <c r="O382">
        <v>12</v>
      </c>
      <c r="P382">
        <v>91</v>
      </c>
    </row>
    <row r="383" spans="1:16" x14ac:dyDescent="0.3">
      <c r="A383">
        <v>2021</v>
      </c>
      <c r="B383" t="s">
        <v>34</v>
      </c>
      <c r="C383" t="s">
        <v>44</v>
      </c>
      <c r="D383" t="s">
        <v>28</v>
      </c>
      <c r="E383" t="s">
        <v>30</v>
      </c>
      <c r="F383">
        <v>87929</v>
      </c>
      <c r="G383">
        <v>4801</v>
      </c>
      <c r="H383">
        <v>188920</v>
      </c>
      <c r="I383" s="11">
        <f>Table1[[#This Row],[Revenue (Crore ₹)]]/Table1[[#This Row],[Doctors / Staff]]</f>
        <v>39.350135388460735</v>
      </c>
      <c r="J383">
        <v>16.14</v>
      </c>
      <c r="K383">
        <v>4908</v>
      </c>
      <c r="L383">
        <v>14.22</v>
      </c>
      <c r="M383">
        <v>15596</v>
      </c>
      <c r="N383">
        <v>173324</v>
      </c>
      <c r="O383">
        <v>13</v>
      </c>
      <c r="P383">
        <v>81</v>
      </c>
    </row>
    <row r="384" spans="1:16" x14ac:dyDescent="0.3">
      <c r="A384">
        <v>2022</v>
      </c>
      <c r="B384" t="s">
        <v>33</v>
      </c>
      <c r="C384" t="s">
        <v>20</v>
      </c>
      <c r="D384" t="s">
        <v>17</v>
      </c>
      <c r="E384" t="s">
        <v>38</v>
      </c>
      <c r="F384">
        <v>87084</v>
      </c>
      <c r="G384">
        <v>4028</v>
      </c>
      <c r="H384">
        <v>41486</v>
      </c>
      <c r="I384" s="11">
        <f>Table1[[#This Row],[Revenue (Crore ₹)]]/Table1[[#This Row],[Doctors / Staff]]</f>
        <v>10.299404170804369</v>
      </c>
      <c r="J384">
        <v>17.600000000000001</v>
      </c>
      <c r="K384">
        <v>314</v>
      </c>
      <c r="L384">
        <v>10.28</v>
      </c>
      <c r="M384">
        <v>30801</v>
      </c>
      <c r="N384">
        <v>10685</v>
      </c>
      <c r="O384">
        <v>16</v>
      </c>
      <c r="P384">
        <v>92</v>
      </c>
    </row>
    <row r="385" spans="1:16" x14ac:dyDescent="0.3">
      <c r="A385">
        <v>2021</v>
      </c>
      <c r="B385" t="s">
        <v>24</v>
      </c>
      <c r="C385" t="s">
        <v>40</v>
      </c>
      <c r="D385" t="s">
        <v>28</v>
      </c>
      <c r="E385" t="s">
        <v>30</v>
      </c>
      <c r="F385">
        <v>16750</v>
      </c>
      <c r="G385">
        <v>1356</v>
      </c>
      <c r="H385">
        <v>190338</v>
      </c>
      <c r="I385" s="11">
        <f>Table1[[#This Row],[Revenue (Crore ₹)]]/Table1[[#This Row],[Doctors / Staff]]</f>
        <v>140.36725663716814</v>
      </c>
      <c r="J385">
        <v>5.21</v>
      </c>
      <c r="K385">
        <v>10132</v>
      </c>
      <c r="L385">
        <v>7.41</v>
      </c>
      <c r="M385">
        <v>14133</v>
      </c>
      <c r="N385">
        <v>176205</v>
      </c>
      <c r="O385">
        <v>13</v>
      </c>
      <c r="P385">
        <v>81</v>
      </c>
    </row>
    <row r="386" spans="1:16" x14ac:dyDescent="0.3">
      <c r="A386">
        <v>2025</v>
      </c>
      <c r="B386" t="s">
        <v>34</v>
      </c>
      <c r="C386" t="s">
        <v>44</v>
      </c>
      <c r="D386" t="s">
        <v>28</v>
      </c>
      <c r="E386" t="s">
        <v>43</v>
      </c>
      <c r="F386">
        <v>34513</v>
      </c>
      <c r="G386">
        <v>276</v>
      </c>
      <c r="H386">
        <v>126005</v>
      </c>
      <c r="I386" s="11">
        <f>Table1[[#This Row],[Revenue (Crore ₹)]]/Table1[[#This Row],[Doctors / Staff]]</f>
        <v>456.53985507246375</v>
      </c>
      <c r="J386">
        <v>19.850000000000001</v>
      </c>
      <c r="K386">
        <v>2390</v>
      </c>
      <c r="L386">
        <v>12.17</v>
      </c>
      <c r="M386">
        <v>39832</v>
      </c>
      <c r="N386">
        <v>86173</v>
      </c>
      <c r="O386">
        <v>2</v>
      </c>
      <c r="P386">
        <v>81</v>
      </c>
    </row>
    <row r="387" spans="1:16" x14ac:dyDescent="0.3">
      <c r="A387">
        <v>2023</v>
      </c>
      <c r="B387" t="s">
        <v>34</v>
      </c>
      <c r="C387" t="s">
        <v>20</v>
      </c>
      <c r="D387" t="s">
        <v>17</v>
      </c>
      <c r="E387" t="s">
        <v>41</v>
      </c>
      <c r="F387">
        <v>98837</v>
      </c>
      <c r="G387">
        <v>4715</v>
      </c>
      <c r="H387">
        <v>169881</v>
      </c>
      <c r="I387" s="11">
        <f>Table1[[#This Row],[Revenue (Crore ₹)]]/Table1[[#This Row],[Doctors / Staff]]</f>
        <v>36.029904559915167</v>
      </c>
      <c r="J387">
        <v>8.81</v>
      </c>
      <c r="K387">
        <v>3789</v>
      </c>
      <c r="L387">
        <v>12.39</v>
      </c>
      <c r="M387">
        <v>33742</v>
      </c>
      <c r="N387">
        <v>136139</v>
      </c>
      <c r="O387">
        <v>7</v>
      </c>
      <c r="P387">
        <v>72</v>
      </c>
    </row>
    <row r="388" spans="1:16" x14ac:dyDescent="0.3">
      <c r="A388">
        <v>2024</v>
      </c>
      <c r="B388" t="s">
        <v>24</v>
      </c>
      <c r="C388" t="s">
        <v>37</v>
      </c>
      <c r="D388" t="s">
        <v>17</v>
      </c>
      <c r="E388" t="s">
        <v>38</v>
      </c>
      <c r="F388">
        <v>31883</v>
      </c>
      <c r="G388">
        <v>4613</v>
      </c>
      <c r="H388">
        <v>115255</v>
      </c>
      <c r="I388" s="11">
        <f>Table1[[#This Row],[Revenue (Crore ₹)]]/Table1[[#This Row],[Doctors / Staff]]</f>
        <v>24.984825493171471</v>
      </c>
      <c r="J388">
        <v>9.0500000000000007</v>
      </c>
      <c r="K388">
        <v>4134</v>
      </c>
      <c r="L388">
        <v>1.33</v>
      </c>
      <c r="M388">
        <v>23956</v>
      </c>
      <c r="N388">
        <v>91299</v>
      </c>
      <c r="O388">
        <v>4</v>
      </c>
      <c r="P388">
        <v>77</v>
      </c>
    </row>
    <row r="389" spans="1:16" x14ac:dyDescent="0.3">
      <c r="A389">
        <v>2021</v>
      </c>
      <c r="B389" t="s">
        <v>39</v>
      </c>
      <c r="C389" t="s">
        <v>29</v>
      </c>
      <c r="D389" t="s">
        <v>17</v>
      </c>
      <c r="E389" t="s">
        <v>31</v>
      </c>
      <c r="F389">
        <v>5702</v>
      </c>
      <c r="G389">
        <v>571</v>
      </c>
      <c r="H389">
        <v>131671</v>
      </c>
      <c r="I389" s="11">
        <f>Table1[[#This Row],[Revenue (Crore ₹)]]/Table1[[#This Row],[Doctors / Staff]]</f>
        <v>230.59719789842381</v>
      </c>
      <c r="J389">
        <v>24.59</v>
      </c>
      <c r="K389">
        <v>17150</v>
      </c>
      <c r="L389">
        <v>10.029999999999999</v>
      </c>
      <c r="M389">
        <v>6693</v>
      </c>
      <c r="N389">
        <v>124978</v>
      </c>
      <c r="O389">
        <v>13</v>
      </c>
      <c r="P389">
        <v>100</v>
      </c>
    </row>
    <row r="390" spans="1:16" x14ac:dyDescent="0.3">
      <c r="A390">
        <v>2022</v>
      </c>
      <c r="B390" t="s">
        <v>19</v>
      </c>
      <c r="C390" t="s">
        <v>37</v>
      </c>
      <c r="D390" t="s">
        <v>17</v>
      </c>
      <c r="E390" t="s">
        <v>41</v>
      </c>
      <c r="F390">
        <v>53720</v>
      </c>
      <c r="G390">
        <v>2231</v>
      </c>
      <c r="H390">
        <v>47989</v>
      </c>
      <c r="I390" s="11">
        <f>Table1[[#This Row],[Revenue (Crore ₹)]]/Table1[[#This Row],[Doctors / Staff]]</f>
        <v>21.510085163603765</v>
      </c>
      <c r="J390">
        <v>9.3699999999999992</v>
      </c>
      <c r="K390">
        <v>15431</v>
      </c>
      <c r="L390">
        <v>2.9</v>
      </c>
      <c r="M390">
        <v>15294</v>
      </c>
      <c r="N390">
        <v>32695</v>
      </c>
      <c r="O390">
        <v>17</v>
      </c>
      <c r="P390">
        <v>88</v>
      </c>
    </row>
    <row r="391" spans="1:16" x14ac:dyDescent="0.3">
      <c r="A391">
        <v>2024</v>
      </c>
      <c r="B391" t="s">
        <v>33</v>
      </c>
      <c r="C391" t="s">
        <v>27</v>
      </c>
      <c r="D391" t="s">
        <v>28</v>
      </c>
      <c r="E391" t="s">
        <v>43</v>
      </c>
      <c r="F391">
        <v>98856</v>
      </c>
      <c r="G391">
        <v>3653</v>
      </c>
      <c r="H391">
        <v>150812</v>
      </c>
      <c r="I391" s="11">
        <f>Table1[[#This Row],[Revenue (Crore ₹)]]/Table1[[#This Row],[Doctors / Staff]]</f>
        <v>41.284423761292089</v>
      </c>
      <c r="J391">
        <v>13.62</v>
      </c>
      <c r="K391">
        <v>7314</v>
      </c>
      <c r="L391">
        <v>11.95</v>
      </c>
      <c r="M391">
        <v>33897</v>
      </c>
      <c r="N391">
        <v>116915</v>
      </c>
      <c r="O391">
        <v>16</v>
      </c>
      <c r="P391">
        <v>83</v>
      </c>
    </row>
    <row r="392" spans="1:16" x14ac:dyDescent="0.3">
      <c r="A392">
        <v>2023</v>
      </c>
      <c r="B392" t="s">
        <v>21</v>
      </c>
      <c r="C392" t="s">
        <v>42</v>
      </c>
      <c r="D392" t="s">
        <v>28</v>
      </c>
      <c r="E392" t="s">
        <v>43</v>
      </c>
      <c r="F392">
        <v>15694</v>
      </c>
      <c r="G392">
        <v>2655</v>
      </c>
      <c r="H392">
        <v>27218</v>
      </c>
      <c r="I392" s="11">
        <f>Table1[[#This Row],[Revenue (Crore ₹)]]/Table1[[#This Row],[Doctors / Staff]]</f>
        <v>10.251600753295669</v>
      </c>
      <c r="J392">
        <v>5.7</v>
      </c>
      <c r="K392">
        <v>19803</v>
      </c>
      <c r="L392">
        <v>13.88</v>
      </c>
      <c r="M392">
        <v>49990</v>
      </c>
      <c r="N392">
        <v>-22772</v>
      </c>
      <c r="O392">
        <v>7</v>
      </c>
      <c r="P392">
        <v>83</v>
      </c>
    </row>
    <row r="393" spans="1:16" x14ac:dyDescent="0.3">
      <c r="A393">
        <v>2024</v>
      </c>
      <c r="B393" t="s">
        <v>15</v>
      </c>
      <c r="C393" t="s">
        <v>35</v>
      </c>
      <c r="D393" t="s">
        <v>17</v>
      </c>
      <c r="E393" t="s">
        <v>30</v>
      </c>
      <c r="F393">
        <v>22163</v>
      </c>
      <c r="G393">
        <v>170</v>
      </c>
      <c r="H393">
        <v>134857</v>
      </c>
      <c r="I393" s="11">
        <f>Table1[[#This Row],[Revenue (Crore ₹)]]/Table1[[#This Row],[Doctors / Staff]]</f>
        <v>793.27647058823527</v>
      </c>
      <c r="J393">
        <v>8.31</v>
      </c>
      <c r="K393">
        <v>6915</v>
      </c>
      <c r="L393">
        <v>11.42</v>
      </c>
      <c r="M393">
        <v>33456</v>
      </c>
      <c r="N393">
        <v>101401</v>
      </c>
      <c r="O393">
        <v>0</v>
      </c>
      <c r="P393">
        <v>76</v>
      </c>
    </row>
    <row r="394" spans="1:16" x14ac:dyDescent="0.3">
      <c r="A394">
        <v>2025</v>
      </c>
      <c r="B394" t="s">
        <v>33</v>
      </c>
      <c r="C394" t="s">
        <v>35</v>
      </c>
      <c r="D394" t="s">
        <v>17</v>
      </c>
      <c r="E394" t="s">
        <v>18</v>
      </c>
      <c r="F394">
        <v>28183</v>
      </c>
      <c r="G394">
        <v>2377</v>
      </c>
      <c r="H394">
        <v>19398</v>
      </c>
      <c r="I394" s="11">
        <f>Table1[[#This Row],[Revenue (Crore ₹)]]/Table1[[#This Row],[Doctors / Staff]]</f>
        <v>8.1607067732435841</v>
      </c>
      <c r="J394">
        <v>17.329999999999998</v>
      </c>
      <c r="K394">
        <v>7199</v>
      </c>
      <c r="L394">
        <v>9.39</v>
      </c>
      <c r="M394">
        <v>4531</v>
      </c>
      <c r="N394">
        <v>14867</v>
      </c>
      <c r="O394">
        <v>8</v>
      </c>
      <c r="P394">
        <v>82</v>
      </c>
    </row>
    <row r="395" spans="1:16" x14ac:dyDescent="0.3">
      <c r="A395">
        <v>2023</v>
      </c>
      <c r="B395" t="s">
        <v>24</v>
      </c>
      <c r="C395" t="s">
        <v>37</v>
      </c>
      <c r="D395" t="s">
        <v>17</v>
      </c>
      <c r="E395" t="s">
        <v>26</v>
      </c>
      <c r="F395">
        <v>3463</v>
      </c>
      <c r="G395">
        <v>1618</v>
      </c>
      <c r="H395">
        <v>56784</v>
      </c>
      <c r="I395" s="11">
        <f>Table1[[#This Row],[Revenue (Crore ₹)]]/Table1[[#This Row],[Doctors / Staff]]</f>
        <v>35.095179233621757</v>
      </c>
      <c r="J395">
        <v>16.38</v>
      </c>
      <c r="K395">
        <v>8119</v>
      </c>
      <c r="L395">
        <v>6.13</v>
      </c>
      <c r="M395">
        <v>29777</v>
      </c>
      <c r="N395">
        <v>27007</v>
      </c>
      <c r="O395">
        <v>19</v>
      </c>
      <c r="P395">
        <v>91</v>
      </c>
    </row>
    <row r="396" spans="1:16" x14ac:dyDescent="0.3">
      <c r="A396">
        <v>2020</v>
      </c>
      <c r="B396" t="s">
        <v>39</v>
      </c>
      <c r="C396" t="s">
        <v>37</v>
      </c>
      <c r="D396" t="s">
        <v>17</v>
      </c>
      <c r="E396" t="s">
        <v>23</v>
      </c>
      <c r="F396">
        <v>12317</v>
      </c>
      <c r="G396">
        <v>4358</v>
      </c>
      <c r="H396">
        <v>83508</v>
      </c>
      <c r="I396" s="11">
        <f>Table1[[#This Row],[Revenue (Crore ₹)]]/Table1[[#This Row],[Doctors / Staff]]</f>
        <v>19.162000917852225</v>
      </c>
      <c r="J396">
        <v>21.6</v>
      </c>
      <c r="K396">
        <v>14558</v>
      </c>
      <c r="L396">
        <v>2.39</v>
      </c>
      <c r="M396">
        <v>7921</v>
      </c>
      <c r="N396">
        <v>75587</v>
      </c>
      <c r="O396">
        <v>9</v>
      </c>
      <c r="P396">
        <v>72</v>
      </c>
    </row>
    <row r="397" spans="1:16" x14ac:dyDescent="0.3">
      <c r="A397">
        <v>2025</v>
      </c>
      <c r="B397" t="s">
        <v>21</v>
      </c>
      <c r="C397" t="s">
        <v>35</v>
      </c>
      <c r="D397" t="s">
        <v>17</v>
      </c>
      <c r="E397" t="s">
        <v>41</v>
      </c>
      <c r="F397">
        <v>63567</v>
      </c>
      <c r="G397">
        <v>1469</v>
      </c>
      <c r="H397">
        <v>121207</v>
      </c>
      <c r="I397" s="11">
        <f>Table1[[#This Row],[Revenue (Crore ₹)]]/Table1[[#This Row],[Doctors / Staff]]</f>
        <v>82.50987066031314</v>
      </c>
      <c r="J397">
        <v>6.04</v>
      </c>
      <c r="K397">
        <v>498</v>
      </c>
      <c r="L397">
        <v>6.76</v>
      </c>
      <c r="M397">
        <v>49734</v>
      </c>
      <c r="N397">
        <v>71473</v>
      </c>
      <c r="O397">
        <v>2</v>
      </c>
      <c r="P397">
        <v>78</v>
      </c>
    </row>
    <row r="398" spans="1:16" x14ac:dyDescent="0.3">
      <c r="A398">
        <v>2024</v>
      </c>
      <c r="B398" t="s">
        <v>34</v>
      </c>
      <c r="C398" t="s">
        <v>40</v>
      </c>
      <c r="D398" t="s">
        <v>28</v>
      </c>
      <c r="E398" t="s">
        <v>23</v>
      </c>
      <c r="F398">
        <v>87679</v>
      </c>
      <c r="G398">
        <v>528</v>
      </c>
      <c r="H398">
        <v>137558</v>
      </c>
      <c r="I398" s="11">
        <f>Table1[[#This Row],[Revenue (Crore ₹)]]/Table1[[#This Row],[Doctors / Staff]]</f>
        <v>260.52651515151513</v>
      </c>
      <c r="J398">
        <v>13.47</v>
      </c>
      <c r="K398">
        <v>3474</v>
      </c>
      <c r="L398">
        <v>2.36</v>
      </c>
      <c r="M398">
        <v>21676</v>
      </c>
      <c r="N398">
        <v>115882</v>
      </c>
      <c r="O398">
        <v>1</v>
      </c>
      <c r="P398">
        <v>76</v>
      </c>
    </row>
    <row r="399" spans="1:16" x14ac:dyDescent="0.3">
      <c r="A399">
        <v>2020</v>
      </c>
      <c r="B399" t="s">
        <v>19</v>
      </c>
      <c r="C399" t="s">
        <v>40</v>
      </c>
      <c r="D399" t="s">
        <v>28</v>
      </c>
      <c r="E399" t="s">
        <v>43</v>
      </c>
      <c r="F399">
        <v>76425</v>
      </c>
      <c r="G399">
        <v>4711</v>
      </c>
      <c r="H399">
        <v>36806</v>
      </c>
      <c r="I399" s="11">
        <f>Table1[[#This Row],[Revenue (Crore ₹)]]/Table1[[#This Row],[Doctors / Staff]]</f>
        <v>7.8127786032689448</v>
      </c>
      <c r="J399">
        <v>22.93</v>
      </c>
      <c r="K399">
        <v>18092</v>
      </c>
      <c r="L399">
        <v>12.21</v>
      </c>
      <c r="M399">
        <v>19856</v>
      </c>
      <c r="N399">
        <v>16950</v>
      </c>
      <c r="O399">
        <v>5</v>
      </c>
      <c r="P399">
        <v>74</v>
      </c>
    </row>
    <row r="400" spans="1:16" x14ac:dyDescent="0.3">
      <c r="A400">
        <v>2023</v>
      </c>
      <c r="B400" t="s">
        <v>39</v>
      </c>
      <c r="C400" t="s">
        <v>40</v>
      </c>
      <c r="D400" t="s">
        <v>28</v>
      </c>
      <c r="E400" t="s">
        <v>38</v>
      </c>
      <c r="F400">
        <v>97603</v>
      </c>
      <c r="G400">
        <v>3586</v>
      </c>
      <c r="H400">
        <v>105177</v>
      </c>
      <c r="I400" s="11">
        <f>Table1[[#This Row],[Revenue (Crore ₹)]]/Table1[[#This Row],[Doctors / Staff]]</f>
        <v>29.329894032348019</v>
      </c>
      <c r="J400">
        <v>13.9</v>
      </c>
      <c r="K400">
        <v>15667</v>
      </c>
      <c r="L400">
        <v>9.8000000000000007</v>
      </c>
      <c r="M400">
        <v>15441</v>
      </c>
      <c r="N400">
        <v>89736</v>
      </c>
      <c r="O400">
        <v>19</v>
      </c>
      <c r="P400">
        <v>94</v>
      </c>
    </row>
    <row r="401" spans="1:16" x14ac:dyDescent="0.3">
      <c r="A401">
        <v>2023</v>
      </c>
      <c r="B401" t="s">
        <v>19</v>
      </c>
      <c r="C401" t="s">
        <v>27</v>
      </c>
      <c r="D401" t="s">
        <v>28</v>
      </c>
      <c r="E401" t="s">
        <v>38</v>
      </c>
      <c r="F401">
        <v>68608</v>
      </c>
      <c r="G401">
        <v>3768</v>
      </c>
      <c r="H401">
        <v>163238</v>
      </c>
      <c r="I401" s="11">
        <f>Table1[[#This Row],[Revenue (Crore ₹)]]/Table1[[#This Row],[Doctors / Staff]]</f>
        <v>43.32218683651805</v>
      </c>
      <c r="J401">
        <v>8.8000000000000007</v>
      </c>
      <c r="K401">
        <v>2501</v>
      </c>
      <c r="L401">
        <v>12.65</v>
      </c>
      <c r="M401">
        <v>5704</v>
      </c>
      <c r="N401">
        <v>157534</v>
      </c>
      <c r="O401">
        <v>11</v>
      </c>
      <c r="P401">
        <v>89</v>
      </c>
    </row>
    <row r="402" spans="1:16" x14ac:dyDescent="0.3">
      <c r="A402">
        <v>2024</v>
      </c>
      <c r="B402" t="s">
        <v>39</v>
      </c>
      <c r="C402" t="s">
        <v>42</v>
      </c>
      <c r="D402" t="s">
        <v>28</v>
      </c>
      <c r="E402" t="s">
        <v>38</v>
      </c>
      <c r="F402">
        <v>51420</v>
      </c>
      <c r="G402">
        <v>2243</v>
      </c>
      <c r="H402">
        <v>152022</v>
      </c>
      <c r="I402" s="11">
        <f>Table1[[#This Row],[Revenue (Crore ₹)]]/Table1[[#This Row],[Doctors / Staff]]</f>
        <v>67.7761925991975</v>
      </c>
      <c r="J402">
        <v>11.47</v>
      </c>
      <c r="K402">
        <v>3825</v>
      </c>
      <c r="L402">
        <v>3.76</v>
      </c>
      <c r="M402">
        <v>15434</v>
      </c>
      <c r="N402">
        <v>136588</v>
      </c>
      <c r="O402">
        <v>15</v>
      </c>
      <c r="P402">
        <v>77</v>
      </c>
    </row>
    <row r="403" spans="1:16" x14ac:dyDescent="0.3">
      <c r="A403">
        <v>2023</v>
      </c>
      <c r="B403" t="s">
        <v>24</v>
      </c>
      <c r="C403" t="s">
        <v>32</v>
      </c>
      <c r="D403" t="s">
        <v>17</v>
      </c>
      <c r="E403" t="s">
        <v>18</v>
      </c>
      <c r="F403">
        <v>22439</v>
      </c>
      <c r="G403">
        <v>2768</v>
      </c>
      <c r="H403">
        <v>3707</v>
      </c>
      <c r="I403" s="11">
        <f>Table1[[#This Row],[Revenue (Crore ₹)]]/Table1[[#This Row],[Doctors / Staff]]</f>
        <v>1.3392341040462428</v>
      </c>
      <c r="J403">
        <v>23.52</v>
      </c>
      <c r="K403">
        <v>12698</v>
      </c>
      <c r="L403">
        <v>10.34</v>
      </c>
      <c r="M403">
        <v>23638</v>
      </c>
      <c r="N403">
        <v>-19931</v>
      </c>
      <c r="O403">
        <v>11</v>
      </c>
      <c r="P403">
        <v>75</v>
      </c>
    </row>
    <row r="404" spans="1:16" x14ac:dyDescent="0.3">
      <c r="A404">
        <v>2021</v>
      </c>
      <c r="B404" t="s">
        <v>19</v>
      </c>
      <c r="C404" t="s">
        <v>42</v>
      </c>
      <c r="D404" t="s">
        <v>28</v>
      </c>
      <c r="E404" t="s">
        <v>41</v>
      </c>
      <c r="F404">
        <v>72613</v>
      </c>
      <c r="G404">
        <v>3656</v>
      </c>
      <c r="H404">
        <v>66421</v>
      </c>
      <c r="I404" s="11">
        <f>Table1[[#This Row],[Revenue (Crore ₹)]]/Table1[[#This Row],[Doctors / Staff]]</f>
        <v>18.167669584245075</v>
      </c>
      <c r="J404">
        <v>21.37</v>
      </c>
      <c r="K404">
        <v>13270</v>
      </c>
      <c r="L404">
        <v>9.01</v>
      </c>
      <c r="M404">
        <v>35274</v>
      </c>
      <c r="N404">
        <v>31147</v>
      </c>
      <c r="O404">
        <v>6</v>
      </c>
      <c r="P404">
        <v>97</v>
      </c>
    </row>
    <row r="405" spans="1:16" x14ac:dyDescent="0.3">
      <c r="A405">
        <v>2025</v>
      </c>
      <c r="B405" t="s">
        <v>34</v>
      </c>
      <c r="C405" t="s">
        <v>22</v>
      </c>
      <c r="D405" t="s">
        <v>17</v>
      </c>
      <c r="E405" t="s">
        <v>23</v>
      </c>
      <c r="F405">
        <v>33713</v>
      </c>
      <c r="G405">
        <v>1624</v>
      </c>
      <c r="H405">
        <v>134817</v>
      </c>
      <c r="I405" s="11">
        <f>Table1[[#This Row],[Revenue (Crore ₹)]]/Table1[[#This Row],[Doctors / Staff]]</f>
        <v>83.01539408866995</v>
      </c>
      <c r="J405">
        <v>9.8699999999999992</v>
      </c>
      <c r="K405">
        <v>1176</v>
      </c>
      <c r="L405">
        <v>1.1499999999999999</v>
      </c>
      <c r="M405">
        <v>8382</v>
      </c>
      <c r="N405">
        <v>126435</v>
      </c>
      <c r="O405">
        <v>16</v>
      </c>
      <c r="P405">
        <v>84</v>
      </c>
    </row>
    <row r="406" spans="1:16" x14ac:dyDescent="0.3">
      <c r="A406">
        <v>2022</v>
      </c>
      <c r="B406" t="s">
        <v>34</v>
      </c>
      <c r="C406" t="s">
        <v>32</v>
      </c>
      <c r="D406" t="s">
        <v>17</v>
      </c>
      <c r="E406" t="s">
        <v>26</v>
      </c>
      <c r="F406">
        <v>29080</v>
      </c>
      <c r="G406">
        <v>3764</v>
      </c>
      <c r="H406">
        <v>144835</v>
      </c>
      <c r="I406" s="11">
        <f>Table1[[#This Row],[Revenue (Crore ₹)]]/Table1[[#This Row],[Doctors / Staff]]</f>
        <v>38.479011689691816</v>
      </c>
      <c r="J406">
        <v>23.89</v>
      </c>
      <c r="K406">
        <v>12027</v>
      </c>
      <c r="L406">
        <v>5.96</v>
      </c>
      <c r="M406">
        <v>26181</v>
      </c>
      <c r="N406">
        <v>118654</v>
      </c>
      <c r="O406">
        <v>16</v>
      </c>
      <c r="P406">
        <v>85</v>
      </c>
    </row>
    <row r="407" spans="1:16" x14ac:dyDescent="0.3">
      <c r="A407">
        <v>2023</v>
      </c>
      <c r="B407" t="s">
        <v>21</v>
      </c>
      <c r="C407" t="s">
        <v>42</v>
      </c>
      <c r="D407" t="s">
        <v>28</v>
      </c>
      <c r="E407" t="s">
        <v>26</v>
      </c>
      <c r="F407">
        <v>76231</v>
      </c>
      <c r="G407">
        <v>1602</v>
      </c>
      <c r="H407">
        <v>51338</v>
      </c>
      <c r="I407" s="11">
        <f>Table1[[#This Row],[Revenue (Crore ₹)]]/Table1[[#This Row],[Doctors / Staff]]</f>
        <v>32.046192259675408</v>
      </c>
      <c r="J407">
        <v>13.59</v>
      </c>
      <c r="K407">
        <v>18602</v>
      </c>
      <c r="L407">
        <v>14.03</v>
      </c>
      <c r="M407">
        <v>33331</v>
      </c>
      <c r="N407">
        <v>18007</v>
      </c>
      <c r="O407">
        <v>4</v>
      </c>
      <c r="P407">
        <v>94</v>
      </c>
    </row>
    <row r="408" spans="1:16" x14ac:dyDescent="0.3">
      <c r="A408">
        <v>2025</v>
      </c>
      <c r="B408" t="s">
        <v>15</v>
      </c>
      <c r="C408" t="s">
        <v>44</v>
      </c>
      <c r="D408" t="s">
        <v>28</v>
      </c>
      <c r="E408" t="s">
        <v>18</v>
      </c>
      <c r="F408">
        <v>50088</v>
      </c>
      <c r="G408">
        <v>1952</v>
      </c>
      <c r="H408">
        <v>70040</v>
      </c>
      <c r="I408" s="11">
        <f>Table1[[#This Row],[Revenue (Crore ₹)]]/Table1[[#This Row],[Doctors / Staff]]</f>
        <v>35.881147540983605</v>
      </c>
      <c r="J408">
        <v>16.489999999999998</v>
      </c>
      <c r="K408">
        <v>17002</v>
      </c>
      <c r="L408">
        <v>12.95</v>
      </c>
      <c r="M408">
        <v>33853</v>
      </c>
      <c r="N408">
        <v>36187</v>
      </c>
      <c r="O408">
        <v>14</v>
      </c>
      <c r="P408">
        <v>70</v>
      </c>
    </row>
    <row r="409" spans="1:16" x14ac:dyDescent="0.3">
      <c r="A409">
        <v>2020</v>
      </c>
      <c r="B409" t="s">
        <v>21</v>
      </c>
      <c r="C409" t="s">
        <v>29</v>
      </c>
      <c r="D409" t="s">
        <v>17</v>
      </c>
      <c r="E409" t="s">
        <v>38</v>
      </c>
      <c r="F409">
        <v>84872</v>
      </c>
      <c r="G409">
        <v>1507</v>
      </c>
      <c r="H409">
        <v>199079</v>
      </c>
      <c r="I409" s="11">
        <f>Table1[[#This Row],[Revenue (Crore ₹)]]/Table1[[#This Row],[Doctors / Staff]]</f>
        <v>132.10285335102853</v>
      </c>
      <c r="J409">
        <v>20.97</v>
      </c>
      <c r="K409">
        <v>16729</v>
      </c>
      <c r="L409">
        <v>2.41</v>
      </c>
      <c r="M409">
        <v>29061</v>
      </c>
      <c r="N409">
        <v>170018</v>
      </c>
      <c r="O409">
        <v>1</v>
      </c>
      <c r="P409">
        <v>86</v>
      </c>
    </row>
    <row r="410" spans="1:16" x14ac:dyDescent="0.3">
      <c r="A410">
        <v>2024</v>
      </c>
      <c r="B410" t="s">
        <v>21</v>
      </c>
      <c r="C410" t="s">
        <v>16</v>
      </c>
      <c r="D410" t="s">
        <v>17</v>
      </c>
      <c r="E410" t="s">
        <v>31</v>
      </c>
      <c r="F410">
        <v>16991</v>
      </c>
      <c r="G410">
        <v>1936</v>
      </c>
      <c r="H410">
        <v>137039</v>
      </c>
      <c r="I410" s="11">
        <f>Table1[[#This Row],[Revenue (Crore ₹)]]/Table1[[#This Row],[Doctors / Staff]]</f>
        <v>70.784607438016522</v>
      </c>
      <c r="J410">
        <v>10.73</v>
      </c>
      <c r="K410">
        <v>14411</v>
      </c>
      <c r="L410">
        <v>8.7200000000000006</v>
      </c>
      <c r="M410">
        <v>39617</v>
      </c>
      <c r="N410">
        <v>97422</v>
      </c>
      <c r="O410">
        <v>20</v>
      </c>
      <c r="P410">
        <v>100</v>
      </c>
    </row>
    <row r="411" spans="1:16" x14ac:dyDescent="0.3">
      <c r="A411">
        <v>2025</v>
      </c>
      <c r="B411" t="s">
        <v>33</v>
      </c>
      <c r="C411" t="s">
        <v>25</v>
      </c>
      <c r="D411" t="s">
        <v>17</v>
      </c>
      <c r="E411" t="s">
        <v>18</v>
      </c>
      <c r="F411">
        <v>78927</v>
      </c>
      <c r="G411">
        <v>1768</v>
      </c>
      <c r="H411">
        <v>53428</v>
      </c>
      <c r="I411" s="11">
        <f>Table1[[#This Row],[Revenue (Crore ₹)]]/Table1[[#This Row],[Doctors / Staff]]</f>
        <v>30.219457013574662</v>
      </c>
      <c r="J411">
        <v>21.54</v>
      </c>
      <c r="K411">
        <v>3818</v>
      </c>
      <c r="L411">
        <v>3.59</v>
      </c>
      <c r="M411">
        <v>32171</v>
      </c>
      <c r="N411">
        <v>21257</v>
      </c>
      <c r="O411">
        <v>15</v>
      </c>
      <c r="P411">
        <v>93</v>
      </c>
    </row>
    <row r="412" spans="1:16" x14ac:dyDescent="0.3">
      <c r="A412">
        <v>2025</v>
      </c>
      <c r="B412" t="s">
        <v>39</v>
      </c>
      <c r="C412" t="s">
        <v>42</v>
      </c>
      <c r="D412" t="s">
        <v>28</v>
      </c>
      <c r="E412" t="s">
        <v>31</v>
      </c>
      <c r="F412">
        <v>74677</v>
      </c>
      <c r="G412">
        <v>383</v>
      </c>
      <c r="H412">
        <v>180777</v>
      </c>
      <c r="I412" s="11">
        <f>Table1[[#This Row],[Revenue (Crore ₹)]]/Table1[[#This Row],[Doctors / Staff]]</f>
        <v>472.00261096605743</v>
      </c>
      <c r="J412">
        <v>9.6199999999999992</v>
      </c>
      <c r="K412">
        <v>127</v>
      </c>
      <c r="L412">
        <v>1.79</v>
      </c>
      <c r="M412">
        <v>28724</v>
      </c>
      <c r="N412">
        <v>152053</v>
      </c>
      <c r="O412">
        <v>9</v>
      </c>
      <c r="P412">
        <v>74</v>
      </c>
    </row>
    <row r="413" spans="1:16" x14ac:dyDescent="0.3">
      <c r="A413">
        <v>2022</v>
      </c>
      <c r="B413" t="s">
        <v>34</v>
      </c>
      <c r="C413" t="s">
        <v>32</v>
      </c>
      <c r="D413" t="s">
        <v>17</v>
      </c>
      <c r="E413" t="s">
        <v>30</v>
      </c>
      <c r="F413">
        <v>78962</v>
      </c>
      <c r="G413">
        <v>3062</v>
      </c>
      <c r="H413">
        <v>155433</v>
      </c>
      <c r="I413" s="11">
        <f>Table1[[#This Row],[Revenue (Crore ₹)]]/Table1[[#This Row],[Doctors / Staff]]</f>
        <v>50.761920313520577</v>
      </c>
      <c r="J413">
        <v>13.85</v>
      </c>
      <c r="K413">
        <v>13403</v>
      </c>
      <c r="L413">
        <v>7.73</v>
      </c>
      <c r="M413">
        <v>44787</v>
      </c>
      <c r="N413">
        <v>110646</v>
      </c>
      <c r="O413">
        <v>5</v>
      </c>
      <c r="P413">
        <v>73</v>
      </c>
    </row>
    <row r="414" spans="1:16" x14ac:dyDescent="0.3">
      <c r="A414">
        <v>2020</v>
      </c>
      <c r="B414" t="s">
        <v>34</v>
      </c>
      <c r="C414" t="s">
        <v>27</v>
      </c>
      <c r="D414" t="s">
        <v>28</v>
      </c>
      <c r="E414" t="s">
        <v>38</v>
      </c>
      <c r="F414">
        <v>45492</v>
      </c>
      <c r="G414">
        <v>4900</v>
      </c>
      <c r="H414">
        <v>180811</v>
      </c>
      <c r="I414" s="11">
        <f>Table1[[#This Row],[Revenue (Crore ₹)]]/Table1[[#This Row],[Doctors / Staff]]</f>
        <v>36.900204081632651</v>
      </c>
      <c r="J414">
        <v>23.28</v>
      </c>
      <c r="K414">
        <v>17920</v>
      </c>
      <c r="L414">
        <v>1.88</v>
      </c>
      <c r="M414">
        <v>8271</v>
      </c>
      <c r="N414">
        <v>172540</v>
      </c>
      <c r="O414">
        <v>17</v>
      </c>
      <c r="P414">
        <v>74</v>
      </c>
    </row>
    <row r="415" spans="1:16" x14ac:dyDescent="0.3">
      <c r="A415">
        <v>2025</v>
      </c>
      <c r="B415" t="s">
        <v>21</v>
      </c>
      <c r="C415" t="s">
        <v>40</v>
      </c>
      <c r="D415" t="s">
        <v>28</v>
      </c>
      <c r="E415" t="s">
        <v>41</v>
      </c>
      <c r="F415">
        <v>4845</v>
      </c>
      <c r="G415">
        <v>2955</v>
      </c>
      <c r="H415">
        <v>160627</v>
      </c>
      <c r="I415" s="11">
        <f>Table1[[#This Row],[Revenue (Crore ₹)]]/Table1[[#This Row],[Doctors / Staff]]</f>
        <v>54.357698815566835</v>
      </c>
      <c r="J415">
        <v>13.8</v>
      </c>
      <c r="K415">
        <v>8464</v>
      </c>
      <c r="L415">
        <v>13.78</v>
      </c>
      <c r="M415">
        <v>26136</v>
      </c>
      <c r="N415">
        <v>134491</v>
      </c>
      <c r="O415">
        <v>8</v>
      </c>
      <c r="P415">
        <v>78</v>
      </c>
    </row>
    <row r="416" spans="1:16" x14ac:dyDescent="0.3">
      <c r="A416">
        <v>2023</v>
      </c>
      <c r="B416" t="s">
        <v>24</v>
      </c>
      <c r="C416" t="s">
        <v>37</v>
      </c>
      <c r="D416" t="s">
        <v>17</v>
      </c>
      <c r="E416" t="s">
        <v>26</v>
      </c>
      <c r="F416">
        <v>73900</v>
      </c>
      <c r="G416">
        <v>4805</v>
      </c>
      <c r="H416">
        <v>158595</v>
      </c>
      <c r="I416" s="11">
        <f>Table1[[#This Row],[Revenue (Crore ₹)]]/Table1[[#This Row],[Doctors / Staff]]</f>
        <v>33.006243496357961</v>
      </c>
      <c r="J416">
        <v>15.02</v>
      </c>
      <c r="K416">
        <v>18583</v>
      </c>
      <c r="L416">
        <v>7.46</v>
      </c>
      <c r="M416">
        <v>22836</v>
      </c>
      <c r="N416">
        <v>135759</v>
      </c>
      <c r="O416">
        <v>14</v>
      </c>
      <c r="P416">
        <v>72</v>
      </c>
    </row>
    <row r="417" spans="1:16" x14ac:dyDescent="0.3">
      <c r="A417">
        <v>2020</v>
      </c>
      <c r="B417" t="s">
        <v>36</v>
      </c>
      <c r="C417" t="s">
        <v>40</v>
      </c>
      <c r="D417" t="s">
        <v>28</v>
      </c>
      <c r="E417" t="s">
        <v>41</v>
      </c>
      <c r="F417">
        <v>89157</v>
      </c>
      <c r="G417">
        <v>818</v>
      </c>
      <c r="H417">
        <v>50994</v>
      </c>
      <c r="I417" s="11">
        <f>Table1[[#This Row],[Revenue (Crore ₹)]]/Table1[[#This Row],[Doctors / Staff]]</f>
        <v>62.339853300733495</v>
      </c>
      <c r="J417">
        <v>6.78</v>
      </c>
      <c r="K417">
        <v>15139</v>
      </c>
      <c r="L417">
        <v>14.03</v>
      </c>
      <c r="M417">
        <v>41943</v>
      </c>
      <c r="N417">
        <v>9051</v>
      </c>
      <c r="O417">
        <v>2</v>
      </c>
      <c r="P417">
        <v>86</v>
      </c>
    </row>
    <row r="418" spans="1:16" x14ac:dyDescent="0.3">
      <c r="A418">
        <v>2023</v>
      </c>
      <c r="B418" t="s">
        <v>36</v>
      </c>
      <c r="C418" t="s">
        <v>32</v>
      </c>
      <c r="D418" t="s">
        <v>17</v>
      </c>
      <c r="E418" t="s">
        <v>41</v>
      </c>
      <c r="F418">
        <v>89365</v>
      </c>
      <c r="G418">
        <v>1944</v>
      </c>
      <c r="H418">
        <v>61720</v>
      </c>
      <c r="I418" s="11">
        <f>Table1[[#This Row],[Revenue (Crore ₹)]]/Table1[[#This Row],[Doctors / Staff]]</f>
        <v>31.748971193415638</v>
      </c>
      <c r="J418">
        <v>16.8</v>
      </c>
      <c r="K418">
        <v>9305</v>
      </c>
      <c r="L418">
        <v>5.68</v>
      </c>
      <c r="M418">
        <v>5424</v>
      </c>
      <c r="N418">
        <v>56296</v>
      </c>
      <c r="O418">
        <v>15</v>
      </c>
      <c r="P418">
        <v>90</v>
      </c>
    </row>
    <row r="419" spans="1:16" x14ac:dyDescent="0.3">
      <c r="A419">
        <v>2022</v>
      </c>
      <c r="B419" t="s">
        <v>15</v>
      </c>
      <c r="C419" t="s">
        <v>29</v>
      </c>
      <c r="D419" t="s">
        <v>17</v>
      </c>
      <c r="E419" t="s">
        <v>41</v>
      </c>
      <c r="F419">
        <v>7313</v>
      </c>
      <c r="G419">
        <v>2815</v>
      </c>
      <c r="H419">
        <v>177856</v>
      </c>
      <c r="I419" s="11">
        <f>Table1[[#This Row],[Revenue (Crore ₹)]]/Table1[[#This Row],[Doctors / Staff]]</f>
        <v>63.181527531083482</v>
      </c>
      <c r="J419">
        <v>17.57</v>
      </c>
      <c r="K419">
        <v>14648</v>
      </c>
      <c r="L419">
        <v>7.75</v>
      </c>
      <c r="M419">
        <v>23685</v>
      </c>
      <c r="N419">
        <v>154171</v>
      </c>
      <c r="O419">
        <v>6</v>
      </c>
      <c r="P419">
        <v>100</v>
      </c>
    </row>
    <row r="420" spans="1:16" x14ac:dyDescent="0.3">
      <c r="A420">
        <v>2024</v>
      </c>
      <c r="B420" t="s">
        <v>36</v>
      </c>
      <c r="C420" t="s">
        <v>22</v>
      </c>
      <c r="D420" t="s">
        <v>17</v>
      </c>
      <c r="E420" t="s">
        <v>43</v>
      </c>
      <c r="F420">
        <v>27650</v>
      </c>
      <c r="G420">
        <v>4105</v>
      </c>
      <c r="H420">
        <v>74498</v>
      </c>
      <c r="I420" s="11">
        <f>Table1[[#This Row],[Revenue (Crore ₹)]]/Table1[[#This Row],[Doctors / Staff]]</f>
        <v>18.148112058465287</v>
      </c>
      <c r="J420">
        <v>16.75</v>
      </c>
      <c r="K420">
        <v>9780</v>
      </c>
      <c r="L420">
        <v>10.93</v>
      </c>
      <c r="M420">
        <v>7547</v>
      </c>
      <c r="N420">
        <v>66951</v>
      </c>
      <c r="O420">
        <v>15</v>
      </c>
      <c r="P420">
        <v>76</v>
      </c>
    </row>
    <row r="421" spans="1:16" x14ac:dyDescent="0.3">
      <c r="A421">
        <v>2023</v>
      </c>
      <c r="B421" t="s">
        <v>24</v>
      </c>
      <c r="C421" t="s">
        <v>29</v>
      </c>
      <c r="D421" t="s">
        <v>17</v>
      </c>
      <c r="E421" t="s">
        <v>30</v>
      </c>
      <c r="F421">
        <v>84557</v>
      </c>
      <c r="G421">
        <v>3248</v>
      </c>
      <c r="H421">
        <v>71424</v>
      </c>
      <c r="I421" s="11">
        <f>Table1[[#This Row],[Revenue (Crore ₹)]]/Table1[[#This Row],[Doctors / Staff]]</f>
        <v>21.990147783251231</v>
      </c>
      <c r="J421">
        <v>22.15</v>
      </c>
      <c r="K421">
        <v>16540</v>
      </c>
      <c r="L421">
        <v>13.4</v>
      </c>
      <c r="M421">
        <v>49316</v>
      </c>
      <c r="N421">
        <v>22108</v>
      </c>
      <c r="O421">
        <v>6</v>
      </c>
      <c r="P421">
        <v>74</v>
      </c>
    </row>
    <row r="422" spans="1:16" x14ac:dyDescent="0.3">
      <c r="A422">
        <v>2022</v>
      </c>
      <c r="B422" t="s">
        <v>21</v>
      </c>
      <c r="C422" t="s">
        <v>27</v>
      </c>
      <c r="D422" t="s">
        <v>28</v>
      </c>
      <c r="E422" t="s">
        <v>23</v>
      </c>
      <c r="F422">
        <v>52286</v>
      </c>
      <c r="G422">
        <v>1262</v>
      </c>
      <c r="H422">
        <v>166953</v>
      </c>
      <c r="I422" s="11">
        <f>Table1[[#This Row],[Revenue (Crore ₹)]]/Table1[[#This Row],[Doctors / Staff]]</f>
        <v>132.29239302694137</v>
      </c>
      <c r="J422">
        <v>22.36</v>
      </c>
      <c r="K422">
        <v>16526</v>
      </c>
      <c r="L422">
        <v>12.3</v>
      </c>
      <c r="M422">
        <v>38623</v>
      </c>
      <c r="N422">
        <v>128330</v>
      </c>
      <c r="O422">
        <v>4</v>
      </c>
      <c r="P422">
        <v>79</v>
      </c>
    </row>
    <row r="423" spans="1:16" x14ac:dyDescent="0.3">
      <c r="A423">
        <v>2021</v>
      </c>
      <c r="B423" t="s">
        <v>36</v>
      </c>
      <c r="C423" t="s">
        <v>32</v>
      </c>
      <c r="D423" t="s">
        <v>17</v>
      </c>
      <c r="E423" t="s">
        <v>43</v>
      </c>
      <c r="F423">
        <v>19110</v>
      </c>
      <c r="G423">
        <v>2470</v>
      </c>
      <c r="H423">
        <v>85768</v>
      </c>
      <c r="I423" s="11">
        <f>Table1[[#This Row],[Revenue (Crore ₹)]]/Table1[[#This Row],[Doctors / Staff]]</f>
        <v>34.723886639676117</v>
      </c>
      <c r="J423">
        <v>14.77</v>
      </c>
      <c r="K423">
        <v>11538</v>
      </c>
      <c r="L423">
        <v>3.3</v>
      </c>
      <c r="M423">
        <v>14002</v>
      </c>
      <c r="N423">
        <v>71766</v>
      </c>
      <c r="O423">
        <v>0</v>
      </c>
      <c r="P423">
        <v>73</v>
      </c>
    </row>
    <row r="424" spans="1:16" x14ac:dyDescent="0.3">
      <c r="A424">
        <v>2024</v>
      </c>
      <c r="B424" t="s">
        <v>24</v>
      </c>
      <c r="C424" t="s">
        <v>40</v>
      </c>
      <c r="D424" t="s">
        <v>28</v>
      </c>
      <c r="E424" t="s">
        <v>38</v>
      </c>
      <c r="F424">
        <v>79028</v>
      </c>
      <c r="G424">
        <v>4304</v>
      </c>
      <c r="H424">
        <v>39175</v>
      </c>
      <c r="I424" s="11">
        <f>Table1[[#This Row],[Revenue (Crore ₹)]]/Table1[[#This Row],[Doctors / Staff]]</f>
        <v>9.101998141263941</v>
      </c>
      <c r="J424">
        <v>9.93</v>
      </c>
      <c r="K424">
        <v>3343</v>
      </c>
      <c r="L424">
        <v>4.8600000000000003</v>
      </c>
      <c r="M424">
        <v>42884</v>
      </c>
      <c r="N424">
        <v>-3709</v>
      </c>
      <c r="O424">
        <v>2</v>
      </c>
      <c r="P424">
        <v>72</v>
      </c>
    </row>
    <row r="425" spans="1:16" x14ac:dyDescent="0.3">
      <c r="A425">
        <v>2024</v>
      </c>
      <c r="B425" t="s">
        <v>36</v>
      </c>
      <c r="C425" t="s">
        <v>22</v>
      </c>
      <c r="D425" t="s">
        <v>17</v>
      </c>
      <c r="E425" t="s">
        <v>41</v>
      </c>
      <c r="F425">
        <v>30598</v>
      </c>
      <c r="G425">
        <v>3067</v>
      </c>
      <c r="H425">
        <v>118997</v>
      </c>
      <c r="I425" s="11">
        <f>Table1[[#This Row],[Revenue (Crore ₹)]]/Table1[[#This Row],[Doctors / Staff]]</f>
        <v>38.799152266058037</v>
      </c>
      <c r="J425">
        <v>19.37</v>
      </c>
      <c r="K425">
        <v>16244</v>
      </c>
      <c r="L425">
        <v>6.94</v>
      </c>
      <c r="M425">
        <v>3051</v>
      </c>
      <c r="N425">
        <v>115946</v>
      </c>
      <c r="O425">
        <v>20</v>
      </c>
      <c r="P425">
        <v>92</v>
      </c>
    </row>
    <row r="426" spans="1:16" x14ac:dyDescent="0.3">
      <c r="A426">
        <v>2023</v>
      </c>
      <c r="B426" t="s">
        <v>24</v>
      </c>
      <c r="C426" t="s">
        <v>29</v>
      </c>
      <c r="D426" t="s">
        <v>17</v>
      </c>
      <c r="E426" t="s">
        <v>30</v>
      </c>
      <c r="F426">
        <v>87936</v>
      </c>
      <c r="G426">
        <v>3706</v>
      </c>
      <c r="H426">
        <v>114123</v>
      </c>
      <c r="I426" s="11">
        <f>Table1[[#This Row],[Revenue (Crore ₹)]]/Table1[[#This Row],[Doctors / Staff]]</f>
        <v>30.794117647058822</v>
      </c>
      <c r="J426">
        <v>20.9</v>
      </c>
      <c r="K426">
        <v>10375</v>
      </c>
      <c r="L426">
        <v>3.46</v>
      </c>
      <c r="M426">
        <v>49741</v>
      </c>
      <c r="N426">
        <v>64382</v>
      </c>
      <c r="O426">
        <v>0</v>
      </c>
      <c r="P426">
        <v>94</v>
      </c>
    </row>
    <row r="427" spans="1:16" x14ac:dyDescent="0.3">
      <c r="A427">
        <v>2025</v>
      </c>
      <c r="B427" t="s">
        <v>24</v>
      </c>
      <c r="C427" t="s">
        <v>44</v>
      </c>
      <c r="D427" t="s">
        <v>28</v>
      </c>
      <c r="E427" t="s">
        <v>26</v>
      </c>
      <c r="F427">
        <v>33349</v>
      </c>
      <c r="G427">
        <v>2996</v>
      </c>
      <c r="H427">
        <v>22841</v>
      </c>
      <c r="I427" s="11">
        <f>Table1[[#This Row],[Revenue (Crore ₹)]]/Table1[[#This Row],[Doctors / Staff]]</f>
        <v>7.6238317757009346</v>
      </c>
      <c r="J427">
        <v>18.8</v>
      </c>
      <c r="K427">
        <v>7778</v>
      </c>
      <c r="L427">
        <v>10.26</v>
      </c>
      <c r="M427">
        <v>17462</v>
      </c>
      <c r="N427">
        <v>5379</v>
      </c>
      <c r="O427">
        <v>18</v>
      </c>
      <c r="P427">
        <v>83</v>
      </c>
    </row>
    <row r="428" spans="1:16" x14ac:dyDescent="0.3">
      <c r="A428">
        <v>2021</v>
      </c>
      <c r="B428" t="s">
        <v>34</v>
      </c>
      <c r="C428" t="s">
        <v>35</v>
      </c>
      <c r="D428" t="s">
        <v>17</v>
      </c>
      <c r="E428" t="s">
        <v>41</v>
      </c>
      <c r="F428">
        <v>98118</v>
      </c>
      <c r="G428">
        <v>3221</v>
      </c>
      <c r="H428">
        <v>81244</v>
      </c>
      <c r="I428" s="11">
        <f>Table1[[#This Row],[Revenue (Crore ₹)]]/Table1[[#This Row],[Doctors / Staff]]</f>
        <v>25.223222601676497</v>
      </c>
      <c r="J428">
        <v>13.8</v>
      </c>
      <c r="K428">
        <v>1468</v>
      </c>
      <c r="L428">
        <v>5.75</v>
      </c>
      <c r="M428">
        <v>15227</v>
      </c>
      <c r="N428">
        <v>66017</v>
      </c>
      <c r="O428">
        <v>12</v>
      </c>
      <c r="P428">
        <v>97</v>
      </c>
    </row>
    <row r="429" spans="1:16" x14ac:dyDescent="0.3">
      <c r="A429">
        <v>2024</v>
      </c>
      <c r="B429" t="s">
        <v>21</v>
      </c>
      <c r="C429" t="s">
        <v>29</v>
      </c>
      <c r="D429" t="s">
        <v>17</v>
      </c>
      <c r="E429" t="s">
        <v>31</v>
      </c>
      <c r="F429">
        <v>25721</v>
      </c>
      <c r="G429">
        <v>4557</v>
      </c>
      <c r="H429">
        <v>132277</v>
      </c>
      <c r="I429" s="11">
        <f>Table1[[#This Row],[Revenue (Crore ₹)]]/Table1[[#This Row],[Doctors / Staff]]</f>
        <v>29.027210884353742</v>
      </c>
      <c r="J429">
        <v>8.25</v>
      </c>
      <c r="K429">
        <v>18432</v>
      </c>
      <c r="L429">
        <v>11.21</v>
      </c>
      <c r="M429">
        <v>4565</v>
      </c>
      <c r="N429">
        <v>127712</v>
      </c>
      <c r="O429">
        <v>6</v>
      </c>
      <c r="P429">
        <v>72</v>
      </c>
    </row>
    <row r="430" spans="1:16" x14ac:dyDescent="0.3">
      <c r="A430">
        <v>2023</v>
      </c>
      <c r="B430" t="s">
        <v>19</v>
      </c>
      <c r="C430" t="s">
        <v>22</v>
      </c>
      <c r="D430" t="s">
        <v>17</v>
      </c>
      <c r="E430" t="s">
        <v>41</v>
      </c>
      <c r="F430">
        <v>52065</v>
      </c>
      <c r="G430">
        <v>541</v>
      </c>
      <c r="H430">
        <v>159986</v>
      </c>
      <c r="I430" s="11">
        <f>Table1[[#This Row],[Revenue (Crore ₹)]]/Table1[[#This Row],[Doctors / Staff]]</f>
        <v>295.72273567467653</v>
      </c>
      <c r="J430">
        <v>15.83</v>
      </c>
      <c r="K430">
        <v>12520</v>
      </c>
      <c r="L430">
        <v>4.16</v>
      </c>
      <c r="M430">
        <v>42131</v>
      </c>
      <c r="N430">
        <v>117855</v>
      </c>
      <c r="O430">
        <v>9</v>
      </c>
      <c r="P430">
        <v>90</v>
      </c>
    </row>
    <row r="431" spans="1:16" x14ac:dyDescent="0.3">
      <c r="A431">
        <v>2020</v>
      </c>
      <c r="B431" t="s">
        <v>19</v>
      </c>
      <c r="C431" t="s">
        <v>35</v>
      </c>
      <c r="D431" t="s">
        <v>17</v>
      </c>
      <c r="E431" t="s">
        <v>30</v>
      </c>
      <c r="F431">
        <v>71311</v>
      </c>
      <c r="G431">
        <v>4200</v>
      </c>
      <c r="H431">
        <v>36115</v>
      </c>
      <c r="I431" s="11">
        <f>Table1[[#This Row],[Revenue (Crore ₹)]]/Table1[[#This Row],[Doctors / Staff]]</f>
        <v>8.598809523809523</v>
      </c>
      <c r="J431">
        <v>24.89</v>
      </c>
      <c r="K431">
        <v>9287</v>
      </c>
      <c r="L431">
        <v>12.92</v>
      </c>
      <c r="M431">
        <v>27432</v>
      </c>
      <c r="N431">
        <v>8683</v>
      </c>
      <c r="O431">
        <v>8</v>
      </c>
      <c r="P431">
        <v>87</v>
      </c>
    </row>
    <row r="432" spans="1:16" x14ac:dyDescent="0.3">
      <c r="A432">
        <v>2023</v>
      </c>
      <c r="B432" t="s">
        <v>21</v>
      </c>
      <c r="C432" t="s">
        <v>16</v>
      </c>
      <c r="D432" t="s">
        <v>17</v>
      </c>
      <c r="E432" t="s">
        <v>26</v>
      </c>
      <c r="F432">
        <v>87318</v>
      </c>
      <c r="G432">
        <v>3915</v>
      </c>
      <c r="H432">
        <v>52748</v>
      </c>
      <c r="I432" s="11">
        <f>Table1[[#This Row],[Revenue (Crore ₹)]]/Table1[[#This Row],[Doctors / Staff]]</f>
        <v>13.473307790549169</v>
      </c>
      <c r="J432">
        <v>15.2</v>
      </c>
      <c r="K432">
        <v>15038</v>
      </c>
      <c r="L432">
        <v>1.07</v>
      </c>
      <c r="M432">
        <v>11399</v>
      </c>
      <c r="N432">
        <v>41349</v>
      </c>
      <c r="O432">
        <v>2</v>
      </c>
      <c r="P432">
        <v>93</v>
      </c>
    </row>
    <row r="433" spans="1:16" x14ac:dyDescent="0.3">
      <c r="A433">
        <v>2021</v>
      </c>
      <c r="B433" t="s">
        <v>33</v>
      </c>
      <c r="C433" t="s">
        <v>20</v>
      </c>
      <c r="D433" t="s">
        <v>17</v>
      </c>
      <c r="E433" t="s">
        <v>26</v>
      </c>
      <c r="F433">
        <v>56410</v>
      </c>
      <c r="G433">
        <v>3261</v>
      </c>
      <c r="H433">
        <v>72332</v>
      </c>
      <c r="I433" s="11">
        <f>Table1[[#This Row],[Revenue (Crore ₹)]]/Table1[[#This Row],[Doctors / Staff]]</f>
        <v>22.180926096289483</v>
      </c>
      <c r="J433">
        <v>18.95</v>
      </c>
      <c r="K433">
        <v>13817</v>
      </c>
      <c r="L433">
        <v>8.4499999999999993</v>
      </c>
      <c r="M433">
        <v>23251</v>
      </c>
      <c r="N433">
        <v>49081</v>
      </c>
      <c r="O433">
        <v>16</v>
      </c>
      <c r="P433">
        <v>99</v>
      </c>
    </row>
    <row r="434" spans="1:16" x14ac:dyDescent="0.3">
      <c r="A434">
        <v>2022</v>
      </c>
      <c r="B434" t="s">
        <v>33</v>
      </c>
      <c r="C434" t="s">
        <v>20</v>
      </c>
      <c r="D434" t="s">
        <v>17</v>
      </c>
      <c r="E434" t="s">
        <v>18</v>
      </c>
      <c r="F434">
        <v>30851</v>
      </c>
      <c r="G434">
        <v>2278</v>
      </c>
      <c r="H434">
        <v>197303</v>
      </c>
      <c r="I434" s="11">
        <f>Table1[[#This Row],[Revenue (Crore ₹)]]/Table1[[#This Row],[Doctors / Staff]]</f>
        <v>86.612379280070243</v>
      </c>
      <c r="J434">
        <v>9.15</v>
      </c>
      <c r="K434">
        <v>7452</v>
      </c>
      <c r="L434">
        <v>11.96</v>
      </c>
      <c r="M434">
        <v>17034</v>
      </c>
      <c r="N434">
        <v>180269</v>
      </c>
      <c r="O434">
        <v>0</v>
      </c>
      <c r="P434">
        <v>79</v>
      </c>
    </row>
    <row r="435" spans="1:16" x14ac:dyDescent="0.3">
      <c r="A435">
        <v>2022</v>
      </c>
      <c r="B435" t="s">
        <v>19</v>
      </c>
      <c r="C435" t="s">
        <v>40</v>
      </c>
      <c r="D435" t="s">
        <v>28</v>
      </c>
      <c r="E435" t="s">
        <v>18</v>
      </c>
      <c r="F435">
        <v>78799</v>
      </c>
      <c r="G435">
        <v>2037</v>
      </c>
      <c r="H435">
        <v>191448</v>
      </c>
      <c r="I435" s="11">
        <f>Table1[[#This Row],[Revenue (Crore ₹)]]/Table1[[#This Row],[Doctors / Staff]]</f>
        <v>93.985272459499257</v>
      </c>
      <c r="J435">
        <v>7.03</v>
      </c>
      <c r="K435">
        <v>8243</v>
      </c>
      <c r="L435">
        <v>10.38</v>
      </c>
      <c r="M435">
        <v>10802</v>
      </c>
      <c r="N435">
        <v>180646</v>
      </c>
      <c r="O435">
        <v>15</v>
      </c>
      <c r="P435">
        <v>75</v>
      </c>
    </row>
    <row r="436" spans="1:16" x14ac:dyDescent="0.3">
      <c r="A436">
        <v>2020</v>
      </c>
      <c r="B436" t="s">
        <v>19</v>
      </c>
      <c r="C436" t="s">
        <v>25</v>
      </c>
      <c r="D436" t="s">
        <v>17</v>
      </c>
      <c r="E436" t="s">
        <v>43</v>
      </c>
      <c r="F436">
        <v>64175</v>
      </c>
      <c r="G436">
        <v>2769</v>
      </c>
      <c r="H436">
        <v>156041</v>
      </c>
      <c r="I436" s="11">
        <f>Table1[[#This Row],[Revenue (Crore ₹)]]/Table1[[#This Row],[Doctors / Staff]]</f>
        <v>56.352834958468762</v>
      </c>
      <c r="J436">
        <v>4.16</v>
      </c>
      <c r="K436">
        <v>15194</v>
      </c>
      <c r="L436">
        <v>13.11</v>
      </c>
      <c r="M436">
        <v>191</v>
      </c>
      <c r="N436">
        <v>155850</v>
      </c>
      <c r="O436">
        <v>17</v>
      </c>
      <c r="P436">
        <v>97</v>
      </c>
    </row>
    <row r="437" spans="1:16" x14ac:dyDescent="0.3">
      <c r="A437">
        <v>2020</v>
      </c>
      <c r="B437" t="s">
        <v>36</v>
      </c>
      <c r="C437" t="s">
        <v>16</v>
      </c>
      <c r="D437" t="s">
        <v>17</v>
      </c>
      <c r="E437" t="s">
        <v>26</v>
      </c>
      <c r="F437">
        <v>98959</v>
      </c>
      <c r="G437">
        <v>3112</v>
      </c>
      <c r="H437">
        <v>26138</v>
      </c>
      <c r="I437" s="11">
        <f>Table1[[#This Row],[Revenue (Crore ₹)]]/Table1[[#This Row],[Doctors / Staff]]</f>
        <v>8.3991002570694082</v>
      </c>
      <c r="J437">
        <v>22.91</v>
      </c>
      <c r="K437">
        <v>4212</v>
      </c>
      <c r="L437">
        <v>9.83</v>
      </c>
      <c r="M437">
        <v>3130</v>
      </c>
      <c r="N437">
        <v>23008</v>
      </c>
      <c r="O437">
        <v>7</v>
      </c>
      <c r="P437">
        <v>84</v>
      </c>
    </row>
    <row r="438" spans="1:16" x14ac:dyDescent="0.3">
      <c r="A438">
        <v>2021</v>
      </c>
      <c r="B438" t="s">
        <v>24</v>
      </c>
      <c r="C438" t="s">
        <v>40</v>
      </c>
      <c r="D438" t="s">
        <v>28</v>
      </c>
      <c r="E438" t="s">
        <v>18</v>
      </c>
      <c r="F438">
        <v>12413</v>
      </c>
      <c r="G438">
        <v>2696</v>
      </c>
      <c r="H438">
        <v>26865</v>
      </c>
      <c r="I438" s="11">
        <f>Table1[[#This Row],[Revenue (Crore ₹)]]/Table1[[#This Row],[Doctors / Staff]]</f>
        <v>9.9647626112759635</v>
      </c>
      <c r="J438">
        <v>12.54</v>
      </c>
      <c r="K438">
        <v>8132</v>
      </c>
      <c r="L438">
        <v>3.19</v>
      </c>
      <c r="M438">
        <v>8231</v>
      </c>
      <c r="N438">
        <v>18634</v>
      </c>
      <c r="O438">
        <v>5</v>
      </c>
      <c r="P438">
        <v>74</v>
      </c>
    </row>
    <row r="439" spans="1:16" x14ac:dyDescent="0.3">
      <c r="A439">
        <v>2020</v>
      </c>
      <c r="B439" t="s">
        <v>19</v>
      </c>
      <c r="C439" t="s">
        <v>32</v>
      </c>
      <c r="D439" t="s">
        <v>17</v>
      </c>
      <c r="E439" t="s">
        <v>31</v>
      </c>
      <c r="F439">
        <v>6895</v>
      </c>
      <c r="G439">
        <v>2404</v>
      </c>
      <c r="H439">
        <v>178835</v>
      </c>
      <c r="I439" s="11">
        <f>Table1[[#This Row],[Revenue (Crore ₹)]]/Table1[[#This Row],[Doctors / Staff]]</f>
        <v>74.390599001663887</v>
      </c>
      <c r="J439">
        <v>17.579999999999998</v>
      </c>
      <c r="K439">
        <v>4394</v>
      </c>
      <c r="L439">
        <v>13.65</v>
      </c>
      <c r="M439">
        <v>30075</v>
      </c>
      <c r="N439">
        <v>148760</v>
      </c>
      <c r="O439">
        <v>15</v>
      </c>
      <c r="P439">
        <v>70</v>
      </c>
    </row>
    <row r="440" spans="1:16" x14ac:dyDescent="0.3">
      <c r="A440">
        <v>2023</v>
      </c>
      <c r="B440" t="s">
        <v>39</v>
      </c>
      <c r="C440" t="s">
        <v>27</v>
      </c>
      <c r="D440" t="s">
        <v>28</v>
      </c>
      <c r="E440" t="s">
        <v>31</v>
      </c>
      <c r="F440">
        <v>30616</v>
      </c>
      <c r="G440">
        <v>2087</v>
      </c>
      <c r="H440">
        <v>116591</v>
      </c>
      <c r="I440" s="11">
        <f>Table1[[#This Row],[Revenue (Crore ₹)]]/Table1[[#This Row],[Doctors / Staff]]</f>
        <v>55.865356971729753</v>
      </c>
      <c r="J440">
        <v>21.48</v>
      </c>
      <c r="K440">
        <v>11348</v>
      </c>
      <c r="L440">
        <v>1.1599999999999999</v>
      </c>
      <c r="M440">
        <v>12857</v>
      </c>
      <c r="N440">
        <v>103734</v>
      </c>
      <c r="O440">
        <v>1</v>
      </c>
      <c r="P440">
        <v>95</v>
      </c>
    </row>
    <row r="441" spans="1:16" x14ac:dyDescent="0.3">
      <c r="A441">
        <v>2024</v>
      </c>
      <c r="B441" t="s">
        <v>15</v>
      </c>
      <c r="C441" t="s">
        <v>29</v>
      </c>
      <c r="D441" t="s">
        <v>17</v>
      </c>
      <c r="E441" t="s">
        <v>23</v>
      </c>
      <c r="F441">
        <v>80118</v>
      </c>
      <c r="G441">
        <v>3174</v>
      </c>
      <c r="H441">
        <v>35154</v>
      </c>
      <c r="I441" s="11">
        <f>Table1[[#This Row],[Revenue (Crore ₹)]]/Table1[[#This Row],[Doctors / Staff]]</f>
        <v>11.075614366729679</v>
      </c>
      <c r="J441">
        <v>3.66</v>
      </c>
      <c r="K441">
        <v>14331</v>
      </c>
      <c r="L441">
        <v>10.44</v>
      </c>
      <c r="M441">
        <v>32173</v>
      </c>
      <c r="N441">
        <v>2981</v>
      </c>
      <c r="O441">
        <v>5</v>
      </c>
      <c r="P441">
        <v>87</v>
      </c>
    </row>
    <row r="442" spans="1:16" x14ac:dyDescent="0.3">
      <c r="A442">
        <v>2021</v>
      </c>
      <c r="B442" t="s">
        <v>21</v>
      </c>
      <c r="C442" t="s">
        <v>16</v>
      </c>
      <c r="D442" t="s">
        <v>17</v>
      </c>
      <c r="E442" t="s">
        <v>41</v>
      </c>
      <c r="F442">
        <v>27657</v>
      </c>
      <c r="G442">
        <v>2449</v>
      </c>
      <c r="H442">
        <v>110910</v>
      </c>
      <c r="I442" s="11">
        <f>Table1[[#This Row],[Revenue (Crore ₹)]]/Table1[[#This Row],[Doctors / Staff]]</f>
        <v>45.287872601061657</v>
      </c>
      <c r="J442">
        <v>22.24</v>
      </c>
      <c r="K442">
        <v>17869</v>
      </c>
      <c r="L442">
        <v>12.44</v>
      </c>
      <c r="M442">
        <v>32000</v>
      </c>
      <c r="N442">
        <v>78910</v>
      </c>
      <c r="O442">
        <v>15</v>
      </c>
      <c r="P442">
        <v>93</v>
      </c>
    </row>
    <row r="443" spans="1:16" x14ac:dyDescent="0.3">
      <c r="A443">
        <v>2022</v>
      </c>
      <c r="B443" t="s">
        <v>34</v>
      </c>
      <c r="C443" t="s">
        <v>20</v>
      </c>
      <c r="D443" t="s">
        <v>17</v>
      </c>
      <c r="E443" t="s">
        <v>31</v>
      </c>
      <c r="F443">
        <v>72641</v>
      </c>
      <c r="G443">
        <v>1089</v>
      </c>
      <c r="H443">
        <v>8891</v>
      </c>
      <c r="I443" s="11">
        <f>Table1[[#This Row],[Revenue (Crore ₹)]]/Table1[[#This Row],[Doctors / Staff]]</f>
        <v>8.1643709825527999</v>
      </c>
      <c r="J443">
        <v>13.04</v>
      </c>
      <c r="K443">
        <v>12893</v>
      </c>
      <c r="L443">
        <v>11.32</v>
      </c>
      <c r="M443">
        <v>44198</v>
      </c>
      <c r="N443">
        <v>-35307</v>
      </c>
      <c r="O443">
        <v>10</v>
      </c>
      <c r="P443">
        <v>73</v>
      </c>
    </row>
    <row r="444" spans="1:16" x14ac:dyDescent="0.3">
      <c r="A444">
        <v>2024</v>
      </c>
      <c r="B444" t="s">
        <v>34</v>
      </c>
      <c r="C444" t="s">
        <v>40</v>
      </c>
      <c r="D444" t="s">
        <v>28</v>
      </c>
      <c r="E444" t="s">
        <v>41</v>
      </c>
      <c r="F444">
        <v>73941</v>
      </c>
      <c r="G444">
        <v>2592</v>
      </c>
      <c r="H444">
        <v>91654</v>
      </c>
      <c r="I444" s="11">
        <f>Table1[[#This Row],[Revenue (Crore ₹)]]/Table1[[#This Row],[Doctors / Staff]]</f>
        <v>35.360339506172842</v>
      </c>
      <c r="J444">
        <v>4.97</v>
      </c>
      <c r="K444">
        <v>17838</v>
      </c>
      <c r="L444">
        <v>13.36</v>
      </c>
      <c r="M444">
        <v>21259</v>
      </c>
      <c r="N444">
        <v>70395</v>
      </c>
      <c r="O444">
        <v>15</v>
      </c>
      <c r="P444">
        <v>87</v>
      </c>
    </row>
    <row r="445" spans="1:16" x14ac:dyDescent="0.3">
      <c r="A445">
        <v>2020</v>
      </c>
      <c r="B445" t="s">
        <v>19</v>
      </c>
      <c r="C445" t="s">
        <v>42</v>
      </c>
      <c r="D445" t="s">
        <v>28</v>
      </c>
      <c r="E445" t="s">
        <v>43</v>
      </c>
      <c r="F445">
        <v>45534</v>
      </c>
      <c r="G445">
        <v>4417</v>
      </c>
      <c r="H445">
        <v>49213</v>
      </c>
      <c r="I445" s="11">
        <f>Table1[[#This Row],[Revenue (Crore ₹)]]/Table1[[#This Row],[Doctors / Staff]]</f>
        <v>11.141725152818655</v>
      </c>
      <c r="J445">
        <v>13.13</v>
      </c>
      <c r="K445">
        <v>852</v>
      </c>
      <c r="L445">
        <v>11.78</v>
      </c>
      <c r="M445">
        <v>48814</v>
      </c>
      <c r="N445">
        <v>399</v>
      </c>
      <c r="O445">
        <v>18</v>
      </c>
      <c r="P445">
        <v>91</v>
      </c>
    </row>
    <row r="446" spans="1:16" x14ac:dyDescent="0.3">
      <c r="A446">
        <v>2022</v>
      </c>
      <c r="B446" t="s">
        <v>39</v>
      </c>
      <c r="C446" t="s">
        <v>22</v>
      </c>
      <c r="D446" t="s">
        <v>17</v>
      </c>
      <c r="E446" t="s">
        <v>26</v>
      </c>
      <c r="F446">
        <v>70686</v>
      </c>
      <c r="G446">
        <v>4940</v>
      </c>
      <c r="H446">
        <v>118124</v>
      </c>
      <c r="I446" s="11">
        <f>Table1[[#This Row],[Revenue (Crore ₹)]]/Table1[[#This Row],[Doctors / Staff]]</f>
        <v>23.911740890688257</v>
      </c>
      <c r="J446">
        <v>19.38</v>
      </c>
      <c r="K446">
        <v>6879</v>
      </c>
      <c r="L446">
        <v>11.32</v>
      </c>
      <c r="M446">
        <v>22597</v>
      </c>
      <c r="N446">
        <v>95527</v>
      </c>
      <c r="O446">
        <v>20</v>
      </c>
      <c r="P446">
        <v>72</v>
      </c>
    </row>
    <row r="447" spans="1:16" x14ac:dyDescent="0.3">
      <c r="A447">
        <v>2025</v>
      </c>
      <c r="B447" t="s">
        <v>21</v>
      </c>
      <c r="C447" t="s">
        <v>44</v>
      </c>
      <c r="D447" t="s">
        <v>28</v>
      </c>
      <c r="E447" t="s">
        <v>30</v>
      </c>
      <c r="F447">
        <v>88062</v>
      </c>
      <c r="G447">
        <v>1063</v>
      </c>
      <c r="H447">
        <v>164865</v>
      </c>
      <c r="I447" s="11">
        <f>Table1[[#This Row],[Revenue (Crore ₹)]]/Table1[[#This Row],[Doctors / Staff]]</f>
        <v>155.09407337723425</v>
      </c>
      <c r="J447">
        <v>4.53</v>
      </c>
      <c r="K447">
        <v>14657</v>
      </c>
      <c r="L447">
        <v>3.23</v>
      </c>
      <c r="M447">
        <v>37067</v>
      </c>
      <c r="N447">
        <v>127798</v>
      </c>
      <c r="O447">
        <v>9</v>
      </c>
      <c r="P447">
        <v>76</v>
      </c>
    </row>
    <row r="448" spans="1:16" x14ac:dyDescent="0.3">
      <c r="A448">
        <v>2020</v>
      </c>
      <c r="B448" t="s">
        <v>34</v>
      </c>
      <c r="C448" t="s">
        <v>29</v>
      </c>
      <c r="D448" t="s">
        <v>17</v>
      </c>
      <c r="E448" t="s">
        <v>30</v>
      </c>
      <c r="F448">
        <v>35741</v>
      </c>
      <c r="G448">
        <v>2108</v>
      </c>
      <c r="H448">
        <v>6213</v>
      </c>
      <c r="I448" s="11">
        <f>Table1[[#This Row],[Revenue (Crore ₹)]]/Table1[[#This Row],[Doctors / Staff]]</f>
        <v>2.9473434535104364</v>
      </c>
      <c r="J448">
        <v>24.53</v>
      </c>
      <c r="K448">
        <v>14200</v>
      </c>
      <c r="L448">
        <v>8.4700000000000006</v>
      </c>
      <c r="M448">
        <v>26520</v>
      </c>
      <c r="N448">
        <v>-20307</v>
      </c>
      <c r="O448">
        <v>13</v>
      </c>
      <c r="P448">
        <v>89</v>
      </c>
    </row>
    <row r="449" spans="1:16" x14ac:dyDescent="0.3">
      <c r="A449">
        <v>2025</v>
      </c>
      <c r="B449" t="s">
        <v>34</v>
      </c>
      <c r="C449" t="s">
        <v>40</v>
      </c>
      <c r="D449" t="s">
        <v>28</v>
      </c>
      <c r="E449" t="s">
        <v>18</v>
      </c>
      <c r="F449">
        <v>72990</v>
      </c>
      <c r="G449">
        <v>3893</v>
      </c>
      <c r="H449">
        <v>136760</v>
      </c>
      <c r="I449" s="11">
        <f>Table1[[#This Row],[Revenue (Crore ₹)]]/Table1[[#This Row],[Doctors / Staff]]</f>
        <v>35.129720010274852</v>
      </c>
      <c r="J449">
        <v>7.94</v>
      </c>
      <c r="K449">
        <v>10719</v>
      </c>
      <c r="L449">
        <v>1.67</v>
      </c>
      <c r="M449">
        <v>23214</v>
      </c>
      <c r="N449">
        <v>113546</v>
      </c>
      <c r="O449">
        <v>8</v>
      </c>
      <c r="P449">
        <v>95</v>
      </c>
    </row>
    <row r="450" spans="1:16" x14ac:dyDescent="0.3">
      <c r="A450">
        <v>2025</v>
      </c>
      <c r="B450" t="s">
        <v>33</v>
      </c>
      <c r="C450" t="s">
        <v>35</v>
      </c>
      <c r="D450" t="s">
        <v>17</v>
      </c>
      <c r="E450" t="s">
        <v>18</v>
      </c>
      <c r="F450">
        <v>62831</v>
      </c>
      <c r="G450">
        <v>4532</v>
      </c>
      <c r="H450">
        <v>107348</v>
      </c>
      <c r="I450" s="11">
        <f>Table1[[#This Row],[Revenue (Crore ₹)]]/Table1[[#This Row],[Doctors / Staff]]</f>
        <v>23.68667255075022</v>
      </c>
      <c r="J450">
        <v>13.46</v>
      </c>
      <c r="K450">
        <v>3323</v>
      </c>
      <c r="L450">
        <v>10.63</v>
      </c>
      <c r="M450">
        <v>24888</v>
      </c>
      <c r="N450">
        <v>82460</v>
      </c>
      <c r="O450">
        <v>15</v>
      </c>
      <c r="P450">
        <v>94</v>
      </c>
    </row>
    <row r="451" spans="1:16" x14ac:dyDescent="0.3">
      <c r="A451">
        <v>2020</v>
      </c>
      <c r="B451" t="s">
        <v>36</v>
      </c>
      <c r="C451" t="s">
        <v>35</v>
      </c>
      <c r="D451" t="s">
        <v>17</v>
      </c>
      <c r="E451" t="s">
        <v>30</v>
      </c>
      <c r="F451">
        <v>39811</v>
      </c>
      <c r="G451">
        <v>1414</v>
      </c>
      <c r="H451">
        <v>181656</v>
      </c>
      <c r="I451" s="11">
        <f>Table1[[#This Row],[Revenue (Crore ₹)]]/Table1[[#This Row],[Doctors / Staff]]</f>
        <v>128.46958981612448</v>
      </c>
      <c r="J451">
        <v>19.72</v>
      </c>
      <c r="K451">
        <v>12752</v>
      </c>
      <c r="L451">
        <v>12.55</v>
      </c>
      <c r="M451">
        <v>20670</v>
      </c>
      <c r="N451">
        <v>160986</v>
      </c>
      <c r="O451">
        <v>19</v>
      </c>
      <c r="P451">
        <v>79</v>
      </c>
    </row>
    <row r="452" spans="1:16" x14ac:dyDescent="0.3">
      <c r="A452">
        <v>2020</v>
      </c>
      <c r="B452" t="s">
        <v>15</v>
      </c>
      <c r="C452" t="s">
        <v>32</v>
      </c>
      <c r="D452" t="s">
        <v>17</v>
      </c>
      <c r="E452" t="s">
        <v>41</v>
      </c>
      <c r="F452">
        <v>58852</v>
      </c>
      <c r="G452">
        <v>3118</v>
      </c>
      <c r="H452">
        <v>198442</v>
      </c>
      <c r="I452" s="11">
        <f>Table1[[#This Row],[Revenue (Crore ₹)]]/Table1[[#This Row],[Doctors / Staff]]</f>
        <v>63.644002565747272</v>
      </c>
      <c r="J452">
        <v>20.53</v>
      </c>
      <c r="K452">
        <v>12816</v>
      </c>
      <c r="L452">
        <v>2.4700000000000002</v>
      </c>
      <c r="M452">
        <v>29694</v>
      </c>
      <c r="N452">
        <v>168748</v>
      </c>
      <c r="O452">
        <v>12</v>
      </c>
      <c r="P452">
        <v>78</v>
      </c>
    </row>
    <row r="453" spans="1:16" x14ac:dyDescent="0.3">
      <c r="A453">
        <v>2025</v>
      </c>
      <c r="B453" t="s">
        <v>21</v>
      </c>
      <c r="C453" t="s">
        <v>20</v>
      </c>
      <c r="D453" t="s">
        <v>17</v>
      </c>
      <c r="E453" t="s">
        <v>31</v>
      </c>
      <c r="F453">
        <v>10709</v>
      </c>
      <c r="G453">
        <v>2374</v>
      </c>
      <c r="H453">
        <v>88408</v>
      </c>
      <c r="I453" s="11">
        <f>Table1[[#This Row],[Revenue (Crore ₹)]]/Table1[[#This Row],[Doctors / Staff]]</f>
        <v>37.240101095197979</v>
      </c>
      <c r="J453">
        <v>23</v>
      </c>
      <c r="K453">
        <v>16221</v>
      </c>
      <c r="L453">
        <v>2.77</v>
      </c>
      <c r="M453">
        <v>9177</v>
      </c>
      <c r="N453">
        <v>79231</v>
      </c>
      <c r="O453">
        <v>6</v>
      </c>
      <c r="P453">
        <v>91</v>
      </c>
    </row>
    <row r="454" spans="1:16" x14ac:dyDescent="0.3">
      <c r="A454">
        <v>2021</v>
      </c>
      <c r="B454" t="s">
        <v>24</v>
      </c>
      <c r="C454" t="s">
        <v>32</v>
      </c>
      <c r="D454" t="s">
        <v>17</v>
      </c>
      <c r="E454" t="s">
        <v>30</v>
      </c>
      <c r="F454">
        <v>72043</v>
      </c>
      <c r="G454">
        <v>4051</v>
      </c>
      <c r="H454">
        <v>32036</v>
      </c>
      <c r="I454" s="11">
        <f>Table1[[#This Row],[Revenue (Crore ₹)]]/Table1[[#This Row],[Doctors / Staff]]</f>
        <v>7.9081708220192546</v>
      </c>
      <c r="J454">
        <v>20.12</v>
      </c>
      <c r="K454">
        <v>2295</v>
      </c>
      <c r="L454">
        <v>7.36</v>
      </c>
      <c r="M454">
        <v>37444</v>
      </c>
      <c r="N454">
        <v>-5408</v>
      </c>
      <c r="O454">
        <v>2</v>
      </c>
      <c r="P454">
        <v>74</v>
      </c>
    </row>
    <row r="455" spans="1:16" x14ac:dyDescent="0.3">
      <c r="A455">
        <v>2022</v>
      </c>
      <c r="B455" t="s">
        <v>21</v>
      </c>
      <c r="C455" t="s">
        <v>35</v>
      </c>
      <c r="D455" t="s">
        <v>17</v>
      </c>
      <c r="E455" t="s">
        <v>30</v>
      </c>
      <c r="F455">
        <v>74956</v>
      </c>
      <c r="G455">
        <v>4960</v>
      </c>
      <c r="H455">
        <v>28712</v>
      </c>
      <c r="I455" s="11">
        <f>Table1[[#This Row],[Revenue (Crore ₹)]]/Table1[[#This Row],[Doctors / Staff]]</f>
        <v>5.7887096774193552</v>
      </c>
      <c r="J455">
        <v>12.31</v>
      </c>
      <c r="K455">
        <v>7085</v>
      </c>
      <c r="L455">
        <v>5.35</v>
      </c>
      <c r="M455">
        <v>11016</v>
      </c>
      <c r="N455">
        <v>17696</v>
      </c>
      <c r="O455">
        <v>15</v>
      </c>
      <c r="P455">
        <v>72</v>
      </c>
    </row>
    <row r="456" spans="1:16" x14ac:dyDescent="0.3">
      <c r="A456">
        <v>2020</v>
      </c>
      <c r="B456" t="s">
        <v>21</v>
      </c>
      <c r="C456" t="s">
        <v>44</v>
      </c>
      <c r="D456" t="s">
        <v>28</v>
      </c>
      <c r="E456" t="s">
        <v>43</v>
      </c>
      <c r="F456">
        <v>60041</v>
      </c>
      <c r="G456">
        <v>3043</v>
      </c>
      <c r="H456">
        <v>151030</v>
      </c>
      <c r="I456" s="11">
        <f>Table1[[#This Row],[Revenue (Crore ₹)]]/Table1[[#This Row],[Doctors / Staff]]</f>
        <v>49.631942162339797</v>
      </c>
      <c r="J456">
        <v>22.53</v>
      </c>
      <c r="K456">
        <v>18730</v>
      </c>
      <c r="L456">
        <v>8.39</v>
      </c>
      <c r="M456">
        <v>4598</v>
      </c>
      <c r="N456">
        <v>146432</v>
      </c>
      <c r="O456">
        <v>19</v>
      </c>
      <c r="P456">
        <v>70</v>
      </c>
    </row>
    <row r="457" spans="1:16" x14ac:dyDescent="0.3">
      <c r="A457">
        <v>2020</v>
      </c>
      <c r="B457" t="s">
        <v>24</v>
      </c>
      <c r="C457" t="s">
        <v>37</v>
      </c>
      <c r="D457" t="s">
        <v>17</v>
      </c>
      <c r="E457" t="s">
        <v>38</v>
      </c>
      <c r="F457">
        <v>66322</v>
      </c>
      <c r="G457">
        <v>4207</v>
      </c>
      <c r="H457">
        <v>20607</v>
      </c>
      <c r="I457" s="11">
        <f>Table1[[#This Row],[Revenue (Crore ₹)]]/Table1[[#This Row],[Doctors / Staff]]</f>
        <v>4.8982647967672923</v>
      </c>
      <c r="J457">
        <v>16.41</v>
      </c>
      <c r="K457">
        <v>2689</v>
      </c>
      <c r="L457">
        <v>8.8800000000000008</v>
      </c>
      <c r="M457">
        <v>44043</v>
      </c>
      <c r="N457">
        <v>-23436</v>
      </c>
      <c r="O457">
        <v>8</v>
      </c>
      <c r="P457">
        <v>82</v>
      </c>
    </row>
    <row r="458" spans="1:16" x14ac:dyDescent="0.3">
      <c r="A458">
        <v>2023</v>
      </c>
      <c r="B458" t="s">
        <v>19</v>
      </c>
      <c r="C458" t="s">
        <v>16</v>
      </c>
      <c r="D458" t="s">
        <v>17</v>
      </c>
      <c r="E458" t="s">
        <v>38</v>
      </c>
      <c r="F458">
        <v>94177</v>
      </c>
      <c r="G458">
        <v>2963</v>
      </c>
      <c r="H458">
        <v>112922</v>
      </c>
      <c r="I458" s="11">
        <f>Table1[[#This Row],[Revenue (Crore ₹)]]/Table1[[#This Row],[Doctors / Staff]]</f>
        <v>38.1106986162673</v>
      </c>
      <c r="J458">
        <v>10.83</v>
      </c>
      <c r="K458">
        <v>7366</v>
      </c>
      <c r="L458">
        <v>10.94</v>
      </c>
      <c r="M458">
        <v>8060</v>
      </c>
      <c r="N458">
        <v>104862</v>
      </c>
      <c r="O458">
        <v>9</v>
      </c>
      <c r="P458">
        <v>86</v>
      </c>
    </row>
    <row r="459" spans="1:16" x14ac:dyDescent="0.3">
      <c r="A459">
        <v>2025</v>
      </c>
      <c r="B459" t="s">
        <v>19</v>
      </c>
      <c r="C459" t="s">
        <v>22</v>
      </c>
      <c r="D459" t="s">
        <v>17</v>
      </c>
      <c r="E459" t="s">
        <v>41</v>
      </c>
      <c r="F459">
        <v>20634</v>
      </c>
      <c r="G459">
        <v>2719</v>
      </c>
      <c r="H459">
        <v>62412</v>
      </c>
      <c r="I459" s="11">
        <f>Table1[[#This Row],[Revenue (Crore ₹)]]/Table1[[#This Row],[Doctors / Staff]]</f>
        <v>22.954027215888193</v>
      </c>
      <c r="J459">
        <v>11.55</v>
      </c>
      <c r="K459">
        <v>19055</v>
      </c>
      <c r="L459">
        <v>10.27</v>
      </c>
      <c r="M459">
        <v>26172</v>
      </c>
      <c r="N459">
        <v>36240</v>
      </c>
      <c r="O459">
        <v>11</v>
      </c>
      <c r="P459">
        <v>96</v>
      </c>
    </row>
    <row r="460" spans="1:16" x14ac:dyDescent="0.3">
      <c r="A460">
        <v>2022</v>
      </c>
      <c r="B460" t="s">
        <v>19</v>
      </c>
      <c r="C460" t="s">
        <v>29</v>
      </c>
      <c r="D460" t="s">
        <v>17</v>
      </c>
      <c r="E460" t="s">
        <v>38</v>
      </c>
      <c r="F460">
        <v>5998</v>
      </c>
      <c r="G460">
        <v>3620</v>
      </c>
      <c r="H460">
        <v>59407</v>
      </c>
      <c r="I460" s="11">
        <f>Table1[[#This Row],[Revenue (Crore ₹)]]/Table1[[#This Row],[Doctors / Staff]]</f>
        <v>16.410773480662982</v>
      </c>
      <c r="J460">
        <v>8.83</v>
      </c>
      <c r="K460">
        <v>11118</v>
      </c>
      <c r="L460">
        <v>7.03</v>
      </c>
      <c r="M460">
        <v>11302</v>
      </c>
      <c r="N460">
        <v>48105</v>
      </c>
      <c r="O460">
        <v>10</v>
      </c>
      <c r="P460">
        <v>81</v>
      </c>
    </row>
    <row r="461" spans="1:16" x14ac:dyDescent="0.3">
      <c r="A461">
        <v>2023</v>
      </c>
      <c r="B461" t="s">
        <v>24</v>
      </c>
      <c r="C461" t="s">
        <v>42</v>
      </c>
      <c r="D461" t="s">
        <v>28</v>
      </c>
      <c r="E461" t="s">
        <v>31</v>
      </c>
      <c r="F461">
        <v>69751</v>
      </c>
      <c r="G461">
        <v>1407</v>
      </c>
      <c r="H461">
        <v>185561</v>
      </c>
      <c r="I461" s="11">
        <f>Table1[[#This Row],[Revenue (Crore ₹)]]/Table1[[#This Row],[Doctors / Staff]]</f>
        <v>131.88415067519546</v>
      </c>
      <c r="J461">
        <v>10.23</v>
      </c>
      <c r="K461">
        <v>6729</v>
      </c>
      <c r="L461">
        <v>3.18</v>
      </c>
      <c r="M461">
        <v>35099</v>
      </c>
      <c r="N461">
        <v>150462</v>
      </c>
      <c r="O461">
        <v>1</v>
      </c>
      <c r="P461">
        <v>99</v>
      </c>
    </row>
    <row r="462" spans="1:16" x14ac:dyDescent="0.3">
      <c r="A462">
        <v>2022</v>
      </c>
      <c r="B462" t="s">
        <v>36</v>
      </c>
      <c r="C462" t="s">
        <v>22</v>
      </c>
      <c r="D462" t="s">
        <v>17</v>
      </c>
      <c r="E462" t="s">
        <v>38</v>
      </c>
      <c r="F462">
        <v>77750</v>
      </c>
      <c r="G462">
        <v>3706</v>
      </c>
      <c r="H462">
        <v>172641</v>
      </c>
      <c r="I462" s="11">
        <f>Table1[[#This Row],[Revenue (Crore ₹)]]/Table1[[#This Row],[Doctors / Staff]]</f>
        <v>46.58418780356179</v>
      </c>
      <c r="J462">
        <v>19.3</v>
      </c>
      <c r="K462">
        <v>10891</v>
      </c>
      <c r="L462">
        <v>1.74</v>
      </c>
      <c r="M462">
        <v>33628</v>
      </c>
      <c r="N462">
        <v>139013</v>
      </c>
      <c r="O462">
        <v>3</v>
      </c>
      <c r="P462">
        <v>83</v>
      </c>
    </row>
    <row r="463" spans="1:16" x14ac:dyDescent="0.3">
      <c r="A463">
        <v>2022</v>
      </c>
      <c r="B463" t="s">
        <v>36</v>
      </c>
      <c r="C463" t="s">
        <v>29</v>
      </c>
      <c r="D463" t="s">
        <v>17</v>
      </c>
      <c r="E463" t="s">
        <v>18</v>
      </c>
      <c r="F463">
        <v>16728</v>
      </c>
      <c r="G463">
        <v>3631</v>
      </c>
      <c r="H463">
        <v>14474</v>
      </c>
      <c r="I463" s="11">
        <f>Table1[[#This Row],[Revenue (Crore ₹)]]/Table1[[#This Row],[Doctors / Staff]]</f>
        <v>3.9862296887909667</v>
      </c>
      <c r="J463">
        <v>21.49</v>
      </c>
      <c r="K463">
        <v>5347</v>
      </c>
      <c r="L463">
        <v>7.76</v>
      </c>
      <c r="M463">
        <v>35100</v>
      </c>
      <c r="N463">
        <v>-20626</v>
      </c>
      <c r="O463">
        <v>0</v>
      </c>
      <c r="P463">
        <v>92</v>
      </c>
    </row>
    <row r="464" spans="1:16" x14ac:dyDescent="0.3">
      <c r="A464">
        <v>2024</v>
      </c>
      <c r="B464" t="s">
        <v>21</v>
      </c>
      <c r="C464" t="s">
        <v>25</v>
      </c>
      <c r="D464" t="s">
        <v>17</v>
      </c>
      <c r="E464" t="s">
        <v>43</v>
      </c>
      <c r="F464">
        <v>93788</v>
      </c>
      <c r="G464">
        <v>4151</v>
      </c>
      <c r="H464">
        <v>80925</v>
      </c>
      <c r="I464" s="11">
        <f>Table1[[#This Row],[Revenue (Crore ₹)]]/Table1[[#This Row],[Doctors / Staff]]</f>
        <v>19.495302336786317</v>
      </c>
      <c r="J464">
        <v>16.04</v>
      </c>
      <c r="K464">
        <v>287</v>
      </c>
      <c r="L464">
        <v>8.18</v>
      </c>
      <c r="M464">
        <v>5398</v>
      </c>
      <c r="N464">
        <v>75527</v>
      </c>
      <c r="O464">
        <v>15</v>
      </c>
      <c r="P464">
        <v>85</v>
      </c>
    </row>
    <row r="465" spans="1:16" x14ac:dyDescent="0.3">
      <c r="A465">
        <v>2024</v>
      </c>
      <c r="B465" t="s">
        <v>19</v>
      </c>
      <c r="C465" t="s">
        <v>25</v>
      </c>
      <c r="D465" t="s">
        <v>17</v>
      </c>
      <c r="E465" t="s">
        <v>31</v>
      </c>
      <c r="F465">
        <v>19116</v>
      </c>
      <c r="G465">
        <v>1416</v>
      </c>
      <c r="H465">
        <v>151936</v>
      </c>
      <c r="I465" s="11">
        <f>Table1[[#This Row],[Revenue (Crore ₹)]]/Table1[[#This Row],[Doctors / Staff]]</f>
        <v>107.29943502824858</v>
      </c>
      <c r="J465">
        <v>14.55</v>
      </c>
      <c r="K465">
        <v>14393</v>
      </c>
      <c r="L465">
        <v>4.91</v>
      </c>
      <c r="M465">
        <v>19984</v>
      </c>
      <c r="N465">
        <v>131952</v>
      </c>
      <c r="O465">
        <v>7</v>
      </c>
      <c r="P465">
        <v>91</v>
      </c>
    </row>
    <row r="466" spans="1:16" x14ac:dyDescent="0.3">
      <c r="A466">
        <v>2023</v>
      </c>
      <c r="B466" t="s">
        <v>15</v>
      </c>
      <c r="C466" t="s">
        <v>35</v>
      </c>
      <c r="D466" t="s">
        <v>17</v>
      </c>
      <c r="E466" t="s">
        <v>30</v>
      </c>
      <c r="F466">
        <v>8258</v>
      </c>
      <c r="G466">
        <v>429</v>
      </c>
      <c r="H466">
        <v>197142</v>
      </c>
      <c r="I466" s="11">
        <f>Table1[[#This Row],[Revenue (Crore ₹)]]/Table1[[#This Row],[Doctors / Staff]]</f>
        <v>459.53846153846155</v>
      </c>
      <c r="J466">
        <v>21.51</v>
      </c>
      <c r="K466">
        <v>3517</v>
      </c>
      <c r="L466">
        <v>7.83</v>
      </c>
      <c r="M466">
        <v>14962</v>
      </c>
      <c r="N466">
        <v>182180</v>
      </c>
      <c r="O466">
        <v>11</v>
      </c>
      <c r="P466">
        <v>77</v>
      </c>
    </row>
    <row r="467" spans="1:16" x14ac:dyDescent="0.3">
      <c r="A467">
        <v>2021</v>
      </c>
      <c r="B467" t="s">
        <v>34</v>
      </c>
      <c r="C467" t="s">
        <v>25</v>
      </c>
      <c r="D467" t="s">
        <v>17</v>
      </c>
      <c r="E467" t="s">
        <v>23</v>
      </c>
      <c r="F467">
        <v>28639</v>
      </c>
      <c r="G467">
        <v>1307</v>
      </c>
      <c r="H467">
        <v>55401</v>
      </c>
      <c r="I467" s="11">
        <f>Table1[[#This Row],[Revenue (Crore ₹)]]/Table1[[#This Row],[Doctors / Staff]]</f>
        <v>42.387911247130837</v>
      </c>
      <c r="J467">
        <v>3.11</v>
      </c>
      <c r="K467">
        <v>19036</v>
      </c>
      <c r="L467">
        <v>7.76</v>
      </c>
      <c r="M467">
        <v>13818</v>
      </c>
      <c r="N467">
        <v>41583</v>
      </c>
      <c r="O467">
        <v>17</v>
      </c>
      <c r="P467">
        <v>96</v>
      </c>
    </row>
    <row r="468" spans="1:16" x14ac:dyDescent="0.3">
      <c r="A468">
        <v>2024</v>
      </c>
      <c r="B468" t="s">
        <v>21</v>
      </c>
      <c r="C468" t="s">
        <v>27</v>
      </c>
      <c r="D468" t="s">
        <v>28</v>
      </c>
      <c r="E468" t="s">
        <v>43</v>
      </c>
      <c r="F468">
        <v>18501</v>
      </c>
      <c r="G468">
        <v>2898</v>
      </c>
      <c r="H468">
        <v>96664</v>
      </c>
      <c r="I468" s="11">
        <f>Table1[[#This Row],[Revenue (Crore ₹)]]/Table1[[#This Row],[Doctors / Staff]]</f>
        <v>33.355417529330573</v>
      </c>
      <c r="J468">
        <v>10.15</v>
      </c>
      <c r="K468">
        <v>9831</v>
      </c>
      <c r="L468">
        <v>8.07</v>
      </c>
      <c r="M468">
        <v>49104</v>
      </c>
      <c r="N468">
        <v>47560</v>
      </c>
      <c r="O468">
        <v>2</v>
      </c>
      <c r="P468">
        <v>83</v>
      </c>
    </row>
    <row r="469" spans="1:16" x14ac:dyDescent="0.3">
      <c r="A469">
        <v>2020</v>
      </c>
      <c r="B469" t="s">
        <v>34</v>
      </c>
      <c r="C469" t="s">
        <v>42</v>
      </c>
      <c r="D469" t="s">
        <v>28</v>
      </c>
      <c r="E469" t="s">
        <v>38</v>
      </c>
      <c r="F469">
        <v>48783</v>
      </c>
      <c r="G469">
        <v>2990</v>
      </c>
      <c r="H469">
        <v>130702</v>
      </c>
      <c r="I469" s="11">
        <f>Table1[[#This Row],[Revenue (Crore ₹)]]/Table1[[#This Row],[Doctors / Staff]]</f>
        <v>43.713043478260872</v>
      </c>
      <c r="J469">
        <v>18.510000000000002</v>
      </c>
      <c r="K469">
        <v>11159</v>
      </c>
      <c r="L469">
        <v>14.17</v>
      </c>
      <c r="M469">
        <v>38365</v>
      </c>
      <c r="N469">
        <v>92337</v>
      </c>
      <c r="O469">
        <v>14</v>
      </c>
      <c r="P469">
        <v>70</v>
      </c>
    </row>
    <row r="470" spans="1:16" x14ac:dyDescent="0.3">
      <c r="A470">
        <v>2020</v>
      </c>
      <c r="B470" t="s">
        <v>24</v>
      </c>
      <c r="C470" t="s">
        <v>40</v>
      </c>
      <c r="D470" t="s">
        <v>28</v>
      </c>
      <c r="E470" t="s">
        <v>43</v>
      </c>
      <c r="F470">
        <v>31824</v>
      </c>
      <c r="G470">
        <v>1442</v>
      </c>
      <c r="H470">
        <v>14977</v>
      </c>
      <c r="I470" s="11">
        <f>Table1[[#This Row],[Revenue (Crore ₹)]]/Table1[[#This Row],[Doctors / Staff]]</f>
        <v>10.386269070735089</v>
      </c>
      <c r="J470">
        <v>12.4</v>
      </c>
      <c r="K470">
        <v>17286</v>
      </c>
      <c r="L470">
        <v>5.21</v>
      </c>
      <c r="M470">
        <v>31532</v>
      </c>
      <c r="N470">
        <v>-16555</v>
      </c>
      <c r="O470">
        <v>8</v>
      </c>
      <c r="P470">
        <v>70</v>
      </c>
    </row>
    <row r="471" spans="1:16" x14ac:dyDescent="0.3">
      <c r="A471">
        <v>2021</v>
      </c>
      <c r="B471" t="s">
        <v>36</v>
      </c>
      <c r="C471" t="s">
        <v>16</v>
      </c>
      <c r="D471" t="s">
        <v>17</v>
      </c>
      <c r="E471" t="s">
        <v>43</v>
      </c>
      <c r="F471">
        <v>82660</v>
      </c>
      <c r="G471">
        <v>2655</v>
      </c>
      <c r="H471">
        <v>197050</v>
      </c>
      <c r="I471" s="11">
        <f>Table1[[#This Row],[Revenue (Crore ₹)]]/Table1[[#This Row],[Doctors / Staff]]</f>
        <v>74.218455743879474</v>
      </c>
      <c r="J471">
        <v>23.38</v>
      </c>
      <c r="K471">
        <v>10253</v>
      </c>
      <c r="L471">
        <v>11.72</v>
      </c>
      <c r="M471">
        <v>44394</v>
      </c>
      <c r="N471">
        <v>152656</v>
      </c>
      <c r="O471">
        <v>0</v>
      </c>
      <c r="P471">
        <v>92</v>
      </c>
    </row>
    <row r="472" spans="1:16" x14ac:dyDescent="0.3">
      <c r="A472">
        <v>2022</v>
      </c>
      <c r="B472" t="s">
        <v>36</v>
      </c>
      <c r="C472" t="s">
        <v>37</v>
      </c>
      <c r="D472" t="s">
        <v>17</v>
      </c>
      <c r="E472" t="s">
        <v>18</v>
      </c>
      <c r="F472">
        <v>81825</v>
      </c>
      <c r="G472">
        <v>1411</v>
      </c>
      <c r="H472">
        <v>28941</v>
      </c>
      <c r="I472" s="11">
        <f>Table1[[#This Row],[Revenue (Crore ₹)]]/Table1[[#This Row],[Doctors / Staff]]</f>
        <v>20.510985116938343</v>
      </c>
      <c r="J472">
        <v>22.65</v>
      </c>
      <c r="K472">
        <v>16627</v>
      </c>
      <c r="L472">
        <v>1.66</v>
      </c>
      <c r="M472">
        <v>13909</v>
      </c>
      <c r="N472">
        <v>15032</v>
      </c>
      <c r="O472">
        <v>14</v>
      </c>
      <c r="P472">
        <v>92</v>
      </c>
    </row>
    <row r="473" spans="1:16" x14ac:dyDescent="0.3">
      <c r="A473">
        <v>2023</v>
      </c>
      <c r="B473" t="s">
        <v>21</v>
      </c>
      <c r="C473" t="s">
        <v>16</v>
      </c>
      <c r="D473" t="s">
        <v>17</v>
      </c>
      <c r="E473" t="s">
        <v>41</v>
      </c>
      <c r="F473">
        <v>95861</v>
      </c>
      <c r="G473">
        <v>3004</v>
      </c>
      <c r="H473">
        <v>110977</v>
      </c>
      <c r="I473" s="11">
        <f>Table1[[#This Row],[Revenue (Crore ₹)]]/Table1[[#This Row],[Doctors / Staff]]</f>
        <v>36.943075898801595</v>
      </c>
      <c r="J473">
        <v>23.88</v>
      </c>
      <c r="K473">
        <v>19303</v>
      </c>
      <c r="L473">
        <v>4.1399999999999997</v>
      </c>
      <c r="M473">
        <v>42551</v>
      </c>
      <c r="N473">
        <v>68426</v>
      </c>
      <c r="O473">
        <v>6</v>
      </c>
      <c r="P473">
        <v>74</v>
      </c>
    </row>
    <row r="474" spans="1:16" x14ac:dyDescent="0.3">
      <c r="A474">
        <v>2021</v>
      </c>
      <c r="B474" t="s">
        <v>24</v>
      </c>
      <c r="C474" t="s">
        <v>20</v>
      </c>
      <c r="D474" t="s">
        <v>17</v>
      </c>
      <c r="E474" t="s">
        <v>31</v>
      </c>
      <c r="F474">
        <v>63027</v>
      </c>
      <c r="G474">
        <v>3874</v>
      </c>
      <c r="H474">
        <v>128460</v>
      </c>
      <c r="I474" s="11">
        <f>Table1[[#This Row],[Revenue (Crore ₹)]]/Table1[[#This Row],[Doctors / Staff]]</f>
        <v>33.159525038719671</v>
      </c>
      <c r="J474">
        <v>5.49</v>
      </c>
      <c r="K474">
        <v>1304</v>
      </c>
      <c r="L474">
        <v>5.61</v>
      </c>
      <c r="M474">
        <v>33973</v>
      </c>
      <c r="N474">
        <v>94487</v>
      </c>
      <c r="O474">
        <v>3</v>
      </c>
      <c r="P474">
        <v>72</v>
      </c>
    </row>
    <row r="475" spans="1:16" x14ac:dyDescent="0.3">
      <c r="A475">
        <v>2025</v>
      </c>
      <c r="B475" t="s">
        <v>24</v>
      </c>
      <c r="C475" t="s">
        <v>40</v>
      </c>
      <c r="D475" t="s">
        <v>28</v>
      </c>
      <c r="E475" t="s">
        <v>43</v>
      </c>
      <c r="F475">
        <v>42622</v>
      </c>
      <c r="G475">
        <v>1034</v>
      </c>
      <c r="H475">
        <v>156175</v>
      </c>
      <c r="I475" s="11">
        <f>Table1[[#This Row],[Revenue (Crore ₹)]]/Table1[[#This Row],[Doctors / Staff]]</f>
        <v>151.03965183752419</v>
      </c>
      <c r="J475">
        <v>13.73</v>
      </c>
      <c r="K475">
        <v>19549</v>
      </c>
      <c r="L475">
        <v>8.31</v>
      </c>
      <c r="M475">
        <v>17409</v>
      </c>
      <c r="N475">
        <v>138766</v>
      </c>
      <c r="O475">
        <v>2</v>
      </c>
      <c r="P475">
        <v>90</v>
      </c>
    </row>
    <row r="476" spans="1:16" x14ac:dyDescent="0.3">
      <c r="A476">
        <v>2021</v>
      </c>
      <c r="B476" t="s">
        <v>21</v>
      </c>
      <c r="C476" t="s">
        <v>16</v>
      </c>
      <c r="D476" t="s">
        <v>17</v>
      </c>
      <c r="E476" t="s">
        <v>18</v>
      </c>
      <c r="F476">
        <v>68029</v>
      </c>
      <c r="G476">
        <v>2641</v>
      </c>
      <c r="H476">
        <v>35030</v>
      </c>
      <c r="I476" s="11">
        <f>Table1[[#This Row],[Revenue (Crore ₹)]]/Table1[[#This Row],[Doctors / Staff]]</f>
        <v>13.26391518364256</v>
      </c>
      <c r="J476">
        <v>4.12</v>
      </c>
      <c r="K476">
        <v>18481</v>
      </c>
      <c r="L476">
        <v>8.34</v>
      </c>
      <c r="M476">
        <v>15106</v>
      </c>
      <c r="N476">
        <v>19924</v>
      </c>
      <c r="O476">
        <v>8</v>
      </c>
      <c r="P476">
        <v>93</v>
      </c>
    </row>
    <row r="477" spans="1:16" x14ac:dyDescent="0.3">
      <c r="A477">
        <v>2024</v>
      </c>
      <c r="B477" t="s">
        <v>19</v>
      </c>
      <c r="C477" t="s">
        <v>22</v>
      </c>
      <c r="D477" t="s">
        <v>17</v>
      </c>
      <c r="E477" t="s">
        <v>41</v>
      </c>
      <c r="F477">
        <v>17802</v>
      </c>
      <c r="G477">
        <v>316</v>
      </c>
      <c r="H477">
        <v>165955</v>
      </c>
      <c r="I477" s="11">
        <f>Table1[[#This Row],[Revenue (Crore ₹)]]/Table1[[#This Row],[Doctors / Staff]]</f>
        <v>525.17405063291142</v>
      </c>
      <c r="J477">
        <v>9.77</v>
      </c>
      <c r="K477">
        <v>13339</v>
      </c>
      <c r="L477">
        <v>3.06</v>
      </c>
      <c r="M477">
        <v>8356</v>
      </c>
      <c r="N477">
        <v>157599</v>
      </c>
      <c r="O477">
        <v>4</v>
      </c>
      <c r="P477">
        <v>92</v>
      </c>
    </row>
    <row r="478" spans="1:16" x14ac:dyDescent="0.3">
      <c r="A478">
        <v>2020</v>
      </c>
      <c r="B478" t="s">
        <v>39</v>
      </c>
      <c r="C478" t="s">
        <v>37</v>
      </c>
      <c r="D478" t="s">
        <v>17</v>
      </c>
      <c r="E478" t="s">
        <v>30</v>
      </c>
      <c r="F478">
        <v>45743</v>
      </c>
      <c r="G478">
        <v>3825</v>
      </c>
      <c r="H478">
        <v>14633</v>
      </c>
      <c r="I478" s="11">
        <f>Table1[[#This Row],[Revenue (Crore ₹)]]/Table1[[#This Row],[Doctors / Staff]]</f>
        <v>3.8256209150326796</v>
      </c>
      <c r="J478">
        <v>24.8</v>
      </c>
      <c r="K478">
        <v>4140</v>
      </c>
      <c r="L478">
        <v>5.5</v>
      </c>
      <c r="M478">
        <v>7416</v>
      </c>
      <c r="N478">
        <v>7217</v>
      </c>
      <c r="O478">
        <v>12</v>
      </c>
      <c r="P478">
        <v>93</v>
      </c>
    </row>
    <row r="479" spans="1:16" x14ac:dyDescent="0.3">
      <c r="A479">
        <v>2020</v>
      </c>
      <c r="B479" t="s">
        <v>39</v>
      </c>
      <c r="C479" t="s">
        <v>16</v>
      </c>
      <c r="D479" t="s">
        <v>17</v>
      </c>
      <c r="E479" t="s">
        <v>38</v>
      </c>
      <c r="F479">
        <v>24524</v>
      </c>
      <c r="G479">
        <v>2102</v>
      </c>
      <c r="H479">
        <v>162349</v>
      </c>
      <c r="I479" s="11">
        <f>Table1[[#This Row],[Revenue (Crore ₹)]]/Table1[[#This Row],[Doctors / Staff]]</f>
        <v>77.235490009514749</v>
      </c>
      <c r="J479">
        <v>17.98</v>
      </c>
      <c r="K479">
        <v>14476</v>
      </c>
      <c r="L479">
        <v>14.1</v>
      </c>
      <c r="M479">
        <v>40528</v>
      </c>
      <c r="N479">
        <v>121821</v>
      </c>
      <c r="O479">
        <v>4</v>
      </c>
      <c r="P479">
        <v>79</v>
      </c>
    </row>
    <row r="480" spans="1:16" x14ac:dyDescent="0.3">
      <c r="A480">
        <v>2025</v>
      </c>
      <c r="B480" t="s">
        <v>21</v>
      </c>
      <c r="C480" t="s">
        <v>22</v>
      </c>
      <c r="D480" t="s">
        <v>17</v>
      </c>
      <c r="E480" t="s">
        <v>41</v>
      </c>
      <c r="F480">
        <v>48088</v>
      </c>
      <c r="G480">
        <v>3927</v>
      </c>
      <c r="H480">
        <v>116600</v>
      </c>
      <c r="I480" s="11">
        <f>Table1[[#This Row],[Revenue (Crore ₹)]]/Table1[[#This Row],[Doctors / Staff]]</f>
        <v>29.691876750700281</v>
      </c>
      <c r="J480">
        <v>22.8</v>
      </c>
      <c r="K480">
        <v>19609</v>
      </c>
      <c r="L480">
        <v>1.81</v>
      </c>
      <c r="M480">
        <v>49607</v>
      </c>
      <c r="N480">
        <v>66993</v>
      </c>
      <c r="O480">
        <v>20</v>
      </c>
      <c r="P480">
        <v>90</v>
      </c>
    </row>
    <row r="481" spans="1:16" x14ac:dyDescent="0.3">
      <c r="A481">
        <v>2022</v>
      </c>
      <c r="B481" t="s">
        <v>15</v>
      </c>
      <c r="C481" t="s">
        <v>29</v>
      </c>
      <c r="D481" t="s">
        <v>17</v>
      </c>
      <c r="E481" t="s">
        <v>18</v>
      </c>
      <c r="F481">
        <v>90972</v>
      </c>
      <c r="G481">
        <v>2649</v>
      </c>
      <c r="H481">
        <v>38275</v>
      </c>
      <c r="I481" s="11">
        <f>Table1[[#This Row],[Revenue (Crore ₹)]]/Table1[[#This Row],[Doctors / Staff]]</f>
        <v>14.448848622121556</v>
      </c>
      <c r="J481">
        <v>12.57</v>
      </c>
      <c r="K481">
        <v>12953</v>
      </c>
      <c r="L481">
        <v>12.93</v>
      </c>
      <c r="M481">
        <v>43435</v>
      </c>
      <c r="N481">
        <v>-5160</v>
      </c>
      <c r="O481">
        <v>8</v>
      </c>
      <c r="P481">
        <v>77</v>
      </c>
    </row>
    <row r="482" spans="1:16" x14ac:dyDescent="0.3">
      <c r="A482">
        <v>2024</v>
      </c>
      <c r="B482" t="s">
        <v>21</v>
      </c>
      <c r="C482" t="s">
        <v>32</v>
      </c>
      <c r="D482" t="s">
        <v>17</v>
      </c>
      <c r="E482" t="s">
        <v>30</v>
      </c>
      <c r="F482">
        <v>49617</v>
      </c>
      <c r="G482">
        <v>1482</v>
      </c>
      <c r="H482">
        <v>10366</v>
      </c>
      <c r="I482" s="11">
        <f>Table1[[#This Row],[Revenue (Crore ₹)]]/Table1[[#This Row],[Doctors / Staff]]</f>
        <v>6.9946018893387318</v>
      </c>
      <c r="J482">
        <v>7.23</v>
      </c>
      <c r="K482">
        <v>10420</v>
      </c>
      <c r="L482">
        <v>3.21</v>
      </c>
      <c r="M482">
        <v>49535</v>
      </c>
      <c r="N482">
        <v>-39169</v>
      </c>
      <c r="O482">
        <v>5</v>
      </c>
      <c r="P482">
        <v>83</v>
      </c>
    </row>
    <row r="483" spans="1:16" x14ac:dyDescent="0.3">
      <c r="A483">
        <v>2025</v>
      </c>
      <c r="B483" t="s">
        <v>21</v>
      </c>
      <c r="C483" t="s">
        <v>32</v>
      </c>
      <c r="D483" t="s">
        <v>17</v>
      </c>
      <c r="E483" t="s">
        <v>26</v>
      </c>
      <c r="F483">
        <v>54777</v>
      </c>
      <c r="G483">
        <v>2679</v>
      </c>
      <c r="H483">
        <v>73807</v>
      </c>
      <c r="I483" s="11">
        <f>Table1[[#This Row],[Revenue (Crore ₹)]]/Table1[[#This Row],[Doctors / Staff]]</f>
        <v>27.550205300485256</v>
      </c>
      <c r="J483">
        <v>24.08</v>
      </c>
      <c r="K483">
        <v>14451</v>
      </c>
      <c r="L483">
        <v>9.51</v>
      </c>
      <c r="M483">
        <v>21392</v>
      </c>
      <c r="N483">
        <v>52415</v>
      </c>
      <c r="O483">
        <v>10</v>
      </c>
      <c r="P483">
        <v>89</v>
      </c>
    </row>
    <row r="484" spans="1:16" x14ac:dyDescent="0.3">
      <c r="A484">
        <v>2025</v>
      </c>
      <c r="B484" t="s">
        <v>24</v>
      </c>
      <c r="C484" t="s">
        <v>44</v>
      </c>
      <c r="D484" t="s">
        <v>28</v>
      </c>
      <c r="E484" t="s">
        <v>30</v>
      </c>
      <c r="F484">
        <v>22220</v>
      </c>
      <c r="G484">
        <v>3021</v>
      </c>
      <c r="H484">
        <v>58966</v>
      </c>
      <c r="I484" s="11">
        <f>Table1[[#This Row],[Revenue (Crore ₹)]]/Table1[[#This Row],[Doctors / Staff]]</f>
        <v>19.518702416418403</v>
      </c>
      <c r="J484">
        <v>23.93</v>
      </c>
      <c r="K484">
        <v>6745</v>
      </c>
      <c r="L484">
        <v>11.74</v>
      </c>
      <c r="M484">
        <v>46780</v>
      </c>
      <c r="N484">
        <v>12186</v>
      </c>
      <c r="O484">
        <v>1</v>
      </c>
      <c r="P484">
        <v>74</v>
      </c>
    </row>
    <row r="485" spans="1:16" x14ac:dyDescent="0.3">
      <c r="A485">
        <v>2025</v>
      </c>
      <c r="B485" t="s">
        <v>39</v>
      </c>
      <c r="C485" t="s">
        <v>37</v>
      </c>
      <c r="D485" t="s">
        <v>17</v>
      </c>
      <c r="E485" t="s">
        <v>18</v>
      </c>
      <c r="F485">
        <v>17500</v>
      </c>
      <c r="G485">
        <v>4647</v>
      </c>
      <c r="H485">
        <v>148898</v>
      </c>
      <c r="I485" s="11">
        <f>Table1[[#This Row],[Revenue (Crore ₹)]]/Table1[[#This Row],[Doctors / Staff]]</f>
        <v>32.041747363890686</v>
      </c>
      <c r="J485">
        <v>13.21</v>
      </c>
      <c r="K485">
        <v>9661</v>
      </c>
      <c r="L485">
        <v>10.82</v>
      </c>
      <c r="M485">
        <v>17007</v>
      </c>
      <c r="N485">
        <v>131891</v>
      </c>
      <c r="O485">
        <v>19</v>
      </c>
      <c r="P485">
        <v>80</v>
      </c>
    </row>
    <row r="486" spans="1:16" x14ac:dyDescent="0.3">
      <c r="A486">
        <v>2020</v>
      </c>
      <c r="B486" t="s">
        <v>21</v>
      </c>
      <c r="C486" t="s">
        <v>32</v>
      </c>
      <c r="D486" t="s">
        <v>17</v>
      </c>
      <c r="E486" t="s">
        <v>41</v>
      </c>
      <c r="F486">
        <v>18811</v>
      </c>
      <c r="G486">
        <v>4410</v>
      </c>
      <c r="H486">
        <v>29805</v>
      </c>
      <c r="I486" s="11">
        <f>Table1[[#This Row],[Revenue (Crore ₹)]]/Table1[[#This Row],[Doctors / Staff]]</f>
        <v>6.7585034013605441</v>
      </c>
      <c r="J486">
        <v>21.71</v>
      </c>
      <c r="K486">
        <v>797</v>
      </c>
      <c r="L486">
        <v>3.3</v>
      </c>
      <c r="M486">
        <v>14686</v>
      </c>
      <c r="N486">
        <v>15119</v>
      </c>
      <c r="O486">
        <v>6</v>
      </c>
      <c r="P486">
        <v>96</v>
      </c>
    </row>
    <row r="487" spans="1:16" x14ac:dyDescent="0.3">
      <c r="A487">
        <v>2022</v>
      </c>
      <c r="B487" t="s">
        <v>15</v>
      </c>
      <c r="C487" t="s">
        <v>42</v>
      </c>
      <c r="D487" t="s">
        <v>28</v>
      </c>
      <c r="E487" t="s">
        <v>41</v>
      </c>
      <c r="F487">
        <v>79350</v>
      </c>
      <c r="G487">
        <v>2417</v>
      </c>
      <c r="H487">
        <v>113158</v>
      </c>
      <c r="I487" s="11">
        <f>Table1[[#This Row],[Revenue (Crore ₹)]]/Table1[[#This Row],[Doctors / Staff]]</f>
        <v>46.817542407943733</v>
      </c>
      <c r="J487">
        <v>21.73</v>
      </c>
      <c r="K487">
        <v>7136</v>
      </c>
      <c r="L487">
        <v>5.66</v>
      </c>
      <c r="M487">
        <v>19968</v>
      </c>
      <c r="N487">
        <v>93190</v>
      </c>
      <c r="O487">
        <v>4</v>
      </c>
      <c r="P487">
        <v>98</v>
      </c>
    </row>
    <row r="488" spans="1:16" x14ac:dyDescent="0.3">
      <c r="A488">
        <v>2024</v>
      </c>
      <c r="B488" t="s">
        <v>19</v>
      </c>
      <c r="C488" t="s">
        <v>42</v>
      </c>
      <c r="D488" t="s">
        <v>28</v>
      </c>
      <c r="E488" t="s">
        <v>41</v>
      </c>
      <c r="F488">
        <v>86408</v>
      </c>
      <c r="G488">
        <v>3800</v>
      </c>
      <c r="H488">
        <v>44900</v>
      </c>
      <c r="I488" s="11">
        <f>Table1[[#This Row],[Revenue (Crore ₹)]]/Table1[[#This Row],[Doctors / Staff]]</f>
        <v>11.815789473684211</v>
      </c>
      <c r="J488">
        <v>19.78</v>
      </c>
      <c r="K488">
        <v>13506</v>
      </c>
      <c r="L488">
        <v>13.94</v>
      </c>
      <c r="M488">
        <v>1848</v>
      </c>
      <c r="N488">
        <v>43052</v>
      </c>
      <c r="O488">
        <v>2</v>
      </c>
      <c r="P488">
        <v>96</v>
      </c>
    </row>
    <row r="489" spans="1:16" x14ac:dyDescent="0.3">
      <c r="A489">
        <v>2022</v>
      </c>
      <c r="B489" t="s">
        <v>36</v>
      </c>
      <c r="C489" t="s">
        <v>32</v>
      </c>
      <c r="D489" t="s">
        <v>17</v>
      </c>
      <c r="E489" t="s">
        <v>41</v>
      </c>
      <c r="F489">
        <v>65804</v>
      </c>
      <c r="G489">
        <v>521</v>
      </c>
      <c r="H489">
        <v>104900</v>
      </c>
      <c r="I489" s="11">
        <f>Table1[[#This Row],[Revenue (Crore ₹)]]/Table1[[#This Row],[Doctors / Staff]]</f>
        <v>201.34357005758159</v>
      </c>
      <c r="J489">
        <v>8.19</v>
      </c>
      <c r="K489">
        <v>12034</v>
      </c>
      <c r="L489">
        <v>3.98</v>
      </c>
      <c r="M489">
        <v>28683</v>
      </c>
      <c r="N489">
        <v>76217</v>
      </c>
      <c r="O489">
        <v>12</v>
      </c>
      <c r="P489">
        <v>88</v>
      </c>
    </row>
    <row r="490" spans="1:16" x14ac:dyDescent="0.3">
      <c r="A490">
        <v>2025</v>
      </c>
      <c r="B490" t="s">
        <v>21</v>
      </c>
      <c r="C490" t="s">
        <v>25</v>
      </c>
      <c r="D490" t="s">
        <v>17</v>
      </c>
      <c r="E490" t="s">
        <v>30</v>
      </c>
      <c r="F490">
        <v>91017</v>
      </c>
      <c r="G490">
        <v>2336</v>
      </c>
      <c r="H490">
        <v>88234</v>
      </c>
      <c r="I490" s="11">
        <f>Table1[[#This Row],[Revenue (Crore ₹)]]/Table1[[#This Row],[Doctors / Staff]]</f>
        <v>37.771404109589042</v>
      </c>
      <c r="J490">
        <v>18.510000000000002</v>
      </c>
      <c r="K490">
        <v>12584</v>
      </c>
      <c r="L490">
        <v>5.12</v>
      </c>
      <c r="M490">
        <v>17712</v>
      </c>
      <c r="N490">
        <v>70522</v>
      </c>
      <c r="O490">
        <v>16</v>
      </c>
      <c r="P490">
        <v>96</v>
      </c>
    </row>
    <row r="491" spans="1:16" x14ac:dyDescent="0.3">
      <c r="A491">
        <v>2025</v>
      </c>
      <c r="B491" t="s">
        <v>19</v>
      </c>
      <c r="C491" t="s">
        <v>35</v>
      </c>
      <c r="D491" t="s">
        <v>17</v>
      </c>
      <c r="E491" t="s">
        <v>43</v>
      </c>
      <c r="F491">
        <v>57353</v>
      </c>
      <c r="G491">
        <v>3110</v>
      </c>
      <c r="H491">
        <v>38159</v>
      </c>
      <c r="I491" s="11">
        <f>Table1[[#This Row],[Revenue (Crore ₹)]]/Table1[[#This Row],[Doctors / Staff]]</f>
        <v>12.269774919614148</v>
      </c>
      <c r="J491">
        <v>10.119999999999999</v>
      </c>
      <c r="K491">
        <v>14971</v>
      </c>
      <c r="L491">
        <v>8.9600000000000009</v>
      </c>
      <c r="M491">
        <v>25964</v>
      </c>
      <c r="N491">
        <v>12195</v>
      </c>
      <c r="O491">
        <v>12</v>
      </c>
      <c r="P491">
        <v>73</v>
      </c>
    </row>
    <row r="492" spans="1:16" x14ac:dyDescent="0.3">
      <c r="A492">
        <v>2022</v>
      </c>
      <c r="B492" t="s">
        <v>19</v>
      </c>
      <c r="C492" t="s">
        <v>29</v>
      </c>
      <c r="D492" t="s">
        <v>17</v>
      </c>
      <c r="E492" t="s">
        <v>30</v>
      </c>
      <c r="F492">
        <v>26819</v>
      </c>
      <c r="G492">
        <v>2139</v>
      </c>
      <c r="H492">
        <v>13619</v>
      </c>
      <c r="I492" s="11">
        <f>Table1[[#This Row],[Revenue (Crore ₹)]]/Table1[[#This Row],[Doctors / Staff]]</f>
        <v>6.3669939223936423</v>
      </c>
      <c r="J492">
        <v>3.02</v>
      </c>
      <c r="K492">
        <v>10792</v>
      </c>
      <c r="L492">
        <v>5.69</v>
      </c>
      <c r="M492">
        <v>29343</v>
      </c>
      <c r="N492">
        <v>-15724</v>
      </c>
      <c r="O492">
        <v>16</v>
      </c>
      <c r="P492">
        <v>99</v>
      </c>
    </row>
    <row r="493" spans="1:16" x14ac:dyDescent="0.3">
      <c r="A493">
        <v>2020</v>
      </c>
      <c r="B493" t="s">
        <v>34</v>
      </c>
      <c r="C493" t="s">
        <v>20</v>
      </c>
      <c r="D493" t="s">
        <v>17</v>
      </c>
      <c r="E493" t="s">
        <v>26</v>
      </c>
      <c r="F493">
        <v>63641</v>
      </c>
      <c r="G493">
        <v>210</v>
      </c>
      <c r="H493">
        <v>174543</v>
      </c>
      <c r="I493" s="11">
        <f>Table1[[#This Row],[Revenue (Crore ₹)]]/Table1[[#This Row],[Doctors / Staff]]</f>
        <v>831.15714285714284</v>
      </c>
      <c r="J493">
        <v>7.04</v>
      </c>
      <c r="K493">
        <v>3777</v>
      </c>
      <c r="L493">
        <v>8.6</v>
      </c>
      <c r="M493">
        <v>18846</v>
      </c>
      <c r="N493">
        <v>155697</v>
      </c>
      <c r="O493">
        <v>13</v>
      </c>
      <c r="P493">
        <v>73</v>
      </c>
    </row>
    <row r="494" spans="1:16" x14ac:dyDescent="0.3">
      <c r="A494">
        <v>2024</v>
      </c>
      <c r="B494" t="s">
        <v>36</v>
      </c>
      <c r="C494" t="s">
        <v>20</v>
      </c>
      <c r="D494" t="s">
        <v>17</v>
      </c>
      <c r="E494" t="s">
        <v>30</v>
      </c>
      <c r="F494">
        <v>26827</v>
      </c>
      <c r="G494">
        <v>1434</v>
      </c>
      <c r="H494">
        <v>52256</v>
      </c>
      <c r="I494" s="11">
        <f>Table1[[#This Row],[Revenue (Crore ₹)]]/Table1[[#This Row],[Doctors / Staff]]</f>
        <v>36.440725244072524</v>
      </c>
      <c r="J494">
        <v>11.75</v>
      </c>
      <c r="K494">
        <v>3595</v>
      </c>
      <c r="L494">
        <v>1.03</v>
      </c>
      <c r="M494">
        <v>39152</v>
      </c>
      <c r="N494">
        <v>13104</v>
      </c>
      <c r="O494">
        <v>1</v>
      </c>
      <c r="P494">
        <v>97</v>
      </c>
    </row>
    <row r="495" spans="1:16" x14ac:dyDescent="0.3">
      <c r="A495">
        <v>2020</v>
      </c>
      <c r="B495" t="s">
        <v>19</v>
      </c>
      <c r="C495" t="s">
        <v>44</v>
      </c>
      <c r="D495" t="s">
        <v>28</v>
      </c>
      <c r="E495" t="s">
        <v>30</v>
      </c>
      <c r="F495">
        <v>5475</v>
      </c>
      <c r="G495">
        <v>1287</v>
      </c>
      <c r="H495">
        <v>134512</v>
      </c>
      <c r="I495" s="11">
        <f>Table1[[#This Row],[Revenue (Crore ₹)]]/Table1[[#This Row],[Doctors / Staff]]</f>
        <v>104.51592851592852</v>
      </c>
      <c r="J495">
        <v>5.44</v>
      </c>
      <c r="K495">
        <v>7277</v>
      </c>
      <c r="L495">
        <v>11.77</v>
      </c>
      <c r="M495">
        <v>12851</v>
      </c>
      <c r="N495">
        <v>121661</v>
      </c>
      <c r="O495">
        <v>4</v>
      </c>
      <c r="P495">
        <v>85</v>
      </c>
    </row>
    <row r="496" spans="1:16" x14ac:dyDescent="0.3">
      <c r="A496">
        <v>2021</v>
      </c>
      <c r="B496" t="s">
        <v>36</v>
      </c>
      <c r="C496" t="s">
        <v>29</v>
      </c>
      <c r="D496" t="s">
        <v>17</v>
      </c>
      <c r="E496" t="s">
        <v>30</v>
      </c>
      <c r="F496">
        <v>21561</v>
      </c>
      <c r="G496">
        <v>2264</v>
      </c>
      <c r="H496">
        <v>74925</v>
      </c>
      <c r="I496" s="11">
        <f>Table1[[#This Row],[Revenue (Crore ₹)]]/Table1[[#This Row],[Doctors / Staff]]</f>
        <v>33.094081272084807</v>
      </c>
      <c r="J496">
        <v>21.23</v>
      </c>
      <c r="K496">
        <v>17956</v>
      </c>
      <c r="L496">
        <v>1.99</v>
      </c>
      <c r="M496">
        <v>29868</v>
      </c>
      <c r="N496">
        <v>45057</v>
      </c>
      <c r="O496">
        <v>11</v>
      </c>
      <c r="P496">
        <v>87</v>
      </c>
    </row>
    <row r="497" spans="1:16" x14ac:dyDescent="0.3">
      <c r="A497">
        <v>2021</v>
      </c>
      <c r="B497" t="s">
        <v>15</v>
      </c>
      <c r="C497" t="s">
        <v>44</v>
      </c>
      <c r="D497" t="s">
        <v>28</v>
      </c>
      <c r="E497" t="s">
        <v>43</v>
      </c>
      <c r="F497">
        <v>85007</v>
      </c>
      <c r="G497">
        <v>4797</v>
      </c>
      <c r="H497">
        <v>152850</v>
      </c>
      <c r="I497" s="11">
        <f>Table1[[#This Row],[Revenue (Crore ₹)]]/Table1[[#This Row],[Doctors / Staff]]</f>
        <v>31.86366479049406</v>
      </c>
      <c r="J497">
        <v>8.0500000000000007</v>
      </c>
      <c r="K497">
        <v>2987</v>
      </c>
      <c r="L497">
        <v>6.12</v>
      </c>
      <c r="M497">
        <v>11196</v>
      </c>
      <c r="N497">
        <v>141654</v>
      </c>
      <c r="O497">
        <v>19</v>
      </c>
      <c r="P497">
        <v>90</v>
      </c>
    </row>
    <row r="498" spans="1:16" x14ac:dyDescent="0.3">
      <c r="A498">
        <v>2022</v>
      </c>
      <c r="B498" t="s">
        <v>36</v>
      </c>
      <c r="C498" t="s">
        <v>29</v>
      </c>
      <c r="D498" t="s">
        <v>17</v>
      </c>
      <c r="E498" t="s">
        <v>18</v>
      </c>
      <c r="F498">
        <v>60456</v>
      </c>
      <c r="G498">
        <v>3520</v>
      </c>
      <c r="H498">
        <v>179748</v>
      </c>
      <c r="I498" s="11">
        <f>Table1[[#This Row],[Revenue (Crore ₹)]]/Table1[[#This Row],[Doctors / Staff]]</f>
        <v>51.064772727272725</v>
      </c>
      <c r="J498">
        <v>7.78</v>
      </c>
      <c r="K498">
        <v>17577</v>
      </c>
      <c r="L498">
        <v>12.64</v>
      </c>
      <c r="M498">
        <v>10810</v>
      </c>
      <c r="N498">
        <v>168938</v>
      </c>
      <c r="O498">
        <v>13</v>
      </c>
      <c r="P498">
        <v>81</v>
      </c>
    </row>
    <row r="499" spans="1:16" x14ac:dyDescent="0.3">
      <c r="A499">
        <v>2025</v>
      </c>
      <c r="B499" t="s">
        <v>21</v>
      </c>
      <c r="C499" t="s">
        <v>16</v>
      </c>
      <c r="D499" t="s">
        <v>17</v>
      </c>
      <c r="E499" t="s">
        <v>23</v>
      </c>
      <c r="F499">
        <v>88214</v>
      </c>
      <c r="G499">
        <v>4933</v>
      </c>
      <c r="H499">
        <v>7129</v>
      </c>
      <c r="I499" s="11">
        <f>Table1[[#This Row],[Revenue (Crore ₹)]]/Table1[[#This Row],[Doctors / Staff]]</f>
        <v>1.4451652138658018</v>
      </c>
      <c r="J499">
        <v>6.04</v>
      </c>
      <c r="K499">
        <v>5397</v>
      </c>
      <c r="L499">
        <v>13.43</v>
      </c>
      <c r="M499">
        <v>30446</v>
      </c>
      <c r="N499">
        <v>-23317</v>
      </c>
      <c r="O499">
        <v>2</v>
      </c>
      <c r="P499">
        <v>74</v>
      </c>
    </row>
    <row r="500" spans="1:16" x14ac:dyDescent="0.3">
      <c r="A500">
        <v>2023</v>
      </c>
      <c r="B500" t="s">
        <v>33</v>
      </c>
      <c r="C500" t="s">
        <v>35</v>
      </c>
      <c r="D500" t="s">
        <v>17</v>
      </c>
      <c r="E500" t="s">
        <v>30</v>
      </c>
      <c r="F500">
        <v>32845</v>
      </c>
      <c r="G500">
        <v>3643</v>
      </c>
      <c r="H500">
        <v>64429</v>
      </c>
      <c r="I500" s="11">
        <f>Table1[[#This Row],[Revenue (Crore ₹)]]/Table1[[#This Row],[Doctors / Staff]]</f>
        <v>17.685698600054899</v>
      </c>
      <c r="J500">
        <v>18.72</v>
      </c>
      <c r="K500">
        <v>1943</v>
      </c>
      <c r="L500">
        <v>14.45</v>
      </c>
      <c r="M500">
        <v>49646</v>
      </c>
      <c r="N500">
        <v>14783</v>
      </c>
      <c r="O500">
        <v>12</v>
      </c>
      <c r="P500">
        <v>84</v>
      </c>
    </row>
    <row r="501" spans="1:16" x14ac:dyDescent="0.3">
      <c r="A501">
        <v>2020</v>
      </c>
      <c r="B501" t="s">
        <v>34</v>
      </c>
      <c r="C501" t="s">
        <v>25</v>
      </c>
      <c r="D501" t="s">
        <v>17</v>
      </c>
      <c r="E501" t="s">
        <v>23</v>
      </c>
      <c r="F501">
        <v>45980</v>
      </c>
      <c r="G501">
        <v>3005</v>
      </c>
      <c r="H501">
        <v>119219</v>
      </c>
      <c r="I501" s="11">
        <f>Table1[[#This Row],[Revenue (Crore ₹)]]/Table1[[#This Row],[Doctors / Staff]]</f>
        <v>39.673544093178037</v>
      </c>
      <c r="J501">
        <v>16</v>
      </c>
      <c r="K501">
        <v>205</v>
      </c>
      <c r="L501">
        <v>11.3</v>
      </c>
      <c r="M501">
        <v>27722</v>
      </c>
      <c r="N501">
        <v>91497</v>
      </c>
      <c r="O501">
        <v>20</v>
      </c>
      <c r="P501">
        <v>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7A29D-1F57-44E8-8831-FC738E91093F}">
  <dimension ref="A2:B15"/>
  <sheetViews>
    <sheetView workbookViewId="0">
      <selection activeCell="B21" sqref="B21"/>
    </sheetView>
  </sheetViews>
  <sheetFormatPr defaultRowHeight="14.4" x14ac:dyDescent="0.3"/>
  <cols>
    <col min="1" max="1" width="15" style="5" bestFit="1" customWidth="1"/>
    <col min="2" max="2" width="22.88671875" style="5" bestFit="1" customWidth="1"/>
    <col min="3" max="16384" width="8.88671875" style="5"/>
  </cols>
  <sheetData>
    <row r="2" spans="1:2" x14ac:dyDescent="0.3">
      <c r="A2" s="8" t="s">
        <v>45</v>
      </c>
      <c r="B2" s="8" t="s">
        <v>47</v>
      </c>
    </row>
    <row r="3" spans="1:2" x14ac:dyDescent="0.3">
      <c r="A3" s="6" t="s">
        <v>37</v>
      </c>
      <c r="B3" s="7">
        <v>5136720</v>
      </c>
    </row>
    <row r="4" spans="1:2" x14ac:dyDescent="0.3">
      <c r="A4" s="6" t="s">
        <v>32</v>
      </c>
      <c r="B4" s="7">
        <v>5083935</v>
      </c>
    </row>
    <row r="5" spans="1:2" x14ac:dyDescent="0.3">
      <c r="A5" s="6" t="s">
        <v>20</v>
      </c>
      <c r="B5" s="7">
        <v>5075706</v>
      </c>
    </row>
    <row r="6" spans="1:2" x14ac:dyDescent="0.3">
      <c r="A6" s="6" t="s">
        <v>22</v>
      </c>
      <c r="B6" s="7">
        <v>4946194</v>
      </c>
    </row>
    <row r="7" spans="1:2" x14ac:dyDescent="0.3">
      <c r="A7" s="6" t="s">
        <v>27</v>
      </c>
      <c r="B7" s="7">
        <v>4493935</v>
      </c>
    </row>
    <row r="8" spans="1:2" x14ac:dyDescent="0.3">
      <c r="A8" s="6" t="s">
        <v>40</v>
      </c>
      <c r="B8" s="7">
        <v>4419114</v>
      </c>
    </row>
    <row r="9" spans="1:2" x14ac:dyDescent="0.3">
      <c r="A9" s="6" t="s">
        <v>25</v>
      </c>
      <c r="B9" s="7">
        <v>4352895</v>
      </c>
    </row>
    <row r="10" spans="1:2" x14ac:dyDescent="0.3">
      <c r="A10" s="6" t="s">
        <v>44</v>
      </c>
      <c r="B10" s="7">
        <v>4138348</v>
      </c>
    </row>
    <row r="11" spans="1:2" x14ac:dyDescent="0.3">
      <c r="A11" s="6" t="s">
        <v>29</v>
      </c>
      <c r="B11" s="7">
        <v>3419439</v>
      </c>
    </row>
    <row r="12" spans="1:2" x14ac:dyDescent="0.3">
      <c r="A12" s="6" t="s">
        <v>35</v>
      </c>
      <c r="B12" s="7">
        <v>3267347</v>
      </c>
    </row>
    <row r="13" spans="1:2" x14ac:dyDescent="0.3">
      <c r="A13" s="6" t="s">
        <v>42</v>
      </c>
      <c r="B13" s="7">
        <v>3183056</v>
      </c>
    </row>
    <row r="14" spans="1:2" x14ac:dyDescent="0.3">
      <c r="A14" s="6" t="s">
        <v>16</v>
      </c>
      <c r="B14" s="7">
        <v>3175924</v>
      </c>
    </row>
    <row r="15" spans="1:2" x14ac:dyDescent="0.3">
      <c r="A15" s="9" t="s">
        <v>46</v>
      </c>
      <c r="B15" s="10">
        <v>50692613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62D69-1144-4EC3-90D1-9E7E8342614C}">
  <dimension ref="A2:B9"/>
  <sheetViews>
    <sheetView workbookViewId="0">
      <selection activeCell="A16" sqref="A16"/>
    </sheetView>
  </sheetViews>
  <sheetFormatPr defaultRowHeight="14.4" x14ac:dyDescent="0.3"/>
  <cols>
    <col min="1" max="1" width="12.5546875" bestFit="1" customWidth="1"/>
    <col min="2" max="2" width="18.88671875" bestFit="1" customWidth="1"/>
  </cols>
  <sheetData>
    <row r="2" spans="1:2" x14ac:dyDescent="0.3">
      <c r="A2" s="2" t="s">
        <v>45</v>
      </c>
      <c r="B2" t="s">
        <v>48</v>
      </c>
    </row>
    <row r="3" spans="1:2" x14ac:dyDescent="0.3">
      <c r="A3" s="3">
        <v>2020</v>
      </c>
      <c r="B3" s="12">
        <v>7.9284999999999979</v>
      </c>
    </row>
    <row r="4" spans="1:2" x14ac:dyDescent="0.3">
      <c r="A4" s="3">
        <v>2021</v>
      </c>
      <c r="B4" s="12">
        <v>7.9526829268292696</v>
      </c>
    </row>
    <row r="5" spans="1:2" x14ac:dyDescent="0.3">
      <c r="A5" s="3">
        <v>2022</v>
      </c>
      <c r="B5" s="12">
        <v>7.6127586206896556</v>
      </c>
    </row>
    <row r="6" spans="1:2" x14ac:dyDescent="0.3">
      <c r="A6" s="3">
        <v>2023</v>
      </c>
      <c r="B6" s="12">
        <v>8.1513333333333353</v>
      </c>
    </row>
    <row r="7" spans="1:2" x14ac:dyDescent="0.3">
      <c r="A7" s="3">
        <v>2024</v>
      </c>
      <c r="B7" s="12">
        <v>7.2888764044943848</v>
      </c>
    </row>
    <row r="8" spans="1:2" x14ac:dyDescent="0.3">
      <c r="A8" s="3">
        <v>2025</v>
      </c>
      <c r="B8" s="12">
        <v>7.6395833333333325</v>
      </c>
    </row>
    <row r="9" spans="1:2" x14ac:dyDescent="0.3">
      <c r="A9" s="3" t="s">
        <v>46</v>
      </c>
      <c r="B9" s="12">
        <v>7.7621800000000034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1DE12-C6C4-4F6A-8AF2-32E08FB187F4}">
  <dimension ref="A2:B5"/>
  <sheetViews>
    <sheetView workbookViewId="0">
      <selection activeCell="B12" sqref="B12"/>
    </sheetView>
  </sheetViews>
  <sheetFormatPr defaultRowHeight="14.4" x14ac:dyDescent="0.3"/>
  <cols>
    <col min="1" max="1" width="13.6640625" bestFit="1" customWidth="1"/>
    <col min="2" max="2" width="23.88671875" bestFit="1" customWidth="1"/>
  </cols>
  <sheetData>
    <row r="2" spans="1:2" x14ac:dyDescent="0.3">
      <c r="A2" s="2" t="s">
        <v>45</v>
      </c>
      <c r="B2" t="s">
        <v>49</v>
      </c>
    </row>
    <row r="3" spans="1:2" x14ac:dyDescent="0.3">
      <c r="A3" s="3" t="s">
        <v>17</v>
      </c>
      <c r="B3" s="11">
        <v>14.910956521739129</v>
      </c>
    </row>
    <row r="4" spans="1:2" x14ac:dyDescent="0.3">
      <c r="A4" s="3" t="s">
        <v>28</v>
      </c>
      <c r="B4" s="11">
        <v>12.676709677419359</v>
      </c>
    </row>
    <row r="5" spans="1:2" x14ac:dyDescent="0.3">
      <c r="A5" s="3" t="s">
        <v>46</v>
      </c>
      <c r="B5" s="11">
        <v>14.218340000000007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AD7AA-C9C6-458E-8167-602B5DB90B0A}">
  <dimension ref="A2:B11"/>
  <sheetViews>
    <sheetView workbookViewId="0">
      <selection activeCell="B17" sqref="B17"/>
    </sheetView>
  </sheetViews>
  <sheetFormatPr defaultRowHeight="14.4" x14ac:dyDescent="0.3"/>
  <cols>
    <col min="1" max="1" width="12.5546875" bestFit="1" customWidth="1"/>
    <col min="2" max="2" width="21.44140625" bestFit="1" customWidth="1"/>
  </cols>
  <sheetData>
    <row r="2" spans="1:2" x14ac:dyDescent="0.3">
      <c r="A2" s="2" t="s">
        <v>45</v>
      </c>
      <c r="B2" t="s">
        <v>50</v>
      </c>
    </row>
    <row r="3" spans="1:2" x14ac:dyDescent="0.3">
      <c r="A3" s="3" t="s">
        <v>21</v>
      </c>
      <c r="B3" s="13">
        <v>3954096</v>
      </c>
    </row>
    <row r="4" spans="1:2" x14ac:dyDescent="0.3">
      <c r="A4" s="3" t="s">
        <v>39</v>
      </c>
      <c r="B4" s="13">
        <v>3612298</v>
      </c>
    </row>
    <row r="5" spans="1:2" x14ac:dyDescent="0.3">
      <c r="A5" s="3" t="s">
        <v>34</v>
      </c>
      <c r="B5" s="13">
        <v>3565328</v>
      </c>
    </row>
    <row r="6" spans="1:2" x14ac:dyDescent="0.3">
      <c r="A6" s="3" t="s">
        <v>24</v>
      </c>
      <c r="B6" s="13">
        <v>3207865</v>
      </c>
    </row>
    <row r="7" spans="1:2" x14ac:dyDescent="0.3">
      <c r="A7" s="3" t="s">
        <v>19</v>
      </c>
      <c r="B7" s="13">
        <v>3124718</v>
      </c>
    </row>
    <row r="8" spans="1:2" x14ac:dyDescent="0.3">
      <c r="A8" s="3" t="s">
        <v>36</v>
      </c>
      <c r="B8" s="13">
        <v>2900220</v>
      </c>
    </row>
    <row r="9" spans="1:2" x14ac:dyDescent="0.3">
      <c r="A9" s="3" t="s">
        <v>15</v>
      </c>
      <c r="B9" s="13">
        <v>2832771</v>
      </c>
    </row>
    <row r="10" spans="1:2" x14ac:dyDescent="0.3">
      <c r="A10" s="3" t="s">
        <v>33</v>
      </c>
      <c r="B10" s="13">
        <v>2564225</v>
      </c>
    </row>
    <row r="11" spans="1:2" x14ac:dyDescent="0.3">
      <c r="A11" s="3" t="s">
        <v>46</v>
      </c>
      <c r="B11" s="13">
        <v>25761521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046D7-C8A8-495A-AD67-D257BA615675}">
  <dimension ref="A2:B8"/>
  <sheetViews>
    <sheetView workbookViewId="0">
      <selection activeCell="B16" sqref="B16"/>
    </sheetView>
  </sheetViews>
  <sheetFormatPr defaultRowHeight="14.4" x14ac:dyDescent="0.3"/>
  <cols>
    <col min="1" max="1" width="14" bestFit="1" customWidth="1"/>
    <col min="2" max="2" width="22.88671875" bestFit="1" customWidth="1"/>
  </cols>
  <sheetData>
    <row r="2" spans="1:2" x14ac:dyDescent="0.3">
      <c r="A2" s="2" t="s">
        <v>45</v>
      </c>
      <c r="B2" t="s">
        <v>47</v>
      </c>
    </row>
    <row r="3" spans="1:2" x14ac:dyDescent="0.3">
      <c r="A3" s="3" t="s">
        <v>37</v>
      </c>
      <c r="B3" s="4">
        <v>5136720</v>
      </c>
    </row>
    <row r="4" spans="1:2" x14ac:dyDescent="0.3">
      <c r="A4" s="3" t="s">
        <v>32</v>
      </c>
      <c r="B4" s="4">
        <v>5083935</v>
      </c>
    </row>
    <row r="5" spans="1:2" x14ac:dyDescent="0.3">
      <c r="A5" s="3" t="s">
        <v>20</v>
      </c>
      <c r="B5" s="4">
        <v>5075706</v>
      </c>
    </row>
    <row r="6" spans="1:2" x14ac:dyDescent="0.3">
      <c r="A6" s="3" t="s">
        <v>22</v>
      </c>
      <c r="B6" s="4">
        <v>4946194</v>
      </c>
    </row>
    <row r="7" spans="1:2" x14ac:dyDescent="0.3">
      <c r="A7" s="3" t="s">
        <v>27</v>
      </c>
      <c r="B7" s="4">
        <v>4493935</v>
      </c>
    </row>
    <row r="8" spans="1:2" x14ac:dyDescent="0.3">
      <c r="A8" s="3" t="s">
        <v>46</v>
      </c>
      <c r="B8" s="4">
        <v>24736490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717AE-57FF-4C9F-9C32-FB6D15A7F981}">
  <dimension ref="A2:C15"/>
  <sheetViews>
    <sheetView topLeftCell="B1" workbookViewId="0">
      <selection activeCell="C21" sqref="C21"/>
    </sheetView>
  </sheetViews>
  <sheetFormatPr defaultRowHeight="14.4" x14ac:dyDescent="0.3"/>
  <cols>
    <col min="1" max="1" width="15" bestFit="1" customWidth="1"/>
    <col min="2" max="2" width="28.33203125" bestFit="1" customWidth="1"/>
    <col min="3" max="3" width="23.88671875" bestFit="1" customWidth="1"/>
  </cols>
  <sheetData>
    <row r="2" spans="1:3" x14ac:dyDescent="0.3">
      <c r="A2" s="2" t="s">
        <v>45</v>
      </c>
      <c r="B2" t="s">
        <v>51</v>
      </c>
      <c r="C2" t="s">
        <v>49</v>
      </c>
    </row>
    <row r="3" spans="1:3" x14ac:dyDescent="0.3">
      <c r="A3" s="3" t="s">
        <v>32</v>
      </c>
      <c r="B3" s="14">
        <v>11016.5</v>
      </c>
      <c r="C3" s="11">
        <v>16.142291666666669</v>
      </c>
    </row>
    <row r="4" spans="1:3" x14ac:dyDescent="0.3">
      <c r="A4" s="3" t="s">
        <v>22</v>
      </c>
      <c r="B4" s="14">
        <v>9999.6304347826081</v>
      </c>
      <c r="C4" s="11">
        <v>16.072391304347821</v>
      </c>
    </row>
    <row r="5" spans="1:3" x14ac:dyDescent="0.3">
      <c r="A5" s="3" t="s">
        <v>16</v>
      </c>
      <c r="B5" s="14">
        <v>10119.741935483871</v>
      </c>
      <c r="C5" s="11">
        <v>15.635161290322582</v>
      </c>
    </row>
    <row r="6" spans="1:3" x14ac:dyDescent="0.3">
      <c r="A6" s="3" t="s">
        <v>35</v>
      </c>
      <c r="B6" s="14">
        <v>8530.5897435897441</v>
      </c>
      <c r="C6" s="11">
        <v>15.230256410256411</v>
      </c>
    </row>
    <row r="7" spans="1:3" x14ac:dyDescent="0.3">
      <c r="A7" s="3" t="s">
        <v>37</v>
      </c>
      <c r="B7" s="14">
        <v>10370.183673469388</v>
      </c>
      <c r="C7" s="11">
        <v>14.889387755102042</v>
      </c>
    </row>
    <row r="8" spans="1:3" x14ac:dyDescent="0.3">
      <c r="A8" s="3" t="s">
        <v>20</v>
      </c>
      <c r="B8" s="14">
        <v>8694.4285714285706</v>
      </c>
      <c r="C8" s="11">
        <v>14.666938775510204</v>
      </c>
    </row>
    <row r="9" spans="1:3" x14ac:dyDescent="0.3">
      <c r="A9" s="3" t="s">
        <v>44</v>
      </c>
      <c r="B9" s="14">
        <v>11106.625</v>
      </c>
      <c r="C9" s="11">
        <v>14.602999999999998</v>
      </c>
    </row>
    <row r="10" spans="1:3" x14ac:dyDescent="0.3">
      <c r="A10" s="3" t="s">
        <v>29</v>
      </c>
      <c r="B10" s="14">
        <v>11355.54054054054</v>
      </c>
      <c r="C10" s="11">
        <v>14.494324324324323</v>
      </c>
    </row>
    <row r="11" spans="1:3" x14ac:dyDescent="0.3">
      <c r="A11" s="3" t="s">
        <v>40</v>
      </c>
      <c r="B11" s="14">
        <v>10932.674418604651</v>
      </c>
      <c r="C11" s="11">
        <v>12.720930232558144</v>
      </c>
    </row>
    <row r="12" spans="1:3" x14ac:dyDescent="0.3">
      <c r="A12" s="3" t="s">
        <v>25</v>
      </c>
      <c r="B12" s="14">
        <v>9156.8695652173919</v>
      </c>
      <c r="C12" s="11">
        <v>12.323913043478262</v>
      </c>
    </row>
    <row r="13" spans="1:3" x14ac:dyDescent="0.3">
      <c r="A13" s="3" t="s">
        <v>27</v>
      </c>
      <c r="B13" s="14">
        <v>10780.472222222223</v>
      </c>
      <c r="C13" s="11">
        <v>11.705277777777781</v>
      </c>
    </row>
    <row r="14" spans="1:3" x14ac:dyDescent="0.3">
      <c r="A14" s="3" t="s">
        <v>42</v>
      </c>
      <c r="B14" s="14">
        <v>9601.1111111111113</v>
      </c>
      <c r="C14" s="11">
        <v>11.455</v>
      </c>
    </row>
    <row r="15" spans="1:3" x14ac:dyDescent="0.3">
      <c r="A15" s="3" t="s">
        <v>46</v>
      </c>
      <c r="B15" s="14">
        <v>10117.647999999999</v>
      </c>
      <c r="C15" s="11">
        <v>14.21834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EDAE9-F73C-445E-8873-6246CA449042}">
  <dimension ref="A2:C15"/>
  <sheetViews>
    <sheetView workbookViewId="0">
      <selection activeCell="C21" sqref="C21"/>
    </sheetView>
  </sheetViews>
  <sheetFormatPr defaultRowHeight="14.4" x14ac:dyDescent="0.3"/>
  <cols>
    <col min="1" max="1" width="15" bestFit="1" customWidth="1"/>
    <col min="2" max="2" width="21.77734375" bestFit="1" customWidth="1"/>
    <col min="3" max="3" width="28.109375" bestFit="1" customWidth="1"/>
  </cols>
  <sheetData>
    <row r="2" spans="1:3" x14ac:dyDescent="0.3">
      <c r="A2" s="2" t="s">
        <v>45</v>
      </c>
      <c r="B2" t="s">
        <v>52</v>
      </c>
      <c r="C2" t="s">
        <v>53</v>
      </c>
    </row>
    <row r="3" spans="1:3" x14ac:dyDescent="0.3">
      <c r="A3" s="3" t="s">
        <v>35</v>
      </c>
      <c r="B3" s="13">
        <v>920678</v>
      </c>
      <c r="C3" s="13">
        <v>2346669</v>
      </c>
    </row>
    <row r="4" spans="1:3" x14ac:dyDescent="0.3">
      <c r="A4" s="3" t="s">
        <v>16</v>
      </c>
      <c r="B4" s="13">
        <v>861769</v>
      </c>
      <c r="C4" s="13">
        <v>2314155</v>
      </c>
    </row>
    <row r="5" spans="1:3" x14ac:dyDescent="0.3">
      <c r="A5" s="3" t="s">
        <v>37</v>
      </c>
      <c r="B5" s="13">
        <v>1183550</v>
      </c>
      <c r="C5" s="13">
        <v>3953170</v>
      </c>
    </row>
    <row r="6" spans="1:3" x14ac:dyDescent="0.3">
      <c r="A6" s="3" t="s">
        <v>25</v>
      </c>
      <c r="B6" s="13">
        <v>1212735</v>
      </c>
      <c r="C6" s="13">
        <v>3140160</v>
      </c>
    </row>
    <row r="7" spans="1:3" x14ac:dyDescent="0.3">
      <c r="A7" s="3" t="s">
        <v>40</v>
      </c>
      <c r="B7" s="13">
        <v>1094902</v>
      </c>
      <c r="C7" s="13">
        <v>3324212</v>
      </c>
    </row>
    <row r="8" spans="1:3" x14ac:dyDescent="0.3">
      <c r="A8" s="3" t="s">
        <v>29</v>
      </c>
      <c r="B8" s="13">
        <v>967744</v>
      </c>
      <c r="C8" s="13">
        <v>2451695</v>
      </c>
    </row>
    <row r="9" spans="1:3" x14ac:dyDescent="0.3">
      <c r="A9" s="3" t="s">
        <v>32</v>
      </c>
      <c r="B9" s="13">
        <v>1087109</v>
      </c>
      <c r="C9" s="13">
        <v>3996826</v>
      </c>
    </row>
    <row r="10" spans="1:3" x14ac:dyDescent="0.3">
      <c r="A10" s="3" t="s">
        <v>20</v>
      </c>
      <c r="B10" s="13">
        <v>1229292</v>
      </c>
      <c r="C10" s="13">
        <v>3846414</v>
      </c>
    </row>
    <row r="11" spans="1:3" x14ac:dyDescent="0.3">
      <c r="A11" s="3" t="s">
        <v>44</v>
      </c>
      <c r="B11" s="13">
        <v>1018181</v>
      </c>
      <c r="C11" s="13">
        <v>3120167</v>
      </c>
    </row>
    <row r="12" spans="1:3" x14ac:dyDescent="0.3">
      <c r="A12" s="3" t="s">
        <v>42</v>
      </c>
      <c r="B12" s="13">
        <v>915590</v>
      </c>
      <c r="C12" s="13">
        <v>2267466</v>
      </c>
    </row>
    <row r="13" spans="1:3" x14ac:dyDescent="0.3">
      <c r="A13" s="3" t="s">
        <v>27</v>
      </c>
      <c r="B13" s="13">
        <v>1021817</v>
      </c>
      <c r="C13" s="13">
        <v>3472118</v>
      </c>
    </row>
    <row r="14" spans="1:3" x14ac:dyDescent="0.3">
      <c r="A14" s="3" t="s">
        <v>22</v>
      </c>
      <c r="B14" s="13">
        <v>1122856</v>
      </c>
      <c r="C14" s="13">
        <v>3823338</v>
      </c>
    </row>
    <row r="15" spans="1:3" x14ac:dyDescent="0.3">
      <c r="A15" s="3" t="s">
        <v>46</v>
      </c>
      <c r="B15" s="13">
        <v>12636223</v>
      </c>
      <c r="C15" s="13">
        <v>38056390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70E58-E81A-49BE-920F-686FF5391936}">
  <dimension ref="A3:B6"/>
  <sheetViews>
    <sheetView workbookViewId="0">
      <selection activeCell="B9" sqref="B9"/>
    </sheetView>
  </sheetViews>
  <sheetFormatPr defaultRowHeight="14.4" x14ac:dyDescent="0.3"/>
  <cols>
    <col min="1" max="1" width="13.6640625" bestFit="1" customWidth="1"/>
    <col min="2" max="2" width="31.33203125" bestFit="1" customWidth="1"/>
  </cols>
  <sheetData>
    <row r="3" spans="1:2" x14ac:dyDescent="0.3">
      <c r="A3" s="2" t="s">
        <v>45</v>
      </c>
      <c r="B3" t="s">
        <v>54</v>
      </c>
    </row>
    <row r="4" spans="1:2" x14ac:dyDescent="0.3">
      <c r="A4" s="3" t="s">
        <v>17</v>
      </c>
      <c r="B4" s="11">
        <v>83.898550724637687</v>
      </c>
    </row>
    <row r="5" spans="1:2" x14ac:dyDescent="0.3">
      <c r="A5" s="3" t="s">
        <v>28</v>
      </c>
      <c r="B5" s="11">
        <v>83.374193548387098</v>
      </c>
    </row>
    <row r="6" spans="1:2" x14ac:dyDescent="0.3">
      <c r="A6" s="3" t="s">
        <v>46</v>
      </c>
      <c r="B6" s="11">
        <v>83.736000000000004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F188A-1537-44FF-B715-15A68DC2489A}">
  <dimension ref="A2:B15"/>
  <sheetViews>
    <sheetView workbookViewId="0">
      <selection activeCell="C19" sqref="C19"/>
    </sheetView>
  </sheetViews>
  <sheetFormatPr defaultRowHeight="14.4" x14ac:dyDescent="0.3"/>
  <cols>
    <col min="1" max="1" width="15" bestFit="1" customWidth="1"/>
    <col min="2" max="2" width="27" bestFit="1" customWidth="1"/>
  </cols>
  <sheetData>
    <row r="2" spans="1:2" x14ac:dyDescent="0.3">
      <c r="A2" s="2" t="s">
        <v>45</v>
      </c>
      <c r="B2" t="s">
        <v>56</v>
      </c>
    </row>
    <row r="3" spans="1:2" x14ac:dyDescent="0.3">
      <c r="A3" s="3" t="s">
        <v>35</v>
      </c>
      <c r="B3" s="11">
        <v>82.674181216655441</v>
      </c>
    </row>
    <row r="4" spans="1:2" x14ac:dyDescent="0.3">
      <c r="A4" s="3" t="s">
        <v>16</v>
      </c>
      <c r="B4" s="11">
        <v>47.815521949196103</v>
      </c>
    </row>
    <row r="5" spans="1:2" x14ac:dyDescent="0.3">
      <c r="A5" s="3" t="s">
        <v>37</v>
      </c>
      <c r="B5" s="11">
        <v>81.613017369214603</v>
      </c>
    </row>
    <row r="6" spans="1:2" x14ac:dyDescent="0.3">
      <c r="A6" s="3" t="s">
        <v>25</v>
      </c>
      <c r="B6" s="11">
        <v>76.017986880062637</v>
      </c>
    </row>
    <row r="7" spans="1:2" x14ac:dyDescent="0.3">
      <c r="A7" s="3" t="s">
        <v>40</v>
      </c>
      <c r="B7" s="11">
        <v>99.434392217869316</v>
      </c>
    </row>
    <row r="8" spans="1:2" x14ac:dyDescent="0.3">
      <c r="A8" s="3" t="s">
        <v>29</v>
      </c>
      <c r="B8" s="11">
        <v>62.995485395970753</v>
      </c>
    </row>
    <row r="9" spans="1:2" x14ac:dyDescent="0.3">
      <c r="A9" s="3" t="s">
        <v>32</v>
      </c>
      <c r="B9" s="11">
        <v>75.724041258562096</v>
      </c>
    </row>
    <row r="10" spans="1:2" x14ac:dyDescent="0.3">
      <c r="A10" s="3" t="s">
        <v>20</v>
      </c>
      <c r="B10" s="11">
        <v>98.617968599496976</v>
      </c>
    </row>
    <row r="11" spans="1:2" x14ac:dyDescent="0.3">
      <c r="A11" s="3" t="s">
        <v>44</v>
      </c>
      <c r="B11" s="11">
        <v>77.683770262356745</v>
      </c>
    </row>
    <row r="12" spans="1:2" x14ac:dyDescent="0.3">
      <c r="A12" s="3" t="s">
        <v>42</v>
      </c>
      <c r="B12" s="11">
        <v>94.660732957671129</v>
      </c>
    </row>
    <row r="13" spans="1:2" x14ac:dyDescent="0.3">
      <c r="A13" s="3" t="s">
        <v>27</v>
      </c>
      <c r="B13" s="11">
        <v>62.676493120098712</v>
      </c>
    </row>
    <row r="14" spans="1:2" x14ac:dyDescent="0.3">
      <c r="A14" s="3" t="s">
        <v>22</v>
      </c>
      <c r="B14" s="11">
        <v>77.939424665117485</v>
      </c>
    </row>
    <row r="15" spans="1:2" x14ac:dyDescent="0.3">
      <c r="A15" s="3" t="s">
        <v>46</v>
      </c>
      <c r="B15" s="11">
        <v>79.26538049228806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6562E-531B-4143-B2B9-8163844BD0D5}">
  <dimension ref="A2:B11"/>
  <sheetViews>
    <sheetView tabSelected="1" workbookViewId="0">
      <selection activeCell="C18" sqref="C18"/>
    </sheetView>
  </sheetViews>
  <sheetFormatPr defaultRowHeight="14.4" x14ac:dyDescent="0.3"/>
  <cols>
    <col min="1" max="1" width="12.5546875" bestFit="1" customWidth="1"/>
    <col min="2" max="2" width="22.88671875" bestFit="1" customWidth="1"/>
  </cols>
  <sheetData>
    <row r="2" spans="1:2" x14ac:dyDescent="0.3">
      <c r="A2" s="2" t="s">
        <v>45</v>
      </c>
      <c r="B2" t="s">
        <v>47</v>
      </c>
    </row>
    <row r="3" spans="1:2" x14ac:dyDescent="0.3">
      <c r="A3" s="3" t="s">
        <v>30</v>
      </c>
      <c r="B3" s="13">
        <v>8034407</v>
      </c>
    </row>
    <row r="4" spans="1:2" x14ac:dyDescent="0.3">
      <c r="A4" s="3" t="s">
        <v>31</v>
      </c>
      <c r="B4" s="13">
        <v>6627742</v>
      </c>
    </row>
    <row r="5" spans="1:2" x14ac:dyDescent="0.3">
      <c r="A5" s="3" t="s">
        <v>43</v>
      </c>
      <c r="B5" s="13">
        <v>6612300</v>
      </c>
    </row>
    <row r="6" spans="1:2" x14ac:dyDescent="0.3">
      <c r="A6" s="3" t="s">
        <v>41</v>
      </c>
      <c r="B6" s="13">
        <v>6610498</v>
      </c>
    </row>
    <row r="7" spans="1:2" x14ac:dyDescent="0.3">
      <c r="A7" s="3" t="s">
        <v>18</v>
      </c>
      <c r="B7" s="13">
        <v>6232298</v>
      </c>
    </row>
    <row r="8" spans="1:2" x14ac:dyDescent="0.3">
      <c r="A8" s="3" t="s">
        <v>26</v>
      </c>
      <c r="B8" s="13">
        <v>5716109</v>
      </c>
    </row>
    <row r="9" spans="1:2" x14ac:dyDescent="0.3">
      <c r="A9" s="3" t="s">
        <v>23</v>
      </c>
      <c r="B9" s="13">
        <v>5696444</v>
      </c>
    </row>
    <row r="10" spans="1:2" x14ac:dyDescent="0.3">
      <c r="A10" s="3" t="s">
        <v>38</v>
      </c>
      <c r="B10" s="13">
        <v>5162815</v>
      </c>
    </row>
    <row r="11" spans="1:2" x14ac:dyDescent="0.3">
      <c r="A11" s="3" t="s">
        <v>46</v>
      </c>
      <c r="B11" s="13">
        <v>50692613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Dataset - Health Care Industry</vt:lpstr>
      <vt:lpstr>1) Total Revenue Company</vt:lpstr>
      <vt:lpstr>2) Year-wise Growth % Trend</vt:lpstr>
      <vt:lpstr>3) Average Profit Margin by Sec</vt:lpstr>
      <vt:lpstr>4) Patients Treated by State</vt:lpstr>
      <vt:lpstr>5) Top 5 Companies by Revenue</vt:lpstr>
      <vt:lpstr>6) R&amp;D Spend vs Profit Margin (</vt:lpstr>
      <vt:lpstr>7) Exports vs Domestic Sales Co</vt:lpstr>
      <vt:lpstr>8) Customer Satisfaction by Sec</vt:lpstr>
      <vt:lpstr>9) Revenue per Doctor </vt:lpstr>
      <vt:lpstr>10) Medicine-wise Revenue Distr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2025-11-06T07:18:33Z</dcterms:modified>
</cp:coreProperties>
</file>