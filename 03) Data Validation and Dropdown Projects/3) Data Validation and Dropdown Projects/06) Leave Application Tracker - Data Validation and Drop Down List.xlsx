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8B311D9C-8418-4DC2-A71E-B7E278A605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mployee" sheetId="1" r:id="rId1"/>
  </sheets>
  <definedNames>
    <definedName name="Finance">'Dataset - Employee'!$O$6</definedName>
    <definedName name="HR">'Dataset - Employee'!$O$5</definedName>
    <definedName name="IT">'Dataset - Employee'!$O$10</definedName>
    <definedName name="Marketing">'Dataset - Employee'!$O$9</definedName>
    <definedName name="Operations">'Dataset - Employee'!$O$7</definedName>
    <definedName name="Sales">'Dataset - Employee'!$O$8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M5" i="1"/>
  <c r="L5" i="1"/>
</calcChain>
</file>

<file path=xl/sharedStrings.xml><?xml version="1.0" encoding="utf-8"?>
<sst xmlns="http://schemas.openxmlformats.org/spreadsheetml/2006/main" count="372" uniqueCount="139">
  <si>
    <t>Employee ID</t>
  </si>
  <si>
    <t>Employee Name</t>
  </si>
  <si>
    <t>Department</t>
  </si>
  <si>
    <t>Leave Type</t>
  </si>
  <si>
    <t>Start Date</t>
  </si>
  <si>
    <t>End Date</t>
  </si>
  <si>
    <t>Total Days</t>
  </si>
  <si>
    <t>Leave Reason</t>
  </si>
  <si>
    <t>Status</t>
  </si>
  <si>
    <t>Manager</t>
  </si>
  <si>
    <t>E001</t>
  </si>
  <si>
    <t>Mohit Singh</t>
  </si>
  <si>
    <t>HR</t>
  </si>
  <si>
    <t>Paternity Leave</t>
  </si>
  <si>
    <t>Health</t>
  </si>
  <si>
    <t>Pending</t>
  </si>
  <si>
    <t>Ms. Divya</t>
  </si>
  <si>
    <t>E002</t>
  </si>
  <si>
    <t>Priya Reddy</t>
  </si>
  <si>
    <t>Finance</t>
  </si>
  <si>
    <t>Work From Home</t>
  </si>
  <si>
    <t>Festival</t>
  </si>
  <si>
    <t>Approved</t>
  </si>
  <si>
    <t>Mr. Ajay</t>
  </si>
  <si>
    <t>E003</t>
  </si>
  <si>
    <t>Sakshi Gupta</t>
  </si>
  <si>
    <t>Operations</t>
  </si>
  <si>
    <t>Maternity Leave</t>
  </si>
  <si>
    <t>Mr. Manoj</t>
  </si>
  <si>
    <t>E004</t>
  </si>
  <si>
    <t>Harsh Rao</t>
  </si>
  <si>
    <t>Personal Work</t>
  </si>
  <si>
    <t>E005</t>
  </si>
  <si>
    <t>Riya Pillai</t>
  </si>
  <si>
    <t>Sales</t>
  </si>
  <si>
    <t>Earned Leave</t>
  </si>
  <si>
    <t>Travel</t>
  </si>
  <si>
    <t>Mr. Raj</t>
  </si>
  <si>
    <t>E006</t>
  </si>
  <si>
    <t>Abhishek Bose</t>
  </si>
  <si>
    <t>Rejected</t>
  </si>
  <si>
    <t>E007</t>
  </si>
  <si>
    <t>Komal Kapoor</t>
  </si>
  <si>
    <t>Casual Leave</t>
  </si>
  <si>
    <t>Urgent Task</t>
  </si>
  <si>
    <t>E008</t>
  </si>
  <si>
    <t>Komal Saxena</t>
  </si>
  <si>
    <t>E009</t>
  </si>
  <si>
    <t>Neha Patil</t>
  </si>
  <si>
    <t>E010</t>
  </si>
  <si>
    <t>Varun Sharma</t>
  </si>
  <si>
    <t>Sick Leave</t>
  </si>
  <si>
    <t>Fever</t>
  </si>
  <si>
    <t>E011</t>
  </si>
  <si>
    <t>Tina Pillai</t>
  </si>
  <si>
    <t>Marketing</t>
  </si>
  <si>
    <t>Ms. Neha</t>
  </si>
  <si>
    <t>E012</t>
  </si>
  <si>
    <t>Varun Thakur</t>
  </si>
  <si>
    <t>E013</t>
  </si>
  <si>
    <t>Neha Mishra</t>
  </si>
  <si>
    <t>IT</t>
  </si>
  <si>
    <t>Mr. Rakesh</t>
  </si>
  <si>
    <t>E014</t>
  </si>
  <si>
    <t>Mohit Shukla</t>
  </si>
  <si>
    <t>Vacation</t>
  </si>
  <si>
    <t>E015</t>
  </si>
  <si>
    <t>Anjali Rao</t>
  </si>
  <si>
    <t>E016</t>
  </si>
  <si>
    <t>Mohit Gandhi</t>
  </si>
  <si>
    <t>E017</t>
  </si>
  <si>
    <t>Nikita Thakur</t>
  </si>
  <si>
    <t>Family Function</t>
  </si>
  <si>
    <t>E018</t>
  </si>
  <si>
    <t>Sakshi Thakur</t>
  </si>
  <si>
    <t>E019</t>
  </si>
  <si>
    <t>Arjun Das</t>
  </si>
  <si>
    <t>E020</t>
  </si>
  <si>
    <t>Rohit Saxena</t>
  </si>
  <si>
    <t>Medical Checkup</t>
  </si>
  <si>
    <t>E021</t>
  </si>
  <si>
    <t>Sneha Chauhan</t>
  </si>
  <si>
    <t>E022</t>
  </si>
  <si>
    <t>Priya Mishra</t>
  </si>
  <si>
    <t>E023</t>
  </si>
  <si>
    <t>Meera Saxena</t>
  </si>
  <si>
    <t>Marriage</t>
  </si>
  <si>
    <t>E024</t>
  </si>
  <si>
    <t>Amit Chauhan</t>
  </si>
  <si>
    <t>E025</t>
  </si>
  <si>
    <t>Riya Thakur</t>
  </si>
  <si>
    <t>E026</t>
  </si>
  <si>
    <t>Sneha Singh</t>
  </si>
  <si>
    <t>E027</t>
  </si>
  <si>
    <t>Suresh Mehta</t>
  </si>
  <si>
    <t>E028</t>
  </si>
  <si>
    <t>Nikita Verma</t>
  </si>
  <si>
    <t>E029</t>
  </si>
  <si>
    <t>E030</t>
  </si>
  <si>
    <t>Rahul Bose</t>
  </si>
  <si>
    <t>E031</t>
  </si>
  <si>
    <t>Vikas Singh</t>
  </si>
  <si>
    <t>E032</t>
  </si>
  <si>
    <t>Pooja Yadav</t>
  </si>
  <si>
    <t>E033</t>
  </si>
  <si>
    <t>Abhishek Pillai</t>
  </si>
  <si>
    <t>E034</t>
  </si>
  <si>
    <t>E035</t>
  </si>
  <si>
    <t>Komal Reddy</t>
  </si>
  <si>
    <t>E036</t>
  </si>
  <si>
    <t>Harsh Thakur</t>
  </si>
  <si>
    <t>E037</t>
  </si>
  <si>
    <t>Rahul Rao</t>
  </si>
  <si>
    <t>E038</t>
  </si>
  <si>
    <t>Suresh Shukla</t>
  </si>
  <si>
    <t>E039</t>
  </si>
  <si>
    <t>Sakshi Saxena</t>
  </si>
  <si>
    <t>E040</t>
  </si>
  <si>
    <t>Arjun Singh</t>
  </si>
  <si>
    <t>E041</t>
  </si>
  <si>
    <t>Sneha Reddy</t>
  </si>
  <si>
    <t>E042</t>
  </si>
  <si>
    <t>Sneha Iyer</t>
  </si>
  <si>
    <t>E043</t>
  </si>
  <si>
    <t>Neha Bansal</t>
  </si>
  <si>
    <t>E044</t>
  </si>
  <si>
    <t>Abhishek Saxena</t>
  </si>
  <si>
    <t>E045</t>
  </si>
  <si>
    <t>Anjali Gupta</t>
  </si>
  <si>
    <t>E046</t>
  </si>
  <si>
    <t>Karan Mehta</t>
  </si>
  <si>
    <t>E047</t>
  </si>
  <si>
    <t>Anjali Mehta</t>
  </si>
  <si>
    <t>E048</t>
  </si>
  <si>
    <t>Pooja Reddy</t>
  </si>
  <si>
    <t>E049</t>
  </si>
  <si>
    <t>Mohit Joshi</t>
  </si>
  <si>
    <t>E050</t>
  </si>
  <si>
    <t>Rohit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</si>
</sst>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N17" sqref="N17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1.109375" bestFit="1" customWidth="1"/>
    <col min="4" max="4" width="15.5546875" bestFit="1" customWidth="1"/>
    <col min="5" max="5" width="10.33203125" bestFit="1" customWidth="1"/>
    <col min="6" max="6" width="11.88671875" bestFit="1" customWidth="1"/>
    <col min="7" max="7" width="10.6640625" bestFit="1" customWidth="1"/>
    <col min="8" max="8" width="14.88671875" bestFit="1" customWidth="1"/>
    <col min="9" max="9" width="8.77734375" bestFit="1" customWidth="1"/>
    <col min="10" max="10" width="10.109375" bestFit="1" customWidth="1"/>
    <col min="11" max="11" width="10.33203125" bestFit="1" customWidth="1"/>
    <col min="14" max="14" width="10" bestFit="1" customWidth="1"/>
    <col min="15" max="15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45877</v>
      </c>
      <c r="F2" s="3">
        <v>45878</v>
      </c>
      <c r="G2" s="2">
        <f>IF(F2&gt;E2,F2-E2+1,"Invalid Date")</f>
        <v>2</v>
      </c>
      <c r="H2" s="2" t="s">
        <v>14</v>
      </c>
      <c r="I2" s="2" t="s">
        <v>15</v>
      </c>
      <c r="J2" s="2" t="s">
        <v>16</v>
      </c>
    </row>
    <row r="3" spans="1:15" x14ac:dyDescent="0.3">
      <c r="A3" s="2" t="s">
        <v>17</v>
      </c>
      <c r="B3" s="2" t="s">
        <v>18</v>
      </c>
      <c r="C3" s="2" t="s">
        <v>19</v>
      </c>
      <c r="D3" s="2" t="s">
        <v>20</v>
      </c>
      <c r="E3" s="3">
        <v>45977</v>
      </c>
      <c r="F3" s="3">
        <v>45980</v>
      </c>
      <c r="G3" s="2">
        <f t="shared" ref="G3:G51" si="0">IF(F3&gt;E3,F3-E3+1,"Invalid Date")</f>
        <v>4</v>
      </c>
      <c r="H3" s="2" t="s">
        <v>21</v>
      </c>
      <c r="I3" s="2" t="s">
        <v>22</v>
      </c>
      <c r="J3" s="2" t="s">
        <v>23</v>
      </c>
    </row>
    <row r="4" spans="1:15" x14ac:dyDescent="0.3">
      <c r="A4" s="2" t="s">
        <v>24</v>
      </c>
      <c r="B4" s="2" t="s">
        <v>25</v>
      </c>
      <c r="C4" s="2" t="s">
        <v>26</v>
      </c>
      <c r="D4" s="2" t="s">
        <v>27</v>
      </c>
      <c r="E4" s="3">
        <v>45979</v>
      </c>
      <c r="F4" s="3">
        <v>45982</v>
      </c>
      <c r="G4" s="2">
        <f t="shared" si="0"/>
        <v>4</v>
      </c>
      <c r="H4" s="2" t="s">
        <v>21</v>
      </c>
      <c r="I4" s="2" t="s">
        <v>15</v>
      </c>
      <c r="J4" s="2" t="s">
        <v>28</v>
      </c>
    </row>
    <row r="5" spans="1:15" x14ac:dyDescent="0.3">
      <c r="A5" s="2" t="s">
        <v>29</v>
      </c>
      <c r="B5" s="2" t="s">
        <v>30</v>
      </c>
      <c r="C5" s="2" t="s">
        <v>19</v>
      </c>
      <c r="D5" s="2" t="s">
        <v>13</v>
      </c>
      <c r="E5" s="3">
        <v>45826</v>
      </c>
      <c r="F5" s="3">
        <v>45831</v>
      </c>
      <c r="G5" s="2">
        <f t="shared" si="0"/>
        <v>6</v>
      </c>
      <c r="H5" s="2" t="s">
        <v>31</v>
      </c>
      <c r="I5" s="2" t="s">
        <v>22</v>
      </c>
      <c r="J5" s="2" t="s">
        <v>23</v>
      </c>
      <c r="L5" t="b">
        <f>F2&gt;=E2</f>
        <v>1</v>
      </c>
      <c r="M5">
        <f>IF(F2&gt;E2,F2-E2,"Invalid Date")</f>
        <v>1</v>
      </c>
      <c r="N5" s="2" t="s">
        <v>12</v>
      </c>
      <c r="O5" s="2" t="s">
        <v>16</v>
      </c>
    </row>
    <row r="6" spans="1:15" x14ac:dyDescent="0.3">
      <c r="A6" s="2" t="s">
        <v>32</v>
      </c>
      <c r="B6" s="2" t="s">
        <v>33</v>
      </c>
      <c r="C6" s="2" t="s">
        <v>34</v>
      </c>
      <c r="D6" s="2" t="s">
        <v>35</v>
      </c>
      <c r="E6" s="3">
        <v>45791</v>
      </c>
      <c r="F6" s="3">
        <v>45793</v>
      </c>
      <c r="G6" s="2">
        <f t="shared" si="0"/>
        <v>3</v>
      </c>
      <c r="H6" s="2" t="s">
        <v>36</v>
      </c>
      <c r="I6" s="2" t="s">
        <v>15</v>
      </c>
      <c r="J6" s="2" t="s">
        <v>37</v>
      </c>
      <c r="N6" s="2" t="s">
        <v>19</v>
      </c>
      <c r="O6" s="2" t="s">
        <v>23</v>
      </c>
    </row>
    <row r="7" spans="1:15" x14ac:dyDescent="0.3">
      <c r="A7" s="2" t="s">
        <v>38</v>
      </c>
      <c r="B7" s="2" t="s">
        <v>39</v>
      </c>
      <c r="C7" s="2" t="s">
        <v>12</v>
      </c>
      <c r="D7" s="2" t="s">
        <v>27</v>
      </c>
      <c r="E7" s="3">
        <v>45922</v>
      </c>
      <c r="F7" s="3">
        <v>45922</v>
      </c>
      <c r="G7" s="2" t="str">
        <f t="shared" si="0"/>
        <v>Invalid Date</v>
      </c>
      <c r="H7" s="2" t="s">
        <v>36</v>
      </c>
      <c r="I7" s="2" t="s">
        <v>40</v>
      </c>
      <c r="J7" s="2" t="s">
        <v>16</v>
      </c>
      <c r="N7" s="2" t="s">
        <v>26</v>
      </c>
      <c r="O7" s="2" t="s">
        <v>28</v>
      </c>
    </row>
    <row r="8" spans="1:15" x14ac:dyDescent="0.3">
      <c r="A8" s="2" t="s">
        <v>41</v>
      </c>
      <c r="B8" s="2" t="s">
        <v>42</v>
      </c>
      <c r="C8" s="2" t="s">
        <v>19</v>
      </c>
      <c r="D8" s="2" t="s">
        <v>43</v>
      </c>
      <c r="E8" s="3">
        <v>45695</v>
      </c>
      <c r="F8" s="3">
        <v>45696</v>
      </c>
      <c r="G8" s="2">
        <f t="shared" si="0"/>
        <v>2</v>
      </c>
      <c r="H8" s="2" t="s">
        <v>44</v>
      </c>
      <c r="I8" s="2" t="s">
        <v>15</v>
      </c>
      <c r="J8" s="2" t="s">
        <v>23</v>
      </c>
      <c r="N8" s="2" t="s">
        <v>34</v>
      </c>
      <c r="O8" s="2" t="s">
        <v>37</v>
      </c>
    </row>
    <row r="9" spans="1:15" x14ac:dyDescent="0.3">
      <c r="A9" s="2" t="s">
        <v>45</v>
      </c>
      <c r="B9" s="2" t="s">
        <v>46</v>
      </c>
      <c r="C9" s="2" t="s">
        <v>26</v>
      </c>
      <c r="D9" s="2" t="s">
        <v>43</v>
      </c>
      <c r="E9" s="3">
        <v>45744</v>
      </c>
      <c r="F9" s="3">
        <v>45745</v>
      </c>
      <c r="G9" s="2">
        <f t="shared" si="0"/>
        <v>2</v>
      </c>
      <c r="H9" s="2" t="s">
        <v>14</v>
      </c>
      <c r="I9" s="2" t="s">
        <v>15</v>
      </c>
      <c r="J9" s="2" t="s">
        <v>28</v>
      </c>
      <c r="N9" s="2" t="s">
        <v>55</v>
      </c>
      <c r="O9" s="2" t="s">
        <v>56</v>
      </c>
    </row>
    <row r="10" spans="1:15" x14ac:dyDescent="0.3">
      <c r="A10" s="2" t="s">
        <v>47</v>
      </c>
      <c r="B10" s="2" t="s">
        <v>48</v>
      </c>
      <c r="C10" s="2" t="s">
        <v>12</v>
      </c>
      <c r="D10" s="2" t="s">
        <v>13</v>
      </c>
      <c r="E10" s="3">
        <v>45853</v>
      </c>
      <c r="F10" s="3">
        <v>45858</v>
      </c>
      <c r="G10" s="2">
        <f t="shared" si="0"/>
        <v>6</v>
      </c>
      <c r="H10" s="2" t="s">
        <v>36</v>
      </c>
      <c r="I10" s="2" t="s">
        <v>40</v>
      </c>
      <c r="J10" s="2" t="s">
        <v>16</v>
      </c>
      <c r="N10" s="2" t="s">
        <v>61</v>
      </c>
      <c r="O10" s="2" t="s">
        <v>62</v>
      </c>
    </row>
    <row r="11" spans="1:15" x14ac:dyDescent="0.3">
      <c r="A11" s="2" t="s">
        <v>49</v>
      </c>
      <c r="B11" s="2" t="s">
        <v>50</v>
      </c>
      <c r="C11" s="2" t="s">
        <v>34</v>
      </c>
      <c r="D11" s="2" t="s">
        <v>51</v>
      </c>
      <c r="E11" s="3">
        <v>45785</v>
      </c>
      <c r="F11" s="3">
        <v>45787</v>
      </c>
      <c r="G11" s="2">
        <f t="shared" si="0"/>
        <v>3</v>
      </c>
      <c r="H11" s="2" t="s">
        <v>52</v>
      </c>
      <c r="I11" s="2" t="s">
        <v>40</v>
      </c>
      <c r="J11" s="2" t="s">
        <v>37</v>
      </c>
    </row>
    <row r="12" spans="1:15" x14ac:dyDescent="0.3">
      <c r="A12" s="2" t="s">
        <v>53</v>
      </c>
      <c r="B12" s="2" t="s">
        <v>54</v>
      </c>
      <c r="C12" s="2" t="s">
        <v>55</v>
      </c>
      <c r="D12" s="2" t="s">
        <v>27</v>
      </c>
      <c r="E12" s="3">
        <v>45861</v>
      </c>
      <c r="F12" s="3">
        <v>45864</v>
      </c>
      <c r="G12" s="2">
        <f t="shared" si="0"/>
        <v>4</v>
      </c>
      <c r="H12" s="2" t="s">
        <v>21</v>
      </c>
      <c r="I12" s="2" t="s">
        <v>22</v>
      </c>
      <c r="J12" s="2" t="s">
        <v>56</v>
      </c>
    </row>
    <row r="13" spans="1:15" x14ac:dyDescent="0.3">
      <c r="A13" s="2" t="s">
        <v>57</v>
      </c>
      <c r="B13" s="2" t="s">
        <v>58</v>
      </c>
      <c r="C13" s="2" t="s">
        <v>34</v>
      </c>
      <c r="D13" s="2" t="s">
        <v>27</v>
      </c>
      <c r="E13" s="3">
        <v>45890</v>
      </c>
      <c r="F13" s="3">
        <v>45894</v>
      </c>
      <c r="G13" s="2">
        <f t="shared" si="0"/>
        <v>5</v>
      </c>
      <c r="H13" s="2" t="s">
        <v>52</v>
      </c>
      <c r="I13" s="2" t="s">
        <v>40</v>
      </c>
      <c r="J13" s="2" t="s">
        <v>37</v>
      </c>
    </row>
    <row r="14" spans="1:15" x14ac:dyDescent="0.3">
      <c r="A14" s="2" t="s">
        <v>59</v>
      </c>
      <c r="B14" s="2" t="s">
        <v>60</v>
      </c>
      <c r="C14" s="2" t="s">
        <v>61</v>
      </c>
      <c r="D14" s="2" t="s">
        <v>51</v>
      </c>
      <c r="E14" s="3">
        <v>45959</v>
      </c>
      <c r="F14" s="3">
        <v>45963</v>
      </c>
      <c r="G14" s="2">
        <f t="shared" si="0"/>
        <v>5</v>
      </c>
      <c r="H14" s="2" t="s">
        <v>52</v>
      </c>
      <c r="I14" s="2" t="s">
        <v>40</v>
      </c>
      <c r="J14" s="2" t="s">
        <v>62</v>
      </c>
    </row>
    <row r="15" spans="1:15" x14ac:dyDescent="0.3">
      <c r="A15" s="2" t="s">
        <v>63</v>
      </c>
      <c r="B15" s="2" t="s">
        <v>64</v>
      </c>
      <c r="C15" s="2" t="s">
        <v>19</v>
      </c>
      <c r="D15" s="2" t="s">
        <v>13</v>
      </c>
      <c r="E15" s="3">
        <v>45919</v>
      </c>
      <c r="F15" s="3">
        <v>45923</v>
      </c>
      <c r="G15" s="2">
        <f t="shared" si="0"/>
        <v>5</v>
      </c>
      <c r="H15" s="2" t="s">
        <v>65</v>
      </c>
      <c r="I15" s="2" t="s">
        <v>22</v>
      </c>
      <c r="J15" s="2" t="s">
        <v>23</v>
      </c>
    </row>
    <row r="16" spans="1:15" x14ac:dyDescent="0.3">
      <c r="A16" s="2" t="s">
        <v>66</v>
      </c>
      <c r="B16" s="2" t="s">
        <v>67</v>
      </c>
      <c r="C16" s="2" t="s">
        <v>34</v>
      </c>
      <c r="D16" s="2" t="s">
        <v>43</v>
      </c>
      <c r="E16" s="3">
        <v>45826</v>
      </c>
      <c r="F16" s="3">
        <v>45828</v>
      </c>
      <c r="G16" s="2">
        <f t="shared" si="0"/>
        <v>3</v>
      </c>
      <c r="H16" s="2" t="s">
        <v>21</v>
      </c>
      <c r="I16" s="2" t="s">
        <v>22</v>
      </c>
      <c r="J16" s="2" t="s">
        <v>37</v>
      </c>
    </row>
    <row r="17" spans="1:10" x14ac:dyDescent="0.3">
      <c r="A17" s="2" t="s">
        <v>68</v>
      </c>
      <c r="B17" s="2" t="s">
        <v>69</v>
      </c>
      <c r="C17" s="2" t="s">
        <v>12</v>
      </c>
      <c r="D17" s="2" t="s">
        <v>43</v>
      </c>
      <c r="E17" s="3">
        <v>45788</v>
      </c>
      <c r="F17" s="3">
        <v>45789</v>
      </c>
      <c r="G17" s="2">
        <f t="shared" si="0"/>
        <v>2</v>
      </c>
      <c r="H17" s="2" t="s">
        <v>52</v>
      </c>
      <c r="I17" s="2" t="s">
        <v>22</v>
      </c>
      <c r="J17" s="2" t="s">
        <v>16</v>
      </c>
    </row>
    <row r="18" spans="1:10" x14ac:dyDescent="0.3">
      <c r="A18" s="2" t="s">
        <v>70</v>
      </c>
      <c r="B18" s="2" t="s">
        <v>71</v>
      </c>
      <c r="C18" s="2" t="s">
        <v>12</v>
      </c>
      <c r="D18" s="2" t="s">
        <v>13</v>
      </c>
      <c r="E18" s="3">
        <v>45818</v>
      </c>
      <c r="F18" s="3">
        <v>45821</v>
      </c>
      <c r="G18" s="2">
        <f t="shared" si="0"/>
        <v>4</v>
      </c>
      <c r="H18" s="2" t="s">
        <v>72</v>
      </c>
      <c r="I18" s="2" t="s">
        <v>15</v>
      </c>
      <c r="J18" s="2" t="s">
        <v>16</v>
      </c>
    </row>
    <row r="19" spans="1:10" x14ac:dyDescent="0.3">
      <c r="A19" s="2" t="s">
        <v>73</v>
      </c>
      <c r="B19" s="2" t="s">
        <v>74</v>
      </c>
      <c r="C19" s="2" t="s">
        <v>12</v>
      </c>
      <c r="D19" s="2" t="s">
        <v>35</v>
      </c>
      <c r="E19" s="3">
        <v>45870</v>
      </c>
      <c r="F19" s="3">
        <v>45872</v>
      </c>
      <c r="G19" s="2">
        <f t="shared" si="0"/>
        <v>3</v>
      </c>
      <c r="H19" s="2" t="s">
        <v>44</v>
      </c>
      <c r="I19" s="2" t="s">
        <v>15</v>
      </c>
      <c r="J19" s="2" t="s">
        <v>16</v>
      </c>
    </row>
    <row r="20" spans="1:10" x14ac:dyDescent="0.3">
      <c r="A20" s="2" t="s">
        <v>75</v>
      </c>
      <c r="B20" s="2" t="s">
        <v>76</v>
      </c>
      <c r="C20" s="2" t="s">
        <v>26</v>
      </c>
      <c r="D20" s="2" t="s">
        <v>27</v>
      </c>
      <c r="E20" s="3">
        <v>45742</v>
      </c>
      <c r="F20" s="3">
        <v>45744</v>
      </c>
      <c r="G20" s="2">
        <f t="shared" si="0"/>
        <v>3</v>
      </c>
      <c r="H20" s="2" t="s">
        <v>52</v>
      </c>
      <c r="I20" s="2" t="s">
        <v>15</v>
      </c>
      <c r="J20" s="2" t="s">
        <v>28</v>
      </c>
    </row>
    <row r="21" spans="1:10" x14ac:dyDescent="0.3">
      <c r="A21" s="2" t="s">
        <v>77</v>
      </c>
      <c r="B21" s="2" t="s">
        <v>78</v>
      </c>
      <c r="C21" s="2" t="s">
        <v>55</v>
      </c>
      <c r="D21" s="2" t="s">
        <v>43</v>
      </c>
      <c r="E21" s="3">
        <v>45973</v>
      </c>
      <c r="F21" s="3">
        <v>45975</v>
      </c>
      <c r="G21" s="2">
        <f t="shared" si="0"/>
        <v>3</v>
      </c>
      <c r="H21" s="2" t="s">
        <v>79</v>
      </c>
      <c r="I21" s="2" t="s">
        <v>15</v>
      </c>
      <c r="J21" s="2" t="s">
        <v>56</v>
      </c>
    </row>
    <row r="22" spans="1:10" x14ac:dyDescent="0.3">
      <c r="A22" s="2" t="s">
        <v>80</v>
      </c>
      <c r="B22" s="2" t="s">
        <v>81</v>
      </c>
      <c r="C22" s="2" t="s">
        <v>19</v>
      </c>
      <c r="D22" s="2" t="s">
        <v>20</v>
      </c>
      <c r="E22" s="3">
        <v>45885</v>
      </c>
      <c r="F22" s="3">
        <v>45886</v>
      </c>
      <c r="G22" s="2">
        <f t="shared" si="0"/>
        <v>2</v>
      </c>
      <c r="H22" s="2" t="s">
        <v>14</v>
      </c>
      <c r="I22" s="2" t="s">
        <v>22</v>
      </c>
      <c r="J22" s="2" t="s">
        <v>23</v>
      </c>
    </row>
    <row r="23" spans="1:10" x14ac:dyDescent="0.3">
      <c r="A23" s="2" t="s">
        <v>82</v>
      </c>
      <c r="B23" s="2" t="s">
        <v>83</v>
      </c>
      <c r="C23" s="2" t="s">
        <v>61</v>
      </c>
      <c r="D23" s="2" t="s">
        <v>20</v>
      </c>
      <c r="E23" s="3">
        <v>45748</v>
      </c>
      <c r="F23" s="3">
        <v>45753</v>
      </c>
      <c r="G23" s="2">
        <f t="shared" si="0"/>
        <v>6</v>
      </c>
      <c r="H23" s="2" t="s">
        <v>36</v>
      </c>
      <c r="I23" s="2" t="s">
        <v>40</v>
      </c>
      <c r="J23" s="2" t="s">
        <v>62</v>
      </c>
    </row>
    <row r="24" spans="1:10" x14ac:dyDescent="0.3">
      <c r="A24" s="2" t="s">
        <v>84</v>
      </c>
      <c r="B24" s="2" t="s">
        <v>85</v>
      </c>
      <c r="C24" s="2" t="s">
        <v>34</v>
      </c>
      <c r="D24" s="2" t="s">
        <v>27</v>
      </c>
      <c r="E24" s="3">
        <v>45914</v>
      </c>
      <c r="F24" s="3">
        <v>45919</v>
      </c>
      <c r="G24" s="2">
        <f t="shared" si="0"/>
        <v>6</v>
      </c>
      <c r="H24" s="2" t="s">
        <v>86</v>
      </c>
      <c r="I24" s="2" t="s">
        <v>40</v>
      </c>
      <c r="J24" s="2" t="s">
        <v>37</v>
      </c>
    </row>
    <row r="25" spans="1:10" x14ac:dyDescent="0.3">
      <c r="A25" s="2" t="s">
        <v>87</v>
      </c>
      <c r="B25" s="2" t="s">
        <v>88</v>
      </c>
      <c r="C25" s="2" t="s">
        <v>12</v>
      </c>
      <c r="D25" s="2" t="s">
        <v>27</v>
      </c>
      <c r="E25" s="3">
        <v>45772</v>
      </c>
      <c r="F25" s="3">
        <v>45777</v>
      </c>
      <c r="G25" s="2">
        <f t="shared" si="0"/>
        <v>6</v>
      </c>
      <c r="H25" s="2" t="s">
        <v>44</v>
      </c>
      <c r="I25" s="2" t="s">
        <v>15</v>
      </c>
      <c r="J25" s="2" t="s">
        <v>16</v>
      </c>
    </row>
    <row r="26" spans="1:10" x14ac:dyDescent="0.3">
      <c r="A26" s="2" t="s">
        <v>89</v>
      </c>
      <c r="B26" s="2" t="s">
        <v>90</v>
      </c>
      <c r="C26" s="2" t="s">
        <v>61</v>
      </c>
      <c r="D26" s="2" t="s">
        <v>27</v>
      </c>
      <c r="E26" s="3">
        <v>45689</v>
      </c>
      <c r="F26" s="3">
        <v>45689</v>
      </c>
      <c r="G26" s="2" t="str">
        <f t="shared" si="0"/>
        <v>Invalid Date</v>
      </c>
      <c r="H26" s="2" t="s">
        <v>31</v>
      </c>
      <c r="I26" s="2" t="s">
        <v>15</v>
      </c>
      <c r="J26" s="2" t="s">
        <v>62</v>
      </c>
    </row>
    <row r="27" spans="1:10" x14ac:dyDescent="0.3">
      <c r="A27" s="2" t="s">
        <v>91</v>
      </c>
      <c r="B27" s="2" t="s">
        <v>92</v>
      </c>
      <c r="C27" s="2" t="s">
        <v>34</v>
      </c>
      <c r="D27" s="2" t="s">
        <v>43</v>
      </c>
      <c r="E27" s="3">
        <v>45782</v>
      </c>
      <c r="F27" s="3">
        <v>45785</v>
      </c>
      <c r="G27" s="2">
        <f t="shared" si="0"/>
        <v>4</v>
      </c>
      <c r="H27" s="2" t="s">
        <v>21</v>
      </c>
      <c r="I27" s="2" t="s">
        <v>40</v>
      </c>
      <c r="J27" s="2" t="s">
        <v>37</v>
      </c>
    </row>
    <row r="28" spans="1:10" x14ac:dyDescent="0.3">
      <c r="A28" s="2" t="s">
        <v>93</v>
      </c>
      <c r="B28" s="2" t="s">
        <v>94</v>
      </c>
      <c r="C28" s="2" t="s">
        <v>12</v>
      </c>
      <c r="D28" s="2" t="s">
        <v>20</v>
      </c>
      <c r="E28" s="3">
        <v>45710</v>
      </c>
      <c r="F28" s="3">
        <v>45710</v>
      </c>
      <c r="G28" s="2" t="str">
        <f t="shared" si="0"/>
        <v>Invalid Date</v>
      </c>
      <c r="H28" s="2" t="s">
        <v>72</v>
      </c>
      <c r="I28" s="2" t="s">
        <v>22</v>
      </c>
      <c r="J28" s="2" t="s">
        <v>16</v>
      </c>
    </row>
    <row r="29" spans="1:10" x14ac:dyDescent="0.3">
      <c r="A29" s="2" t="s">
        <v>95</v>
      </c>
      <c r="B29" s="2" t="s">
        <v>96</v>
      </c>
      <c r="C29" s="2" t="s">
        <v>26</v>
      </c>
      <c r="D29" s="2" t="s">
        <v>20</v>
      </c>
      <c r="E29" s="3">
        <v>45751</v>
      </c>
      <c r="F29" s="3">
        <v>45752</v>
      </c>
      <c r="G29" s="2">
        <f t="shared" si="0"/>
        <v>2</v>
      </c>
      <c r="H29" s="2" t="s">
        <v>21</v>
      </c>
      <c r="I29" s="2" t="s">
        <v>15</v>
      </c>
      <c r="J29" s="2" t="s">
        <v>28</v>
      </c>
    </row>
    <row r="30" spans="1:10" x14ac:dyDescent="0.3">
      <c r="A30" s="2" t="s">
        <v>97</v>
      </c>
      <c r="B30" s="2" t="s">
        <v>50</v>
      </c>
      <c r="C30" s="2" t="s">
        <v>12</v>
      </c>
      <c r="D30" s="2" t="s">
        <v>51</v>
      </c>
      <c r="E30" s="3">
        <v>45669</v>
      </c>
      <c r="F30" s="3">
        <v>45671</v>
      </c>
      <c r="G30" s="2">
        <f t="shared" si="0"/>
        <v>3</v>
      </c>
      <c r="H30" s="2" t="s">
        <v>14</v>
      </c>
      <c r="I30" s="2" t="s">
        <v>40</v>
      </c>
      <c r="J30" s="2" t="s">
        <v>16</v>
      </c>
    </row>
    <row r="31" spans="1:10" x14ac:dyDescent="0.3">
      <c r="A31" s="2" t="s">
        <v>98</v>
      </c>
      <c r="B31" s="2" t="s">
        <v>99</v>
      </c>
      <c r="C31" s="2" t="s">
        <v>19</v>
      </c>
      <c r="D31" s="2" t="s">
        <v>13</v>
      </c>
      <c r="E31" s="3">
        <v>45880</v>
      </c>
      <c r="F31" s="3">
        <v>45885</v>
      </c>
      <c r="G31" s="2">
        <f t="shared" si="0"/>
        <v>6</v>
      </c>
      <c r="H31" s="2" t="s">
        <v>79</v>
      </c>
      <c r="I31" s="2" t="s">
        <v>22</v>
      </c>
      <c r="J31" s="2" t="s">
        <v>23</v>
      </c>
    </row>
    <row r="32" spans="1:10" x14ac:dyDescent="0.3">
      <c r="A32" s="2" t="s">
        <v>100</v>
      </c>
      <c r="B32" s="2" t="s">
        <v>101</v>
      </c>
      <c r="C32" s="2" t="s">
        <v>55</v>
      </c>
      <c r="D32" s="2" t="s">
        <v>13</v>
      </c>
      <c r="E32" s="3">
        <v>45954</v>
      </c>
      <c r="F32" s="3">
        <v>45956</v>
      </c>
      <c r="G32" s="2">
        <f t="shared" si="0"/>
        <v>3</v>
      </c>
      <c r="H32" s="2" t="s">
        <v>86</v>
      </c>
      <c r="I32" s="2" t="s">
        <v>40</v>
      </c>
      <c r="J32" s="2" t="s">
        <v>56</v>
      </c>
    </row>
    <row r="33" spans="1:10" x14ac:dyDescent="0.3">
      <c r="A33" s="2" t="s">
        <v>102</v>
      </c>
      <c r="B33" s="2" t="s">
        <v>103</v>
      </c>
      <c r="C33" s="2" t="s">
        <v>26</v>
      </c>
      <c r="D33" s="2" t="s">
        <v>13</v>
      </c>
      <c r="E33" s="3">
        <v>45781</v>
      </c>
      <c r="F33" s="3">
        <v>45784</v>
      </c>
      <c r="G33" s="2">
        <f t="shared" si="0"/>
        <v>4</v>
      </c>
      <c r="H33" s="2" t="s">
        <v>36</v>
      </c>
      <c r="I33" s="2" t="s">
        <v>15</v>
      </c>
      <c r="J33" s="2" t="s">
        <v>28</v>
      </c>
    </row>
    <row r="34" spans="1:10" x14ac:dyDescent="0.3">
      <c r="A34" s="2" t="s">
        <v>104</v>
      </c>
      <c r="B34" s="2" t="s">
        <v>105</v>
      </c>
      <c r="C34" s="2" t="s">
        <v>12</v>
      </c>
      <c r="D34" s="2" t="s">
        <v>27</v>
      </c>
      <c r="E34" s="3">
        <v>45797</v>
      </c>
      <c r="F34" s="3">
        <v>45798</v>
      </c>
      <c r="G34" s="2">
        <f t="shared" si="0"/>
        <v>2</v>
      </c>
      <c r="H34" s="2" t="s">
        <v>14</v>
      </c>
      <c r="I34" s="2" t="s">
        <v>15</v>
      </c>
      <c r="J34" s="2" t="s">
        <v>16</v>
      </c>
    </row>
    <row r="35" spans="1:10" x14ac:dyDescent="0.3">
      <c r="A35" s="2" t="s">
        <v>106</v>
      </c>
      <c r="B35" s="2" t="s">
        <v>101</v>
      </c>
      <c r="C35" s="2" t="s">
        <v>34</v>
      </c>
      <c r="D35" s="2" t="s">
        <v>51</v>
      </c>
      <c r="E35" s="3">
        <v>45771</v>
      </c>
      <c r="F35" s="3">
        <v>45772</v>
      </c>
      <c r="G35" s="2">
        <f t="shared" si="0"/>
        <v>2</v>
      </c>
      <c r="H35" s="2" t="s">
        <v>31</v>
      </c>
      <c r="I35" s="2" t="s">
        <v>22</v>
      </c>
      <c r="J35" s="2" t="s">
        <v>37</v>
      </c>
    </row>
    <row r="36" spans="1:10" x14ac:dyDescent="0.3">
      <c r="A36" s="2" t="s">
        <v>107</v>
      </c>
      <c r="B36" s="2" t="s">
        <v>108</v>
      </c>
      <c r="C36" s="2" t="s">
        <v>34</v>
      </c>
      <c r="D36" s="2" t="s">
        <v>27</v>
      </c>
      <c r="E36" s="3">
        <v>45968</v>
      </c>
      <c r="F36" s="3">
        <v>45970</v>
      </c>
      <c r="G36" s="2">
        <f t="shared" si="0"/>
        <v>3</v>
      </c>
      <c r="H36" s="2" t="s">
        <v>65</v>
      </c>
      <c r="I36" s="2" t="s">
        <v>22</v>
      </c>
      <c r="J36" s="2" t="s">
        <v>37</v>
      </c>
    </row>
    <row r="37" spans="1:10" x14ac:dyDescent="0.3">
      <c r="A37" s="2" t="s">
        <v>109</v>
      </c>
      <c r="B37" s="2" t="s">
        <v>110</v>
      </c>
      <c r="C37" s="2" t="s">
        <v>19</v>
      </c>
      <c r="D37" s="2" t="s">
        <v>43</v>
      </c>
      <c r="E37" s="3">
        <v>45973</v>
      </c>
      <c r="F37" s="3">
        <v>45977</v>
      </c>
      <c r="G37" s="2">
        <f t="shared" si="0"/>
        <v>5</v>
      </c>
      <c r="H37" s="2" t="s">
        <v>65</v>
      </c>
      <c r="I37" s="2" t="s">
        <v>22</v>
      </c>
      <c r="J37" s="2" t="s">
        <v>23</v>
      </c>
    </row>
    <row r="38" spans="1:10" x14ac:dyDescent="0.3">
      <c r="A38" s="2" t="s">
        <v>111</v>
      </c>
      <c r="B38" s="2" t="s">
        <v>112</v>
      </c>
      <c r="C38" s="2" t="s">
        <v>26</v>
      </c>
      <c r="D38" s="2" t="s">
        <v>13</v>
      </c>
      <c r="E38" s="3">
        <v>45716</v>
      </c>
      <c r="F38" s="3">
        <v>45721</v>
      </c>
      <c r="G38" s="2">
        <f t="shared" si="0"/>
        <v>6</v>
      </c>
      <c r="H38" s="2" t="s">
        <v>21</v>
      </c>
      <c r="I38" s="2" t="s">
        <v>22</v>
      </c>
      <c r="J38" s="2" t="s">
        <v>28</v>
      </c>
    </row>
    <row r="39" spans="1:10" x14ac:dyDescent="0.3">
      <c r="A39" s="2" t="s">
        <v>113</v>
      </c>
      <c r="B39" s="2" t="s">
        <v>114</v>
      </c>
      <c r="C39" s="2" t="s">
        <v>26</v>
      </c>
      <c r="D39" s="2" t="s">
        <v>27</v>
      </c>
      <c r="E39" s="3">
        <v>45791</v>
      </c>
      <c r="F39" s="3">
        <v>45792</v>
      </c>
      <c r="G39" s="2">
        <f t="shared" si="0"/>
        <v>2</v>
      </c>
      <c r="H39" s="2" t="s">
        <v>72</v>
      </c>
      <c r="I39" s="2" t="s">
        <v>22</v>
      </c>
      <c r="J39" s="2" t="s">
        <v>28</v>
      </c>
    </row>
    <row r="40" spans="1:10" x14ac:dyDescent="0.3">
      <c r="A40" s="2" t="s">
        <v>115</v>
      </c>
      <c r="B40" s="2" t="s">
        <v>116</v>
      </c>
      <c r="C40" s="2" t="s">
        <v>55</v>
      </c>
      <c r="D40" s="2" t="s">
        <v>51</v>
      </c>
      <c r="E40" s="3">
        <v>45928</v>
      </c>
      <c r="F40" s="3">
        <v>45933</v>
      </c>
      <c r="G40" s="2">
        <f t="shared" si="0"/>
        <v>6</v>
      </c>
      <c r="H40" s="2" t="s">
        <v>65</v>
      </c>
      <c r="I40" s="2" t="s">
        <v>40</v>
      </c>
      <c r="J40" s="2" t="s">
        <v>56</v>
      </c>
    </row>
    <row r="41" spans="1:10" x14ac:dyDescent="0.3">
      <c r="A41" s="2" t="s">
        <v>117</v>
      </c>
      <c r="B41" s="2" t="s">
        <v>118</v>
      </c>
      <c r="C41" s="2" t="s">
        <v>61</v>
      </c>
      <c r="D41" s="2" t="s">
        <v>43</v>
      </c>
      <c r="E41" s="3">
        <v>45750</v>
      </c>
      <c r="F41" s="3">
        <v>45754</v>
      </c>
      <c r="G41" s="2">
        <f t="shared" si="0"/>
        <v>5</v>
      </c>
      <c r="H41" s="2" t="s">
        <v>31</v>
      </c>
      <c r="I41" s="2" t="s">
        <v>40</v>
      </c>
      <c r="J41" s="2" t="s">
        <v>62</v>
      </c>
    </row>
    <row r="42" spans="1:10" x14ac:dyDescent="0.3">
      <c r="A42" s="2" t="s">
        <v>119</v>
      </c>
      <c r="B42" s="2" t="s">
        <v>120</v>
      </c>
      <c r="C42" s="2" t="s">
        <v>19</v>
      </c>
      <c r="D42" s="2" t="s">
        <v>13</v>
      </c>
      <c r="E42" s="3">
        <v>45915</v>
      </c>
      <c r="F42" s="3">
        <v>45920</v>
      </c>
      <c r="G42" s="2">
        <f t="shared" si="0"/>
        <v>6</v>
      </c>
      <c r="H42" s="2" t="s">
        <v>31</v>
      </c>
      <c r="I42" s="2" t="s">
        <v>40</v>
      </c>
      <c r="J42" s="2" t="s">
        <v>23</v>
      </c>
    </row>
    <row r="43" spans="1:10" x14ac:dyDescent="0.3">
      <c r="A43" s="2" t="s">
        <v>121</v>
      </c>
      <c r="B43" s="2" t="s">
        <v>122</v>
      </c>
      <c r="C43" s="2" t="s">
        <v>55</v>
      </c>
      <c r="D43" s="2" t="s">
        <v>13</v>
      </c>
      <c r="E43" s="3">
        <v>45858</v>
      </c>
      <c r="F43" s="3">
        <v>45861</v>
      </c>
      <c r="G43" s="2">
        <f t="shared" si="0"/>
        <v>4</v>
      </c>
      <c r="H43" s="2" t="s">
        <v>79</v>
      </c>
      <c r="I43" s="2" t="s">
        <v>40</v>
      </c>
      <c r="J43" s="2" t="s">
        <v>56</v>
      </c>
    </row>
    <row r="44" spans="1:10" x14ac:dyDescent="0.3">
      <c r="A44" s="2" t="s">
        <v>123</v>
      </c>
      <c r="B44" s="2" t="s">
        <v>124</v>
      </c>
      <c r="C44" s="2" t="s">
        <v>55</v>
      </c>
      <c r="D44" s="2" t="s">
        <v>51</v>
      </c>
      <c r="E44" s="3">
        <v>45740</v>
      </c>
      <c r="F44" s="3">
        <v>45741</v>
      </c>
      <c r="G44" s="2">
        <f t="shared" si="0"/>
        <v>2</v>
      </c>
      <c r="H44" s="2" t="s">
        <v>36</v>
      </c>
      <c r="I44" s="2" t="s">
        <v>15</v>
      </c>
      <c r="J44" s="2" t="s">
        <v>56</v>
      </c>
    </row>
    <row r="45" spans="1:10" x14ac:dyDescent="0.3">
      <c r="A45" s="2" t="s">
        <v>125</v>
      </c>
      <c r="B45" s="2" t="s">
        <v>126</v>
      </c>
      <c r="C45" s="2" t="s">
        <v>12</v>
      </c>
      <c r="D45" s="2" t="s">
        <v>43</v>
      </c>
      <c r="E45" s="3">
        <v>45686</v>
      </c>
      <c r="F45" s="3">
        <v>45688</v>
      </c>
      <c r="G45" s="2">
        <f t="shared" si="0"/>
        <v>3</v>
      </c>
      <c r="H45" s="2" t="s">
        <v>65</v>
      </c>
      <c r="I45" s="2" t="s">
        <v>22</v>
      </c>
      <c r="J45" s="2" t="s">
        <v>16</v>
      </c>
    </row>
    <row r="46" spans="1:10" x14ac:dyDescent="0.3">
      <c r="A46" s="2" t="s">
        <v>127</v>
      </c>
      <c r="B46" s="2" t="s">
        <v>128</v>
      </c>
      <c r="C46" s="2" t="s">
        <v>61</v>
      </c>
      <c r="D46" s="2" t="s">
        <v>27</v>
      </c>
      <c r="E46" s="3">
        <v>45912</v>
      </c>
      <c r="F46" s="3">
        <v>45915</v>
      </c>
      <c r="G46" s="2">
        <f t="shared" si="0"/>
        <v>4</v>
      </c>
      <c r="H46" s="2" t="s">
        <v>72</v>
      </c>
      <c r="I46" s="2" t="s">
        <v>22</v>
      </c>
      <c r="J46" s="2" t="s">
        <v>62</v>
      </c>
    </row>
    <row r="47" spans="1:10" x14ac:dyDescent="0.3">
      <c r="A47" s="2" t="s">
        <v>129</v>
      </c>
      <c r="B47" s="2" t="s">
        <v>130</v>
      </c>
      <c r="C47" s="2" t="s">
        <v>34</v>
      </c>
      <c r="D47" s="2" t="s">
        <v>35</v>
      </c>
      <c r="E47" s="3">
        <v>45769</v>
      </c>
      <c r="F47" s="3">
        <v>45774</v>
      </c>
      <c r="G47" s="2">
        <f t="shared" si="0"/>
        <v>6</v>
      </c>
      <c r="H47" s="2" t="s">
        <v>31</v>
      </c>
      <c r="I47" s="2" t="s">
        <v>15</v>
      </c>
      <c r="J47" s="2" t="s">
        <v>37</v>
      </c>
    </row>
    <row r="48" spans="1:10" x14ac:dyDescent="0.3">
      <c r="A48" s="2" t="s">
        <v>131</v>
      </c>
      <c r="B48" s="2" t="s">
        <v>132</v>
      </c>
      <c r="C48" s="2" t="s">
        <v>26</v>
      </c>
      <c r="D48" s="2" t="s">
        <v>27</v>
      </c>
      <c r="E48" s="3">
        <v>45724</v>
      </c>
      <c r="F48" s="3">
        <v>45729</v>
      </c>
      <c r="G48" s="2">
        <f t="shared" si="0"/>
        <v>6</v>
      </c>
      <c r="H48" s="2" t="s">
        <v>36</v>
      </c>
      <c r="I48" s="2" t="s">
        <v>22</v>
      </c>
      <c r="J48" s="2" t="s">
        <v>28</v>
      </c>
    </row>
    <row r="49" spans="1:10" x14ac:dyDescent="0.3">
      <c r="A49" s="2" t="s">
        <v>133</v>
      </c>
      <c r="B49" s="2" t="s">
        <v>134</v>
      </c>
      <c r="C49" s="2" t="s">
        <v>12</v>
      </c>
      <c r="D49" s="2" t="s">
        <v>20</v>
      </c>
      <c r="E49" s="3">
        <v>45698</v>
      </c>
      <c r="F49" s="3">
        <v>45703</v>
      </c>
      <c r="G49" s="2">
        <f t="shared" si="0"/>
        <v>6</v>
      </c>
      <c r="H49" s="2" t="s">
        <v>65</v>
      </c>
      <c r="I49" s="2" t="s">
        <v>40</v>
      </c>
      <c r="J49" s="2" t="s">
        <v>16</v>
      </c>
    </row>
    <row r="50" spans="1:10" x14ac:dyDescent="0.3">
      <c r="A50" s="2" t="s">
        <v>135</v>
      </c>
      <c r="B50" s="2" t="s">
        <v>136</v>
      </c>
      <c r="C50" s="2" t="s">
        <v>26</v>
      </c>
      <c r="D50" s="2" t="s">
        <v>13</v>
      </c>
      <c r="E50" s="3">
        <v>45673</v>
      </c>
      <c r="F50" s="3">
        <v>45674</v>
      </c>
      <c r="G50" s="2">
        <f t="shared" si="0"/>
        <v>2</v>
      </c>
      <c r="H50" s="2" t="s">
        <v>44</v>
      </c>
      <c r="I50" s="2" t="s">
        <v>40</v>
      </c>
      <c r="J50" s="2" t="s">
        <v>28</v>
      </c>
    </row>
    <row r="51" spans="1:10" x14ac:dyDescent="0.3">
      <c r="A51" s="2" t="s">
        <v>137</v>
      </c>
      <c r="B51" s="2" t="s">
        <v>138</v>
      </c>
      <c r="C51" s="2" t="s">
        <v>19</v>
      </c>
      <c r="D51" s="2" t="s">
        <v>35</v>
      </c>
      <c r="E51" s="3">
        <v>45701</v>
      </c>
      <c r="F51" s="3">
        <v>45705</v>
      </c>
      <c r="G51" s="2">
        <f t="shared" si="0"/>
        <v>5</v>
      </c>
      <c r="H51" s="2" t="s">
        <v>44</v>
      </c>
      <c r="I51" s="2" t="s">
        <v>22</v>
      </c>
      <c r="J51" s="2" t="s">
        <v>23</v>
      </c>
    </row>
  </sheetData>
  <dataValidations count="7">
    <dataValidation type="list" allowBlank="1" showInputMessage="1" showErrorMessage="1" sqref="C2:C51" xr:uid="{3FD9567A-B1E2-4892-BDFC-93BEAC23A883}">
      <formula1>$C$2:$C$51</formula1>
    </dataValidation>
    <dataValidation type="list" allowBlank="1" showInputMessage="1" showErrorMessage="1" sqref="D2:D51" xr:uid="{DB9CE728-AA84-47DF-ADE1-79CB98509F66}">
      <formula1>$D$2:$D$51</formula1>
    </dataValidation>
    <dataValidation type="list" allowBlank="1" showInputMessage="1" showErrorMessage="1" sqref="H2:H51" xr:uid="{00CBD5DB-1808-43D4-97CF-A21FEF67C1ED}">
      <formula1>$H$2:$H$51</formula1>
    </dataValidation>
    <dataValidation type="list" allowBlank="1" showInputMessage="1" showErrorMessage="1" sqref="I2:I51" xr:uid="{C18A336C-3D33-46CE-BD97-6F5034C29A0E}">
      <formula1>$I$2:$I$51</formula1>
    </dataValidation>
    <dataValidation type="date" operator="greaterThanOrEqual" allowBlank="1" showInputMessage="1" showErrorMessage="1" promptTitle="Date" prompt="Greate Then or equal to 1-1-25" sqref="E2:E51" xr:uid="{6AD8B643-1E0C-4359-B3F2-B9A2767B4C0A}">
      <formula1>45658</formula1>
    </dataValidation>
    <dataValidation type="date" operator="greaterThan" allowBlank="1" showInputMessage="1" showErrorMessage="1" promptTitle="End Date" prompt="Greater Than 1-1-25" sqref="F2:F51" xr:uid="{5B776629-31AD-42B4-8376-F61CA38B872A}">
      <formula1>45658</formula1>
    </dataValidation>
    <dataValidation type="list" allowBlank="1" showInputMessage="1" showErrorMessage="1" sqref="J2:J51" xr:uid="{FED909BE-DE63-4C6B-8885-CDE18DDC3F50}">
      <formula1>INDIRECT($C2)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Dataset - Employee</vt:lpstr>
      <vt:lpstr>Finance</vt:lpstr>
      <vt:lpstr>HR</vt:lpstr>
      <vt:lpstr>IT</vt:lpstr>
      <vt:lpstr>Marketing</vt:lpstr>
      <vt:lpstr>Operations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2025-11-01T11:25:27Z</dcterms:modified>
</cp:coreProperties>
</file>