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2) Excel Text Functions &amp; Data Cleaning Projects\"/>
    </mc:Choice>
  </mc:AlternateContent>
  <xr:revisionPtr revIDLastSave="0" documentId="13_ncr:1_{34BB2159-B7C1-42B2-A7CE-4643838E5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Employee Clea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<sst xmlns="http://schemas.openxmlformats.org/spreadsheetml/2006/main" count="198" uniqueCount="157">
  <si>
    <t>ID</t>
  </si>
  <si>
    <t>Full Name (Raw)</t>
  </si>
  <si>
    <t>Email (Raw)</t>
  </si>
  <si>
    <t>Contact Info (Raw)</t>
  </si>
  <si>
    <t>City (Raw)</t>
  </si>
  <si>
    <t xml:space="preserve">  saurabh   sonawane  </t>
  </si>
  <si>
    <t>+91-9090909090 - Extra Text</t>
  </si>
  <si>
    <t xml:space="preserve"> NASHIK </t>
  </si>
  <si>
    <t>sAKShi  Patil</t>
  </si>
  <si>
    <t>+91 8080808080</t>
  </si>
  <si>
    <t xml:space="preserve"> Pune </t>
  </si>
  <si>
    <t>rohit.more gmail.com</t>
  </si>
  <si>
    <t>+91--7070707070</t>
  </si>
  <si>
    <t xml:space="preserve"> MUMBAI </t>
  </si>
  <si>
    <t xml:space="preserve">  sneha  jADHAV</t>
  </si>
  <si>
    <t>+91 909090--3030</t>
  </si>
  <si>
    <t xml:space="preserve"> Delhi </t>
  </si>
  <si>
    <t>Pratik   Pawar</t>
  </si>
  <si>
    <t>+91-6060--5050</t>
  </si>
  <si>
    <t xml:space="preserve"> nagpur </t>
  </si>
  <si>
    <t>+91 9090-8080</t>
  </si>
  <si>
    <t xml:space="preserve"> Nashik </t>
  </si>
  <si>
    <t>+91  8080--6060</t>
  </si>
  <si>
    <t xml:space="preserve">   pooja    kale</t>
  </si>
  <si>
    <t>+91-707070--9090</t>
  </si>
  <si>
    <t xml:space="preserve"> Mumbai </t>
  </si>
  <si>
    <t>+91  909090-4040</t>
  </si>
  <si>
    <t xml:space="preserve">  tAnVi   Deshmukh</t>
  </si>
  <si>
    <t>+91 8080-5050</t>
  </si>
  <si>
    <t xml:space="preserve"> Nagpur </t>
  </si>
  <si>
    <t>+91 8080-2020</t>
  </si>
  <si>
    <t>+91--6060606060</t>
  </si>
  <si>
    <t>+91 7070707070Text</t>
  </si>
  <si>
    <t xml:space="preserve">  swati  DeshMukh</t>
  </si>
  <si>
    <t>+91  909090  9090</t>
  </si>
  <si>
    <t>AjAy  Sawant</t>
  </si>
  <si>
    <t>+91--8080808080</t>
  </si>
  <si>
    <t>Kiran Patil</t>
  </si>
  <si>
    <t>+91-606060-6060</t>
  </si>
  <si>
    <t>SNEHa   PaWar</t>
  </si>
  <si>
    <t>+91-707070-7070</t>
  </si>
  <si>
    <t>+91-808080--8080</t>
  </si>
  <si>
    <t>neha  kale</t>
  </si>
  <si>
    <t>+91-707070-5050Text</t>
  </si>
  <si>
    <t>Rahul  gaikwad</t>
  </si>
  <si>
    <t>+91-606060--6060</t>
  </si>
  <si>
    <t>sAMir   shinde</t>
  </si>
  <si>
    <t>+91-9090--7070</t>
  </si>
  <si>
    <t xml:space="preserve">   SONALI    MULEY  </t>
  </si>
  <si>
    <t>+91 8080-6060Text</t>
  </si>
  <si>
    <t>tanmay  kharAt</t>
  </si>
  <si>
    <t>+91-7070  9090</t>
  </si>
  <si>
    <t xml:space="preserve">  Rutuja  Sawant</t>
  </si>
  <si>
    <t>+91-9090  8080</t>
  </si>
  <si>
    <t>mohit  pawar</t>
  </si>
  <si>
    <t>+91-6060606060</t>
  </si>
  <si>
    <t>Tejas kale</t>
  </si>
  <si>
    <t>+91--9090909090</t>
  </si>
  <si>
    <t xml:space="preserve">  omkar  jADHAV  </t>
  </si>
  <si>
    <t>+91 8080808080Text</t>
  </si>
  <si>
    <t>shruti  patil</t>
  </si>
  <si>
    <t>manish  sonawane</t>
  </si>
  <si>
    <t>+91-6060--6060</t>
  </si>
  <si>
    <t xml:space="preserve">  akash  more</t>
  </si>
  <si>
    <t>+91--7070 7070</t>
  </si>
  <si>
    <t>Last Name</t>
  </si>
  <si>
    <t>Saurabh</t>
  </si>
  <si>
    <t>Sonawane</t>
  </si>
  <si>
    <t>Sakshi</t>
  </si>
  <si>
    <t>Patil</t>
  </si>
  <si>
    <t>Sneha</t>
  </si>
  <si>
    <t>Jadhav</t>
  </si>
  <si>
    <t>Pratik</t>
  </si>
  <si>
    <t>Pawar</t>
  </si>
  <si>
    <t>Rahul</t>
  </si>
  <si>
    <t>Shinde</t>
  </si>
  <si>
    <t>Kadam</t>
  </si>
  <si>
    <t>Pooja</t>
  </si>
  <si>
    <t>Kale</t>
  </si>
  <si>
    <t>Vaibhav</t>
  </si>
  <si>
    <t>More</t>
  </si>
  <si>
    <t>Tanvi</t>
  </si>
  <si>
    <t>Deshmukh</t>
  </si>
  <si>
    <t>Priya</t>
  </si>
  <si>
    <t>Amol</t>
  </si>
  <si>
    <t>Swati</t>
  </si>
  <si>
    <t>Ajay</t>
  </si>
  <si>
    <t>Sawant</t>
  </si>
  <si>
    <t>Kiran</t>
  </si>
  <si>
    <t>Neha</t>
  </si>
  <si>
    <t>Gaikwad</t>
  </si>
  <si>
    <t>Samir</t>
  </si>
  <si>
    <t>Sonali</t>
  </si>
  <si>
    <t>Muley</t>
  </si>
  <si>
    <t>Tanmay</t>
  </si>
  <si>
    <t>Kharat</t>
  </si>
  <si>
    <t>Rutuja</t>
  </si>
  <si>
    <t>Mohit</t>
  </si>
  <si>
    <t>Tejas</t>
  </si>
  <si>
    <t>Omkar</t>
  </si>
  <si>
    <t>Shruti</t>
  </si>
  <si>
    <t>Manish</t>
  </si>
  <si>
    <t>Akash</t>
  </si>
  <si>
    <t>Rohit More</t>
  </si>
  <si>
    <t>aMIT   KADAM</t>
  </si>
  <si>
    <t>Vishal Kale</t>
  </si>
  <si>
    <t>ankit more</t>
  </si>
  <si>
    <t>sakshi yahoo..com</t>
  </si>
  <si>
    <t>rahul hotmail.com</t>
  </si>
  <si>
    <t>vaibhav.more yahoo.com</t>
  </si>
  <si>
    <t>Amol jha gmail..com</t>
  </si>
  <si>
    <t>ajay hotmail..com</t>
  </si>
  <si>
    <t>kiran.patil gmail.com</t>
  </si>
  <si>
    <t>sneha outlook..com</t>
  </si>
  <si>
    <t>neha.kale gmail..com</t>
  </si>
  <si>
    <t>rahulgaikwad hotmail.com</t>
  </si>
  <si>
    <t>samir gmail..com</t>
  </si>
  <si>
    <t>tanmay.kharat yahoo.com</t>
  </si>
  <si>
    <t>Rutuja outlook..com</t>
  </si>
  <si>
    <t>mohit.pawar gmail.com</t>
  </si>
  <si>
    <t>tejas gmail..com</t>
  </si>
  <si>
    <t>omkar yahoo..com</t>
  </si>
  <si>
    <t>shruti.patil gmail..com</t>
  </si>
  <si>
    <t>manish.sonawane hotmail..com</t>
  </si>
  <si>
    <t>akash gmail.com</t>
  </si>
  <si>
    <t>SAURABH aGMAIL.COM</t>
  </si>
  <si>
    <t>sneha aGMAIL..com</t>
  </si>
  <si>
    <t>Pratikpawar a.com</t>
  </si>
  <si>
    <t>amitkadam123 agmail...com</t>
  </si>
  <si>
    <t>pooja.kale a gmail.com</t>
  </si>
  <si>
    <t>tanvi..deshmukh a gmail..com</t>
  </si>
  <si>
    <t>PriyaP aYahoO..com</t>
  </si>
  <si>
    <t>Vishal..Kale agmail..com</t>
  </si>
  <si>
    <t>swatiDeshmukh agmail.com</t>
  </si>
  <si>
    <t>ankit.more agmail...com</t>
  </si>
  <si>
    <t>sonali.muley a gmail.com</t>
  </si>
  <si>
    <t>Rohit</t>
  </si>
  <si>
    <t>Amit</t>
  </si>
  <si>
    <t>Vishal</t>
  </si>
  <si>
    <t>Ankit</t>
  </si>
  <si>
    <t xml:space="preserve">  Priya  Patil</t>
  </si>
  <si>
    <t>Amol  jha</t>
  </si>
  <si>
    <t xml:space="preserve">  Rahul Shinde</t>
  </si>
  <si>
    <t>vaibhav  more</t>
  </si>
  <si>
    <t>Cleaned Names</t>
  </si>
  <si>
    <t>First Name</t>
  </si>
  <si>
    <t>Jha</t>
  </si>
  <si>
    <t>Email Cleaned</t>
  </si>
  <si>
    <t>Left</t>
  </si>
  <si>
    <t>Right</t>
  </si>
  <si>
    <t>Domian</t>
  </si>
  <si>
    <t>Contact</t>
  </si>
  <si>
    <t>City</t>
  </si>
  <si>
    <t>Summary</t>
  </si>
  <si>
    <t>UID</t>
  </si>
  <si>
    <t>Valid Email</t>
  </si>
  <si>
    <t>Uppercase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</si>
</sst>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Border="1"/>
    <xf numFmtId="0" fontId="1" fillId="0" borderId="2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>
      <selection activeCell="H15" sqref="H15"/>
    </sheetView>
  </sheetViews>
  <sheetFormatPr defaultRowHeight="14.4" x14ac:dyDescent="0.3"/>
  <cols>
    <col min="1" max="1" width="3" bestFit="1" customWidth="1"/>
    <col min="2" max="2" width="21.44140625" bestFit="1" customWidth="1"/>
    <col min="3" max="3" width="30.6640625" bestFit="1" customWidth="1"/>
    <col min="4" max="4" width="24.77734375" bestFit="1" customWidth="1"/>
    <col min="5" max="5" width="9.5546875" bestFit="1" customWidth="1"/>
    <col min="6" max="6" width="9.5546875" customWidth="1"/>
    <col min="7" max="7" width="20.21875" bestFit="1" customWidth="1"/>
    <col min="8" max="8" width="9.88671875" bestFit="1" customWidth="1"/>
    <col min="9" max="9" width="9.77734375" bestFit="1" customWidth="1"/>
    <col min="10" max="10" width="30.44140625" bestFit="1" customWidth="1"/>
    <col min="12" max="12" width="9.88671875" bestFit="1" customWidth="1"/>
    <col min="13" max="13" width="13.33203125" bestFit="1" customWidth="1"/>
    <col min="14" max="14" width="23.44140625" bestFit="1" customWidth="1"/>
    <col min="16" max="16" width="63.88671875" bestFit="1" customWidth="1"/>
    <col min="18" max="18" width="10.21875" bestFit="1" customWidth="1"/>
    <col min="19" max="19" width="64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  <c r="G1" s="5" t="s">
        <v>144</v>
      </c>
      <c r="H1" s="5" t="s">
        <v>145</v>
      </c>
      <c r="I1" s="5" t="s">
        <v>65</v>
      </c>
      <c r="J1" s="5" t="s">
        <v>147</v>
      </c>
      <c r="K1" s="5" t="s">
        <v>148</v>
      </c>
      <c r="L1" s="5" t="s">
        <v>149</v>
      </c>
      <c r="M1" s="5" t="s">
        <v>150</v>
      </c>
      <c r="N1" s="5" t="s">
        <v>151</v>
      </c>
      <c r="O1" s="5" t="s">
        <v>152</v>
      </c>
      <c r="P1" s="5" t="s">
        <v>153</v>
      </c>
      <c r="Q1" s="5" t="s">
        <v>154</v>
      </c>
      <c r="R1" s="5" t="s">
        <v>155</v>
      </c>
      <c r="S1" s="5" t="s">
        <v>156</v>
      </c>
    </row>
    <row r="2" spans="1:19" x14ac:dyDescent="0.3">
      <c r="A2" s="2">
        <v>1</v>
      </c>
      <c r="B2" s="2" t="s">
        <v>5</v>
      </c>
      <c r="C2" s="2" t="s">
        <v>125</v>
      </c>
      <c r="D2" s="2" t="s">
        <v>6</v>
      </c>
      <c r="E2" s="2" t="s">
        <v>7</v>
      </c>
      <c r="F2" s="3"/>
      <c r="G2" s="2" t="str">
        <f>PROPER(TRIM(CLEAN(B2)))</f>
        <v>Saurabh Sonawane</v>
      </c>
      <c r="H2" s="2" t="s">
        <v>66</v>
      </c>
      <c r="I2" s="2" t="s">
        <v>67</v>
      </c>
      <c r="J2" s="2" t="str">
        <f>SUBSTITUTE(SUBSTITUTE(SUBSTITUTE(SUBSTITUTE(SUBSTITUTE(SUBSTITUTE(SUBSTITUTE(SUBSTITUTE(SUBSTITUTE(SUBSTITUTE(SUBSTITUTE(SUBSTITUTE(SUBSTITUTE(SUBSTITUTE(SUBSTITUTE(SUBSTITUTE(LOWER(TRIM(C2))," a","@")," ",""),"..","."),"gmail","@gmail"),"@@","@"),"yahoo","@yahoo"),"hotmail","@hotmail"),"outlook","@outlook"),"..","."),"@@","@"),".","",1),".",""),"com",".com"),"@.","@gmail"),"com",".com"),"..",".")</f>
        <v>saurabh@gmail.com</v>
      </c>
      <c r="K2" s="2" t="str">
        <f>LEFT(G2,FIND(" ",G2,1)-1)</f>
        <v>Saurabh</v>
      </c>
      <c r="L2" s="2" t="str">
        <f>RIGHT(G2,LEN(G2)-FIND(" ",G2))</f>
        <v>Sonawane</v>
      </c>
      <c r="M2" s="2" t="str">
        <f>MID(J2,FIND("@",J2),LEN(J2)-FIND("@",J2)+1)</f>
        <v>@gmail.com</v>
      </c>
      <c r="N2" s="2" t="str">
        <f>TRIM(SUBSTITUTE(SUBSTITUTE(SUBSTITUTE(SUBSTITUTE(SUBSTITUTE(D2,"-","")," ",""),"Text",""),"Extra",""),"+91","+91 "))</f>
        <v>+91 9090909090</v>
      </c>
      <c r="O2" s="2" t="str">
        <f>PROPER(TRIM(E2))</f>
        <v>Nashik</v>
      </c>
      <c r="P2" s="2" t="str">
        <f>PROPER(H2) &amp; " | " &amp; LOWER(J2) &amp; " | " &amp; PROPER(N2) &amp; " | " &amp; PROPER(O2)</f>
        <v>Saurabh | saurabh@gmail.com | +91 9090909090 | Nashik</v>
      </c>
      <c r="Q2" s="2" t="str">
        <f>"EMP" &amp; TEXT(ROW(P2)-1,"000")</f>
        <v>EMP001</v>
      </c>
      <c r="R2" s="2" t="str">
        <f>IF(ISNUMBER(FIND("@",J2)),"Valid","Invalid")</f>
        <v>Valid</v>
      </c>
      <c r="S2" s="2" t="str">
        <f>UPPER(P2)</f>
        <v>SAURABH | SAURABH@GMAIL.COM | +91 9090909090 | NASHIK</v>
      </c>
    </row>
    <row r="3" spans="1:19" x14ac:dyDescent="0.3">
      <c r="A3" s="2">
        <v>2</v>
      </c>
      <c r="B3" s="2" t="s">
        <v>8</v>
      </c>
      <c r="C3" s="2" t="s">
        <v>107</v>
      </c>
      <c r="D3" s="2" t="s">
        <v>9</v>
      </c>
      <c r="E3" s="2" t="s">
        <v>10</v>
      </c>
      <c r="F3" s="3"/>
      <c r="G3" s="2" t="str">
        <f t="shared" ref="G3:G31" si="0">PROPER(TRIM(CLEAN(B3)))</f>
        <v>Sakshi Patil</v>
      </c>
      <c r="H3" s="2" t="s">
        <v>68</v>
      </c>
      <c r="I3" s="2" t="s">
        <v>69</v>
      </c>
      <c r="J3" s="2" t="str">
        <f t="shared" ref="J3:J31" si="1">SUBSTITUTE(SUBSTITUTE(SUBSTITUTE(SUBSTITUTE(SUBSTITUTE(SUBSTITUTE(SUBSTITUTE(SUBSTITUTE(SUBSTITUTE(SUBSTITUTE(SUBSTITUTE(SUBSTITUTE(SUBSTITUTE(SUBSTITUTE(SUBSTITUTE(SUBSTITUTE(LOWER(TRIM(C3))," a","@")," ",""),"..","."),"gmail","@gmail"),"@@","@"),"yahoo","@yahoo"),"hotmail","@hotmail"),"outlook","@outlook"),"..","."),"@@","@"),".","",1),".",""),"com",".com"),"@.","@gmail"),"com",".com"),"..",".")</f>
        <v>sakshi@yahoo.com</v>
      </c>
      <c r="K3" s="2" t="str">
        <f t="shared" ref="K3:K31" si="2">LEFT(G3,FIND(" ",G3,1)-1)</f>
        <v>Sakshi</v>
      </c>
      <c r="L3" s="2" t="str">
        <f t="shared" ref="L3:L31" si="3">RIGHT(G3,LEN(G3)-FIND(" ",G3))</f>
        <v>Patil</v>
      </c>
      <c r="M3" s="2" t="str">
        <f t="shared" ref="M3:M31" si="4">MID(J3,FIND("@",J3),LEN(J3)-FIND("@",J3)+1)</f>
        <v>@yahoo.com</v>
      </c>
      <c r="N3" s="2" t="str">
        <f t="shared" ref="N3:N31" si="5">TRIM(SUBSTITUTE(SUBSTITUTE(SUBSTITUTE(SUBSTITUTE(SUBSTITUTE(D3,"-","")," ",""),"Text",""),"Extra",""),"+91","+91 "))</f>
        <v>+91 8080808080</v>
      </c>
      <c r="O3" s="2" t="str">
        <f t="shared" ref="O3:O31" si="6">PROPER(TRIM(E3))</f>
        <v>Pune</v>
      </c>
      <c r="P3" s="2" t="str">
        <f t="shared" ref="P3:P31" si="7">PROPER(H3) &amp; " | " &amp; LOWER(J3) &amp; " | " &amp; PROPER(N3) &amp; " | " &amp; PROPER(O3)</f>
        <v>Sakshi | sakshi@yahoo.com | +91 8080808080 | Pune</v>
      </c>
      <c r="Q3" s="2" t="str">
        <f t="shared" ref="Q3:Q31" si="8">"EMP" &amp; TEXT(ROW(P3)-1,"000")</f>
        <v>EMP002</v>
      </c>
      <c r="R3" s="2" t="str">
        <f t="shared" ref="R3:R31" si="9">IF(ISNUMBER(FIND("@",J3)),"Valid","Invalid")</f>
        <v>Valid</v>
      </c>
      <c r="S3" s="2" t="str">
        <f t="shared" ref="S3:S31" si="10">UPPER(P3)</f>
        <v>SAKSHI | SAKSHI@YAHOO.COM | +91 8080808080 | PUNE</v>
      </c>
    </row>
    <row r="4" spans="1:19" x14ac:dyDescent="0.3">
      <c r="A4" s="2">
        <v>3</v>
      </c>
      <c r="B4" s="2" t="s">
        <v>103</v>
      </c>
      <c r="C4" s="2" t="s">
        <v>11</v>
      </c>
      <c r="D4" s="2" t="s">
        <v>12</v>
      </c>
      <c r="E4" s="2" t="s">
        <v>13</v>
      </c>
      <c r="F4" s="3"/>
      <c r="G4" s="2" t="str">
        <f t="shared" si="0"/>
        <v>Rohit More</v>
      </c>
      <c r="H4" s="2" t="s">
        <v>136</v>
      </c>
      <c r="I4" s="2" t="s">
        <v>80</v>
      </c>
      <c r="J4" s="2" t="str">
        <f t="shared" si="1"/>
        <v>rohitmore@gmail.com</v>
      </c>
      <c r="K4" s="2" t="str">
        <f t="shared" si="2"/>
        <v>Rohit</v>
      </c>
      <c r="L4" s="2" t="str">
        <f t="shared" si="3"/>
        <v>More</v>
      </c>
      <c r="M4" s="2" t="str">
        <f t="shared" si="4"/>
        <v>@gmail.com</v>
      </c>
      <c r="N4" s="2" t="str">
        <f t="shared" si="5"/>
        <v>+91 7070707070</v>
      </c>
      <c r="O4" s="2" t="str">
        <f t="shared" si="6"/>
        <v>Mumbai</v>
      </c>
      <c r="P4" s="2" t="str">
        <f t="shared" si="7"/>
        <v>Rohit | rohitmore@gmail.com | +91 7070707070 | Mumbai</v>
      </c>
      <c r="Q4" s="2" t="str">
        <f t="shared" si="8"/>
        <v>EMP003</v>
      </c>
      <c r="R4" s="2" t="str">
        <f t="shared" si="9"/>
        <v>Valid</v>
      </c>
      <c r="S4" s="2" t="str">
        <f t="shared" si="10"/>
        <v>ROHIT | ROHITMORE@GMAIL.COM | +91 7070707070 | MUMBAI</v>
      </c>
    </row>
    <row r="5" spans="1:19" x14ac:dyDescent="0.3">
      <c r="A5" s="2">
        <v>4</v>
      </c>
      <c r="B5" s="2" t="s">
        <v>14</v>
      </c>
      <c r="C5" s="2" t="s">
        <v>126</v>
      </c>
      <c r="D5" s="2" t="s">
        <v>15</v>
      </c>
      <c r="E5" s="2" t="s">
        <v>16</v>
      </c>
      <c r="F5" s="3"/>
      <c r="G5" s="2" t="str">
        <f t="shared" si="0"/>
        <v>Sneha Jadhav</v>
      </c>
      <c r="H5" s="2" t="s">
        <v>70</v>
      </c>
      <c r="I5" s="2" t="s">
        <v>71</v>
      </c>
      <c r="J5" s="2" t="str">
        <f t="shared" si="1"/>
        <v>sneha@gmail.com</v>
      </c>
      <c r="K5" s="2" t="str">
        <f t="shared" si="2"/>
        <v>Sneha</v>
      </c>
      <c r="L5" s="2" t="str">
        <f t="shared" si="3"/>
        <v>Jadhav</v>
      </c>
      <c r="M5" s="2" t="str">
        <f t="shared" si="4"/>
        <v>@gmail.com</v>
      </c>
      <c r="N5" s="2" t="str">
        <f t="shared" si="5"/>
        <v>+91 9090903030</v>
      </c>
      <c r="O5" s="2" t="str">
        <f t="shared" si="6"/>
        <v>Delhi</v>
      </c>
      <c r="P5" s="2" t="str">
        <f t="shared" si="7"/>
        <v>Sneha | sneha@gmail.com | +91 9090903030 | Delhi</v>
      </c>
      <c r="Q5" s="2" t="str">
        <f t="shared" si="8"/>
        <v>EMP004</v>
      </c>
      <c r="R5" s="2" t="str">
        <f t="shared" si="9"/>
        <v>Valid</v>
      </c>
      <c r="S5" s="2" t="str">
        <f t="shared" si="10"/>
        <v>SNEHA | SNEHA@GMAIL.COM | +91 9090903030 | DELHI</v>
      </c>
    </row>
    <row r="6" spans="1:19" x14ac:dyDescent="0.3">
      <c r="A6" s="2">
        <v>5</v>
      </c>
      <c r="B6" s="2" t="s">
        <v>17</v>
      </c>
      <c r="C6" s="2" t="s">
        <v>127</v>
      </c>
      <c r="D6" s="2" t="s">
        <v>18</v>
      </c>
      <c r="E6" s="2" t="s">
        <v>19</v>
      </c>
      <c r="F6" s="3"/>
      <c r="G6" s="2" t="str">
        <f t="shared" si="0"/>
        <v>Pratik Pawar</v>
      </c>
      <c r="H6" s="2" t="s">
        <v>72</v>
      </c>
      <c r="I6" s="2" t="s">
        <v>73</v>
      </c>
      <c r="J6" s="2" t="str">
        <f t="shared" si="1"/>
        <v>pratikpawar@gmail.com</v>
      </c>
      <c r="K6" s="2" t="str">
        <f t="shared" si="2"/>
        <v>Pratik</v>
      </c>
      <c r="L6" s="2" t="str">
        <f t="shared" si="3"/>
        <v>Pawar</v>
      </c>
      <c r="M6" s="2" t="str">
        <f t="shared" si="4"/>
        <v>@gmail.com</v>
      </c>
      <c r="N6" s="2" t="str">
        <f t="shared" si="5"/>
        <v>+91 60605050</v>
      </c>
      <c r="O6" s="2" t="str">
        <f t="shared" si="6"/>
        <v>Nagpur</v>
      </c>
      <c r="P6" s="2" t="str">
        <f t="shared" si="7"/>
        <v>Pratik | pratikpawar@gmail.com | +91 60605050 | Nagpur</v>
      </c>
      <c r="Q6" s="2" t="str">
        <f t="shared" si="8"/>
        <v>EMP005</v>
      </c>
      <c r="R6" s="2" t="str">
        <f t="shared" si="9"/>
        <v>Valid</v>
      </c>
      <c r="S6" s="2" t="str">
        <f t="shared" si="10"/>
        <v>PRATIK | PRATIKPAWAR@GMAIL.COM | +91 60605050 | NAGPUR</v>
      </c>
    </row>
    <row r="7" spans="1:19" x14ac:dyDescent="0.3">
      <c r="A7" s="2">
        <v>6</v>
      </c>
      <c r="B7" s="2" t="s">
        <v>142</v>
      </c>
      <c r="C7" s="2" t="s">
        <v>108</v>
      </c>
      <c r="D7" s="2" t="s">
        <v>20</v>
      </c>
      <c r="E7" s="2" t="s">
        <v>21</v>
      </c>
      <c r="F7" s="3"/>
      <c r="G7" s="2" t="str">
        <f t="shared" si="0"/>
        <v>Rahul Shinde</v>
      </c>
      <c r="H7" s="2" t="s">
        <v>74</v>
      </c>
      <c r="I7" s="2" t="s">
        <v>75</v>
      </c>
      <c r="J7" s="2" t="str">
        <f t="shared" si="1"/>
        <v>rahul@hotmail.com</v>
      </c>
      <c r="K7" s="2" t="str">
        <f t="shared" si="2"/>
        <v>Rahul</v>
      </c>
      <c r="L7" s="2" t="str">
        <f t="shared" si="3"/>
        <v>Shinde</v>
      </c>
      <c r="M7" s="2" t="str">
        <f t="shared" si="4"/>
        <v>@hotmail.com</v>
      </c>
      <c r="N7" s="2" t="str">
        <f t="shared" si="5"/>
        <v>+91 90908080</v>
      </c>
      <c r="O7" s="2" t="str">
        <f t="shared" si="6"/>
        <v>Nashik</v>
      </c>
      <c r="P7" s="2" t="str">
        <f t="shared" si="7"/>
        <v>Rahul | rahul@hotmail.com | +91 90908080 | Nashik</v>
      </c>
      <c r="Q7" s="2" t="str">
        <f t="shared" si="8"/>
        <v>EMP006</v>
      </c>
      <c r="R7" s="2" t="str">
        <f t="shared" si="9"/>
        <v>Valid</v>
      </c>
      <c r="S7" s="2" t="str">
        <f t="shared" si="10"/>
        <v>RAHUL | RAHUL@HOTMAIL.COM | +91 90908080 | NASHIK</v>
      </c>
    </row>
    <row r="8" spans="1:19" x14ac:dyDescent="0.3">
      <c r="A8" s="2">
        <v>7</v>
      </c>
      <c r="B8" s="2" t="s">
        <v>104</v>
      </c>
      <c r="C8" s="2" t="s">
        <v>128</v>
      </c>
      <c r="D8" s="2" t="s">
        <v>22</v>
      </c>
      <c r="E8" s="2" t="s">
        <v>10</v>
      </c>
      <c r="F8" s="3"/>
      <c r="G8" s="2" t="str">
        <f t="shared" si="0"/>
        <v>Amit Kadam</v>
      </c>
      <c r="H8" s="2" t="s">
        <v>137</v>
      </c>
      <c r="I8" s="2" t="s">
        <v>76</v>
      </c>
      <c r="J8" s="2" t="str">
        <f t="shared" si="1"/>
        <v>amitkadam123@gmail.com</v>
      </c>
      <c r="K8" s="2" t="str">
        <f t="shared" si="2"/>
        <v>Amit</v>
      </c>
      <c r="L8" s="2" t="str">
        <f t="shared" si="3"/>
        <v>Kadam</v>
      </c>
      <c r="M8" s="2" t="str">
        <f t="shared" si="4"/>
        <v>@gmail.com</v>
      </c>
      <c r="N8" s="2" t="str">
        <f t="shared" si="5"/>
        <v>+91 80806060</v>
      </c>
      <c r="O8" s="2" t="str">
        <f t="shared" si="6"/>
        <v>Pune</v>
      </c>
      <c r="P8" s="2" t="str">
        <f t="shared" si="7"/>
        <v>Amit | amitkadam123@gmail.com | +91 80806060 | Pune</v>
      </c>
      <c r="Q8" s="2" t="str">
        <f t="shared" si="8"/>
        <v>EMP007</v>
      </c>
      <c r="R8" s="2" t="str">
        <f t="shared" si="9"/>
        <v>Valid</v>
      </c>
      <c r="S8" s="2" t="str">
        <f t="shared" si="10"/>
        <v>AMIT | AMITKADAM123@GMAIL.COM | +91 80806060 | PUNE</v>
      </c>
    </row>
    <row r="9" spans="1:19" x14ac:dyDescent="0.3">
      <c r="A9" s="2">
        <v>8</v>
      </c>
      <c r="B9" s="2" t="s">
        <v>23</v>
      </c>
      <c r="C9" s="2" t="s">
        <v>129</v>
      </c>
      <c r="D9" s="2" t="s">
        <v>24</v>
      </c>
      <c r="E9" s="2" t="s">
        <v>25</v>
      </c>
      <c r="F9" s="3"/>
      <c r="G9" s="2" t="str">
        <f t="shared" si="0"/>
        <v>Pooja Kale</v>
      </c>
      <c r="H9" s="2" t="s">
        <v>77</v>
      </c>
      <c r="I9" s="2" t="s">
        <v>78</v>
      </c>
      <c r="J9" s="2" t="str">
        <f t="shared" si="1"/>
        <v>poojakale@gmail.com</v>
      </c>
      <c r="K9" s="2" t="str">
        <f t="shared" si="2"/>
        <v>Pooja</v>
      </c>
      <c r="L9" s="2" t="str">
        <f t="shared" si="3"/>
        <v>Kale</v>
      </c>
      <c r="M9" s="2" t="str">
        <f t="shared" si="4"/>
        <v>@gmail.com</v>
      </c>
      <c r="N9" s="2" t="str">
        <f t="shared" si="5"/>
        <v>+91 7070709090</v>
      </c>
      <c r="O9" s="2" t="str">
        <f t="shared" si="6"/>
        <v>Mumbai</v>
      </c>
      <c r="P9" s="2" t="str">
        <f t="shared" si="7"/>
        <v>Pooja | poojakale@gmail.com | +91 7070709090 | Mumbai</v>
      </c>
      <c r="Q9" s="2" t="str">
        <f t="shared" si="8"/>
        <v>EMP008</v>
      </c>
      <c r="R9" s="2" t="str">
        <f t="shared" si="9"/>
        <v>Valid</v>
      </c>
      <c r="S9" s="2" t="str">
        <f t="shared" si="10"/>
        <v>POOJA | POOJAKALE@GMAIL.COM | +91 7070709090 | MUMBAI</v>
      </c>
    </row>
    <row r="10" spans="1:19" x14ac:dyDescent="0.3">
      <c r="A10" s="2">
        <v>9</v>
      </c>
      <c r="B10" s="2" t="s">
        <v>143</v>
      </c>
      <c r="C10" s="2" t="s">
        <v>109</v>
      </c>
      <c r="D10" s="2" t="s">
        <v>26</v>
      </c>
      <c r="E10" s="2" t="s">
        <v>16</v>
      </c>
      <c r="F10" s="3"/>
      <c r="G10" s="2" t="str">
        <f t="shared" si="0"/>
        <v>Vaibhav More</v>
      </c>
      <c r="H10" s="2" t="s">
        <v>79</v>
      </c>
      <c r="I10" s="2" t="s">
        <v>80</v>
      </c>
      <c r="J10" s="2" t="str">
        <f t="shared" si="1"/>
        <v>vaibhavmore@yahoo.com</v>
      </c>
      <c r="K10" s="2" t="str">
        <f t="shared" si="2"/>
        <v>Vaibhav</v>
      </c>
      <c r="L10" s="2" t="str">
        <f t="shared" si="3"/>
        <v>More</v>
      </c>
      <c r="M10" s="2" t="str">
        <f t="shared" si="4"/>
        <v>@yahoo.com</v>
      </c>
      <c r="N10" s="2" t="str">
        <f t="shared" si="5"/>
        <v>+91 9090904040</v>
      </c>
      <c r="O10" s="2" t="str">
        <f t="shared" si="6"/>
        <v>Delhi</v>
      </c>
      <c r="P10" s="2" t="str">
        <f t="shared" si="7"/>
        <v>Vaibhav | vaibhavmore@yahoo.com | +91 9090904040 | Delhi</v>
      </c>
      <c r="Q10" s="2" t="str">
        <f t="shared" si="8"/>
        <v>EMP009</v>
      </c>
      <c r="R10" s="2" t="str">
        <f t="shared" si="9"/>
        <v>Valid</v>
      </c>
      <c r="S10" s="2" t="str">
        <f t="shared" si="10"/>
        <v>VAIBHAV | VAIBHAVMORE@YAHOO.COM | +91 9090904040 | DELHI</v>
      </c>
    </row>
    <row r="11" spans="1:19" x14ac:dyDescent="0.3">
      <c r="A11" s="2">
        <v>10</v>
      </c>
      <c r="B11" s="2" t="s">
        <v>27</v>
      </c>
      <c r="C11" s="2" t="s">
        <v>130</v>
      </c>
      <c r="D11" s="2" t="s">
        <v>28</v>
      </c>
      <c r="E11" s="2" t="s">
        <v>29</v>
      </c>
      <c r="F11" s="3"/>
      <c r="G11" s="2" t="str">
        <f t="shared" si="0"/>
        <v>Tanvi Deshmukh</v>
      </c>
      <c r="H11" s="2" t="s">
        <v>81</v>
      </c>
      <c r="I11" s="2" t="s">
        <v>82</v>
      </c>
      <c r="J11" s="2" t="str">
        <f t="shared" si="1"/>
        <v>tanvideshmukh@gmail.com</v>
      </c>
      <c r="K11" s="2" t="str">
        <f t="shared" si="2"/>
        <v>Tanvi</v>
      </c>
      <c r="L11" s="2" t="str">
        <f t="shared" si="3"/>
        <v>Deshmukh</v>
      </c>
      <c r="M11" s="2" t="str">
        <f t="shared" si="4"/>
        <v>@gmail.com</v>
      </c>
      <c r="N11" s="2" t="str">
        <f t="shared" si="5"/>
        <v>+91 80805050</v>
      </c>
      <c r="O11" s="2" t="str">
        <f t="shared" si="6"/>
        <v>Nagpur</v>
      </c>
      <c r="P11" s="2" t="str">
        <f t="shared" si="7"/>
        <v>Tanvi | tanvideshmukh@gmail.com | +91 80805050 | Nagpur</v>
      </c>
      <c r="Q11" s="2" t="str">
        <f t="shared" si="8"/>
        <v>EMP010</v>
      </c>
      <c r="R11" s="2" t="str">
        <f t="shared" si="9"/>
        <v>Valid</v>
      </c>
      <c r="S11" s="2" t="str">
        <f t="shared" si="10"/>
        <v>TANVI | TANVIDESHMUKH@GMAIL.COM | +91 80805050 | NAGPUR</v>
      </c>
    </row>
    <row r="12" spans="1:19" x14ac:dyDescent="0.3">
      <c r="A12" s="2">
        <v>11</v>
      </c>
      <c r="B12" s="2" t="s">
        <v>140</v>
      </c>
      <c r="C12" s="2" t="s">
        <v>131</v>
      </c>
      <c r="D12" s="2" t="s">
        <v>30</v>
      </c>
      <c r="E12" s="2" t="s">
        <v>10</v>
      </c>
      <c r="F12" s="3"/>
      <c r="G12" s="2" t="str">
        <f t="shared" si="0"/>
        <v>Priya Patil</v>
      </c>
      <c r="H12" s="2" t="s">
        <v>83</v>
      </c>
      <c r="I12" s="2" t="s">
        <v>69</v>
      </c>
      <c r="J12" s="2" t="str">
        <f t="shared" si="1"/>
        <v>priyap@yahoo.com</v>
      </c>
      <c r="K12" s="2" t="str">
        <f t="shared" si="2"/>
        <v>Priya</v>
      </c>
      <c r="L12" s="2" t="str">
        <f t="shared" si="3"/>
        <v>Patil</v>
      </c>
      <c r="M12" s="2" t="str">
        <f t="shared" si="4"/>
        <v>@yahoo.com</v>
      </c>
      <c r="N12" s="2" t="str">
        <f t="shared" si="5"/>
        <v>+91 80802020</v>
      </c>
      <c r="O12" s="2" t="str">
        <f t="shared" si="6"/>
        <v>Pune</v>
      </c>
      <c r="P12" s="2" t="str">
        <f t="shared" si="7"/>
        <v>Priya | priyap@yahoo.com | +91 80802020 | Pune</v>
      </c>
      <c r="Q12" s="2" t="str">
        <f t="shared" si="8"/>
        <v>EMP011</v>
      </c>
      <c r="R12" s="2" t="str">
        <f t="shared" si="9"/>
        <v>Valid</v>
      </c>
      <c r="S12" s="2" t="str">
        <f t="shared" si="10"/>
        <v>PRIYA | PRIYAP@YAHOO.COM | +91 80802020 | PUNE</v>
      </c>
    </row>
    <row r="13" spans="1:19" x14ac:dyDescent="0.3">
      <c r="A13" s="2">
        <v>12</v>
      </c>
      <c r="B13" s="2" t="s">
        <v>141</v>
      </c>
      <c r="C13" s="2" t="s">
        <v>110</v>
      </c>
      <c r="D13" s="2" t="s">
        <v>31</v>
      </c>
      <c r="E13" s="2" t="s">
        <v>21</v>
      </c>
      <c r="F13" s="3"/>
      <c r="G13" s="2" t="str">
        <f t="shared" si="0"/>
        <v>Amol Jha</v>
      </c>
      <c r="H13" s="2" t="s">
        <v>84</v>
      </c>
      <c r="I13" s="2" t="s">
        <v>146</v>
      </c>
      <c r="J13" s="2" t="str">
        <f t="shared" si="1"/>
        <v>amoljha@gmail.com</v>
      </c>
      <c r="K13" s="2" t="str">
        <f t="shared" si="2"/>
        <v>Amol</v>
      </c>
      <c r="L13" s="2" t="str">
        <f t="shared" si="3"/>
        <v>Jha</v>
      </c>
      <c r="M13" s="2" t="str">
        <f t="shared" si="4"/>
        <v>@gmail.com</v>
      </c>
      <c r="N13" s="2" t="str">
        <f t="shared" si="5"/>
        <v>+91 6060606060</v>
      </c>
      <c r="O13" s="2" t="str">
        <f t="shared" si="6"/>
        <v>Nashik</v>
      </c>
      <c r="P13" s="2" t="str">
        <f t="shared" si="7"/>
        <v>Amol | amoljha@gmail.com | +91 6060606060 | Nashik</v>
      </c>
      <c r="Q13" s="2" t="str">
        <f t="shared" si="8"/>
        <v>EMP012</v>
      </c>
      <c r="R13" s="2" t="str">
        <f t="shared" si="9"/>
        <v>Valid</v>
      </c>
      <c r="S13" s="2" t="str">
        <f t="shared" si="10"/>
        <v>AMOL | AMOLJHA@GMAIL.COM | +91 6060606060 | NASHIK</v>
      </c>
    </row>
    <row r="14" spans="1:19" x14ac:dyDescent="0.3">
      <c r="A14" s="2">
        <v>13</v>
      </c>
      <c r="B14" s="2" t="s">
        <v>105</v>
      </c>
      <c r="C14" s="2" t="s">
        <v>132</v>
      </c>
      <c r="D14" s="2" t="s">
        <v>32</v>
      </c>
      <c r="E14" s="2" t="s">
        <v>25</v>
      </c>
      <c r="F14" s="3"/>
      <c r="G14" s="2" t="str">
        <f t="shared" si="0"/>
        <v>Vishal Kale</v>
      </c>
      <c r="H14" s="2" t="s">
        <v>138</v>
      </c>
      <c r="I14" s="2" t="s">
        <v>78</v>
      </c>
      <c r="J14" s="2" t="str">
        <f t="shared" si="1"/>
        <v>vishalkale@gmail.com</v>
      </c>
      <c r="K14" s="2" t="str">
        <f t="shared" si="2"/>
        <v>Vishal</v>
      </c>
      <c r="L14" s="2" t="str">
        <f t="shared" si="3"/>
        <v>Kale</v>
      </c>
      <c r="M14" s="2" t="str">
        <f t="shared" si="4"/>
        <v>@gmail.com</v>
      </c>
      <c r="N14" s="2" t="str">
        <f t="shared" si="5"/>
        <v>+91 7070707070</v>
      </c>
      <c r="O14" s="2" t="str">
        <f t="shared" si="6"/>
        <v>Mumbai</v>
      </c>
      <c r="P14" s="2" t="str">
        <f t="shared" si="7"/>
        <v>Vishal | vishalkale@gmail.com | +91 7070707070 | Mumbai</v>
      </c>
      <c r="Q14" s="2" t="str">
        <f t="shared" si="8"/>
        <v>EMP013</v>
      </c>
      <c r="R14" s="2" t="str">
        <f t="shared" si="9"/>
        <v>Valid</v>
      </c>
      <c r="S14" s="2" t="str">
        <f t="shared" si="10"/>
        <v>VISHAL | VISHALKALE@GMAIL.COM | +91 7070707070 | MUMBAI</v>
      </c>
    </row>
    <row r="15" spans="1:19" x14ac:dyDescent="0.3">
      <c r="A15" s="2">
        <v>14</v>
      </c>
      <c r="B15" s="2" t="s">
        <v>33</v>
      </c>
      <c r="C15" s="2" t="s">
        <v>133</v>
      </c>
      <c r="D15" s="2" t="s">
        <v>34</v>
      </c>
      <c r="E15" s="2" t="s">
        <v>29</v>
      </c>
      <c r="F15" s="3"/>
      <c r="G15" s="2" t="str">
        <f t="shared" si="0"/>
        <v>Swati Deshmukh</v>
      </c>
      <c r="H15" s="2" t="s">
        <v>85</v>
      </c>
      <c r="I15" s="2" t="s">
        <v>82</v>
      </c>
      <c r="J15" s="2" t="str">
        <f t="shared" si="1"/>
        <v>swatideshmukh@gmail.com</v>
      </c>
      <c r="K15" s="2" t="str">
        <f t="shared" si="2"/>
        <v>Swati</v>
      </c>
      <c r="L15" s="2" t="str">
        <f t="shared" si="3"/>
        <v>Deshmukh</v>
      </c>
      <c r="M15" s="2" t="str">
        <f t="shared" si="4"/>
        <v>@gmail.com</v>
      </c>
      <c r="N15" s="2" t="str">
        <f t="shared" si="5"/>
        <v>+91 9090909090</v>
      </c>
      <c r="O15" s="2" t="str">
        <f t="shared" si="6"/>
        <v>Nagpur</v>
      </c>
      <c r="P15" s="2" t="str">
        <f t="shared" si="7"/>
        <v>Swati | swatideshmukh@gmail.com | +91 9090909090 | Nagpur</v>
      </c>
      <c r="Q15" s="2" t="str">
        <f t="shared" si="8"/>
        <v>EMP014</v>
      </c>
      <c r="R15" s="2" t="str">
        <f t="shared" si="9"/>
        <v>Valid</v>
      </c>
      <c r="S15" s="2" t="str">
        <f t="shared" si="10"/>
        <v>SWATI | SWATIDESHMUKH@GMAIL.COM | +91 9090909090 | NAGPUR</v>
      </c>
    </row>
    <row r="16" spans="1:19" x14ac:dyDescent="0.3">
      <c r="A16" s="2">
        <v>15</v>
      </c>
      <c r="B16" s="2" t="s">
        <v>35</v>
      </c>
      <c r="C16" s="2" t="s">
        <v>111</v>
      </c>
      <c r="D16" s="2" t="s">
        <v>36</v>
      </c>
      <c r="E16" s="2" t="s">
        <v>10</v>
      </c>
      <c r="F16" s="3"/>
      <c r="G16" s="2" t="str">
        <f t="shared" si="0"/>
        <v>Ajay Sawant</v>
      </c>
      <c r="H16" s="2" t="s">
        <v>86</v>
      </c>
      <c r="I16" s="2" t="s">
        <v>87</v>
      </c>
      <c r="J16" s="2" t="str">
        <f t="shared" si="1"/>
        <v>ajay@hotmail.com</v>
      </c>
      <c r="K16" s="2" t="str">
        <f t="shared" si="2"/>
        <v>Ajay</v>
      </c>
      <c r="L16" s="2" t="str">
        <f t="shared" si="3"/>
        <v>Sawant</v>
      </c>
      <c r="M16" s="2" t="str">
        <f t="shared" si="4"/>
        <v>@hotmail.com</v>
      </c>
      <c r="N16" s="2" t="str">
        <f t="shared" si="5"/>
        <v>+91 8080808080</v>
      </c>
      <c r="O16" s="2" t="str">
        <f t="shared" si="6"/>
        <v>Pune</v>
      </c>
      <c r="P16" s="2" t="str">
        <f t="shared" si="7"/>
        <v>Ajay | ajay@hotmail.com | +91 8080808080 | Pune</v>
      </c>
      <c r="Q16" s="2" t="str">
        <f t="shared" si="8"/>
        <v>EMP015</v>
      </c>
      <c r="R16" s="2" t="str">
        <f t="shared" si="9"/>
        <v>Valid</v>
      </c>
      <c r="S16" s="2" t="str">
        <f t="shared" si="10"/>
        <v>AJAY | AJAY@HOTMAIL.COM | +91 8080808080 | PUNE</v>
      </c>
    </row>
    <row r="17" spans="1:19" x14ac:dyDescent="0.3">
      <c r="A17" s="2">
        <v>16</v>
      </c>
      <c r="B17" s="2" t="s">
        <v>37</v>
      </c>
      <c r="C17" s="2" t="s">
        <v>112</v>
      </c>
      <c r="D17" s="2" t="s">
        <v>38</v>
      </c>
      <c r="E17" s="2" t="s">
        <v>16</v>
      </c>
      <c r="F17" s="3"/>
      <c r="G17" s="2" t="str">
        <f t="shared" si="0"/>
        <v>Kiran Patil</v>
      </c>
      <c r="H17" s="2" t="s">
        <v>88</v>
      </c>
      <c r="I17" s="2" t="s">
        <v>69</v>
      </c>
      <c r="J17" s="2" t="str">
        <f t="shared" si="1"/>
        <v>kiranpatil@gmail.com</v>
      </c>
      <c r="K17" s="2" t="str">
        <f t="shared" si="2"/>
        <v>Kiran</v>
      </c>
      <c r="L17" s="2" t="str">
        <f t="shared" si="3"/>
        <v>Patil</v>
      </c>
      <c r="M17" s="2" t="str">
        <f t="shared" si="4"/>
        <v>@gmail.com</v>
      </c>
      <c r="N17" s="2" t="str">
        <f t="shared" si="5"/>
        <v>+91 6060606060</v>
      </c>
      <c r="O17" s="2" t="str">
        <f t="shared" si="6"/>
        <v>Delhi</v>
      </c>
      <c r="P17" s="2" t="str">
        <f t="shared" si="7"/>
        <v>Kiran | kiranpatil@gmail.com | +91 6060606060 | Delhi</v>
      </c>
      <c r="Q17" s="2" t="str">
        <f t="shared" si="8"/>
        <v>EMP016</v>
      </c>
      <c r="R17" s="2" t="str">
        <f t="shared" si="9"/>
        <v>Valid</v>
      </c>
      <c r="S17" s="2" t="str">
        <f t="shared" si="10"/>
        <v>KIRAN | KIRANPATIL@GMAIL.COM | +91 6060606060 | DELHI</v>
      </c>
    </row>
    <row r="18" spans="1:19" x14ac:dyDescent="0.3">
      <c r="A18" s="2">
        <v>17</v>
      </c>
      <c r="B18" s="2" t="s">
        <v>39</v>
      </c>
      <c r="C18" s="2" t="s">
        <v>113</v>
      </c>
      <c r="D18" s="2" t="s">
        <v>40</v>
      </c>
      <c r="E18" s="2" t="s">
        <v>21</v>
      </c>
      <c r="F18" s="3"/>
      <c r="G18" s="2" t="str">
        <f t="shared" si="0"/>
        <v>Sneha Pawar</v>
      </c>
      <c r="H18" s="2" t="s">
        <v>70</v>
      </c>
      <c r="I18" s="2" t="s">
        <v>73</v>
      </c>
      <c r="J18" s="2" t="str">
        <f t="shared" si="1"/>
        <v>sneha@outlook.com</v>
      </c>
      <c r="K18" s="2" t="str">
        <f t="shared" si="2"/>
        <v>Sneha</v>
      </c>
      <c r="L18" s="2" t="str">
        <f t="shared" si="3"/>
        <v>Pawar</v>
      </c>
      <c r="M18" s="2" t="str">
        <f t="shared" si="4"/>
        <v>@outlook.com</v>
      </c>
      <c r="N18" s="2" t="str">
        <f t="shared" si="5"/>
        <v>+91 7070707070</v>
      </c>
      <c r="O18" s="2" t="str">
        <f t="shared" si="6"/>
        <v>Nashik</v>
      </c>
      <c r="P18" s="2" t="str">
        <f t="shared" si="7"/>
        <v>Sneha | sneha@outlook.com | +91 7070707070 | Nashik</v>
      </c>
      <c r="Q18" s="2" t="str">
        <f t="shared" si="8"/>
        <v>EMP017</v>
      </c>
      <c r="R18" s="2" t="str">
        <f t="shared" si="9"/>
        <v>Valid</v>
      </c>
      <c r="S18" s="2" t="str">
        <f t="shared" si="10"/>
        <v>SNEHA | SNEHA@OUTLOOK.COM | +91 7070707070 | NASHIK</v>
      </c>
    </row>
    <row r="19" spans="1:19" x14ac:dyDescent="0.3">
      <c r="A19" s="2">
        <v>18</v>
      </c>
      <c r="B19" s="2" t="s">
        <v>106</v>
      </c>
      <c r="C19" s="2" t="s">
        <v>134</v>
      </c>
      <c r="D19" s="2" t="s">
        <v>41</v>
      </c>
      <c r="E19" s="2" t="s">
        <v>25</v>
      </c>
      <c r="F19" s="3"/>
      <c r="G19" s="2" t="str">
        <f t="shared" si="0"/>
        <v>Ankit More</v>
      </c>
      <c r="H19" s="2" t="s">
        <v>139</v>
      </c>
      <c r="I19" s="2" t="s">
        <v>80</v>
      </c>
      <c r="J19" s="2" t="str">
        <f t="shared" si="1"/>
        <v>ankitmore@gmail.com</v>
      </c>
      <c r="K19" s="2" t="str">
        <f t="shared" si="2"/>
        <v>Ankit</v>
      </c>
      <c r="L19" s="2" t="str">
        <f t="shared" si="3"/>
        <v>More</v>
      </c>
      <c r="M19" s="2" t="str">
        <f t="shared" si="4"/>
        <v>@gmail.com</v>
      </c>
      <c r="N19" s="2" t="str">
        <f t="shared" si="5"/>
        <v>+91 8080808080</v>
      </c>
      <c r="O19" s="2" t="str">
        <f t="shared" si="6"/>
        <v>Mumbai</v>
      </c>
      <c r="P19" s="2" t="str">
        <f t="shared" si="7"/>
        <v>Ankit | ankitmore@gmail.com | +91 8080808080 | Mumbai</v>
      </c>
      <c r="Q19" s="2" t="str">
        <f t="shared" si="8"/>
        <v>EMP018</v>
      </c>
      <c r="R19" s="2" t="str">
        <f t="shared" si="9"/>
        <v>Valid</v>
      </c>
      <c r="S19" s="2" t="str">
        <f t="shared" si="10"/>
        <v>ANKIT | ANKITMORE@GMAIL.COM | +91 8080808080 | MUMBAI</v>
      </c>
    </row>
    <row r="20" spans="1:19" x14ac:dyDescent="0.3">
      <c r="A20" s="2">
        <v>19</v>
      </c>
      <c r="B20" s="2" t="s">
        <v>42</v>
      </c>
      <c r="C20" s="2" t="s">
        <v>114</v>
      </c>
      <c r="D20" s="2" t="s">
        <v>43</v>
      </c>
      <c r="E20" s="2" t="s">
        <v>10</v>
      </c>
      <c r="F20" s="3"/>
      <c r="G20" s="2" t="str">
        <f t="shared" si="0"/>
        <v>Neha Kale</v>
      </c>
      <c r="H20" s="2" t="s">
        <v>89</v>
      </c>
      <c r="I20" s="2" t="s">
        <v>78</v>
      </c>
      <c r="J20" s="2" t="str">
        <f t="shared" si="1"/>
        <v>nehakale@gmail.com</v>
      </c>
      <c r="K20" s="2" t="str">
        <f t="shared" si="2"/>
        <v>Neha</v>
      </c>
      <c r="L20" s="2" t="str">
        <f t="shared" si="3"/>
        <v>Kale</v>
      </c>
      <c r="M20" s="2" t="str">
        <f t="shared" si="4"/>
        <v>@gmail.com</v>
      </c>
      <c r="N20" s="2" t="str">
        <f t="shared" si="5"/>
        <v>+91 7070705050</v>
      </c>
      <c r="O20" s="2" t="str">
        <f t="shared" si="6"/>
        <v>Pune</v>
      </c>
      <c r="P20" s="2" t="str">
        <f t="shared" si="7"/>
        <v>Neha | nehakale@gmail.com | +91 7070705050 | Pune</v>
      </c>
      <c r="Q20" s="2" t="str">
        <f t="shared" si="8"/>
        <v>EMP019</v>
      </c>
      <c r="R20" s="2" t="str">
        <f t="shared" si="9"/>
        <v>Valid</v>
      </c>
      <c r="S20" s="2" t="str">
        <f t="shared" si="10"/>
        <v>NEHA | NEHAKALE@GMAIL.COM | +91 7070705050 | PUNE</v>
      </c>
    </row>
    <row r="21" spans="1:19" x14ac:dyDescent="0.3">
      <c r="A21" s="2">
        <v>20</v>
      </c>
      <c r="B21" s="2" t="s">
        <v>44</v>
      </c>
      <c r="C21" s="2" t="s">
        <v>115</v>
      </c>
      <c r="D21" s="2" t="s">
        <v>45</v>
      </c>
      <c r="E21" s="2" t="s">
        <v>16</v>
      </c>
      <c r="F21" s="3"/>
      <c r="G21" s="2" t="str">
        <f t="shared" si="0"/>
        <v>Rahul Gaikwad</v>
      </c>
      <c r="H21" s="2" t="s">
        <v>74</v>
      </c>
      <c r="I21" s="2" t="s">
        <v>90</v>
      </c>
      <c r="J21" s="2" t="str">
        <f t="shared" si="1"/>
        <v>rahulgaikwad@hotmail.com</v>
      </c>
      <c r="K21" s="2" t="str">
        <f t="shared" si="2"/>
        <v>Rahul</v>
      </c>
      <c r="L21" s="2" t="str">
        <f t="shared" si="3"/>
        <v>Gaikwad</v>
      </c>
      <c r="M21" s="2" t="str">
        <f t="shared" si="4"/>
        <v>@hotmail.com</v>
      </c>
      <c r="N21" s="2" t="str">
        <f t="shared" si="5"/>
        <v>+91 6060606060</v>
      </c>
      <c r="O21" s="2" t="str">
        <f t="shared" si="6"/>
        <v>Delhi</v>
      </c>
      <c r="P21" s="2" t="str">
        <f t="shared" si="7"/>
        <v>Rahul | rahulgaikwad@hotmail.com | +91 6060606060 | Delhi</v>
      </c>
      <c r="Q21" s="2" t="str">
        <f t="shared" si="8"/>
        <v>EMP020</v>
      </c>
      <c r="R21" s="2" t="str">
        <f t="shared" si="9"/>
        <v>Valid</v>
      </c>
      <c r="S21" s="2" t="str">
        <f t="shared" si="10"/>
        <v>RAHUL | RAHULGAIKWAD@HOTMAIL.COM | +91 6060606060 | DELHI</v>
      </c>
    </row>
    <row r="22" spans="1:19" x14ac:dyDescent="0.3">
      <c r="A22" s="2">
        <v>21</v>
      </c>
      <c r="B22" s="2" t="s">
        <v>46</v>
      </c>
      <c r="C22" s="2" t="s">
        <v>116</v>
      </c>
      <c r="D22" s="2" t="s">
        <v>47</v>
      </c>
      <c r="E22" s="2" t="s">
        <v>21</v>
      </c>
      <c r="F22" s="3"/>
      <c r="G22" s="2" t="str">
        <f t="shared" si="0"/>
        <v>Samir Shinde</v>
      </c>
      <c r="H22" s="2" t="s">
        <v>91</v>
      </c>
      <c r="I22" s="2" t="s">
        <v>75</v>
      </c>
      <c r="J22" s="2" t="str">
        <f t="shared" si="1"/>
        <v>samir@gmail.com</v>
      </c>
      <c r="K22" s="2" t="str">
        <f t="shared" si="2"/>
        <v>Samir</v>
      </c>
      <c r="L22" s="2" t="str">
        <f t="shared" si="3"/>
        <v>Shinde</v>
      </c>
      <c r="M22" s="2" t="str">
        <f t="shared" si="4"/>
        <v>@gmail.com</v>
      </c>
      <c r="N22" s="2" t="str">
        <f t="shared" si="5"/>
        <v>+91 90907070</v>
      </c>
      <c r="O22" s="2" t="str">
        <f t="shared" si="6"/>
        <v>Nashik</v>
      </c>
      <c r="P22" s="2" t="str">
        <f t="shared" si="7"/>
        <v>Samir | samir@gmail.com | +91 90907070 | Nashik</v>
      </c>
      <c r="Q22" s="2" t="str">
        <f t="shared" si="8"/>
        <v>EMP021</v>
      </c>
      <c r="R22" s="2" t="str">
        <f t="shared" si="9"/>
        <v>Valid</v>
      </c>
      <c r="S22" s="2" t="str">
        <f t="shared" si="10"/>
        <v>SAMIR | SAMIR@GMAIL.COM | +91 90907070 | NASHIK</v>
      </c>
    </row>
    <row r="23" spans="1:19" x14ac:dyDescent="0.3">
      <c r="A23" s="2">
        <v>22</v>
      </c>
      <c r="B23" s="2" t="s">
        <v>48</v>
      </c>
      <c r="C23" s="2" t="s">
        <v>135</v>
      </c>
      <c r="D23" s="2" t="s">
        <v>49</v>
      </c>
      <c r="E23" s="2" t="s">
        <v>29</v>
      </c>
      <c r="F23" s="3"/>
      <c r="G23" s="2" t="str">
        <f t="shared" si="0"/>
        <v>Sonali Muley</v>
      </c>
      <c r="H23" s="2" t="s">
        <v>92</v>
      </c>
      <c r="I23" s="2" t="s">
        <v>93</v>
      </c>
      <c r="J23" s="2" t="str">
        <f t="shared" si="1"/>
        <v>sonalimuley@gmail.com</v>
      </c>
      <c r="K23" s="2" t="str">
        <f t="shared" si="2"/>
        <v>Sonali</v>
      </c>
      <c r="L23" s="2" t="str">
        <f t="shared" si="3"/>
        <v>Muley</v>
      </c>
      <c r="M23" s="2" t="str">
        <f t="shared" si="4"/>
        <v>@gmail.com</v>
      </c>
      <c r="N23" s="2" t="str">
        <f t="shared" si="5"/>
        <v>+91 80806060</v>
      </c>
      <c r="O23" s="2" t="str">
        <f t="shared" si="6"/>
        <v>Nagpur</v>
      </c>
      <c r="P23" s="2" t="str">
        <f t="shared" si="7"/>
        <v>Sonali | sonalimuley@gmail.com | +91 80806060 | Nagpur</v>
      </c>
      <c r="Q23" s="2" t="str">
        <f t="shared" si="8"/>
        <v>EMP022</v>
      </c>
      <c r="R23" s="2" t="str">
        <f t="shared" si="9"/>
        <v>Valid</v>
      </c>
      <c r="S23" s="2" t="str">
        <f t="shared" si="10"/>
        <v>SONALI | SONALIMULEY@GMAIL.COM | +91 80806060 | NAGPUR</v>
      </c>
    </row>
    <row r="24" spans="1:19" x14ac:dyDescent="0.3">
      <c r="A24" s="2">
        <v>23</v>
      </c>
      <c r="B24" s="2" t="s">
        <v>50</v>
      </c>
      <c r="C24" s="2" t="s">
        <v>117</v>
      </c>
      <c r="D24" s="2" t="s">
        <v>51</v>
      </c>
      <c r="E24" s="2" t="s">
        <v>25</v>
      </c>
      <c r="F24" s="3"/>
      <c r="G24" s="2" t="str">
        <f t="shared" si="0"/>
        <v>Tanmay Kharat</v>
      </c>
      <c r="H24" s="2" t="s">
        <v>94</v>
      </c>
      <c r="I24" s="2" t="s">
        <v>95</v>
      </c>
      <c r="J24" s="2" t="str">
        <f t="shared" si="1"/>
        <v>tanmaykharat@yahoo.com</v>
      </c>
      <c r="K24" s="2" t="str">
        <f t="shared" si="2"/>
        <v>Tanmay</v>
      </c>
      <c r="L24" s="2" t="str">
        <f t="shared" si="3"/>
        <v>Kharat</v>
      </c>
      <c r="M24" s="2" t="str">
        <f t="shared" si="4"/>
        <v>@yahoo.com</v>
      </c>
      <c r="N24" s="2" t="str">
        <f t="shared" si="5"/>
        <v>+91 70709090</v>
      </c>
      <c r="O24" s="2" t="str">
        <f t="shared" si="6"/>
        <v>Mumbai</v>
      </c>
      <c r="P24" s="2" t="str">
        <f t="shared" si="7"/>
        <v>Tanmay | tanmaykharat@yahoo.com | +91 70709090 | Mumbai</v>
      </c>
      <c r="Q24" s="2" t="str">
        <f t="shared" si="8"/>
        <v>EMP023</v>
      </c>
      <c r="R24" s="2" t="str">
        <f t="shared" si="9"/>
        <v>Valid</v>
      </c>
      <c r="S24" s="2" t="str">
        <f t="shared" si="10"/>
        <v>TANMAY | TANMAYKHARAT@YAHOO.COM | +91 70709090 | MUMBAI</v>
      </c>
    </row>
    <row r="25" spans="1:19" x14ac:dyDescent="0.3">
      <c r="A25" s="2">
        <v>24</v>
      </c>
      <c r="B25" s="2" t="s">
        <v>52</v>
      </c>
      <c r="C25" s="2" t="s">
        <v>118</v>
      </c>
      <c r="D25" s="2" t="s">
        <v>53</v>
      </c>
      <c r="E25" s="2" t="s">
        <v>10</v>
      </c>
      <c r="F25" s="3"/>
      <c r="G25" s="2" t="str">
        <f t="shared" si="0"/>
        <v>Rutuja Sawant</v>
      </c>
      <c r="H25" s="2" t="s">
        <v>96</v>
      </c>
      <c r="I25" s="2" t="s">
        <v>87</v>
      </c>
      <c r="J25" s="2" t="str">
        <f t="shared" si="1"/>
        <v>rutuja@outlook.com</v>
      </c>
      <c r="K25" s="2" t="str">
        <f t="shared" si="2"/>
        <v>Rutuja</v>
      </c>
      <c r="L25" s="2" t="str">
        <f t="shared" si="3"/>
        <v>Sawant</v>
      </c>
      <c r="M25" s="2" t="str">
        <f t="shared" si="4"/>
        <v>@outlook.com</v>
      </c>
      <c r="N25" s="2" t="str">
        <f t="shared" si="5"/>
        <v>+91 90908080</v>
      </c>
      <c r="O25" s="2" t="str">
        <f t="shared" si="6"/>
        <v>Pune</v>
      </c>
      <c r="P25" s="2" t="str">
        <f t="shared" si="7"/>
        <v>Rutuja | rutuja@outlook.com | +91 90908080 | Pune</v>
      </c>
      <c r="Q25" s="2" t="str">
        <f t="shared" si="8"/>
        <v>EMP024</v>
      </c>
      <c r="R25" s="2" t="str">
        <f t="shared" si="9"/>
        <v>Valid</v>
      </c>
      <c r="S25" s="2" t="str">
        <f t="shared" si="10"/>
        <v>RUTUJA | RUTUJA@OUTLOOK.COM | +91 90908080 | PUNE</v>
      </c>
    </row>
    <row r="26" spans="1:19" x14ac:dyDescent="0.3">
      <c r="A26" s="2">
        <v>25</v>
      </c>
      <c r="B26" s="2" t="s">
        <v>54</v>
      </c>
      <c r="C26" s="2" t="s">
        <v>119</v>
      </c>
      <c r="D26" s="2" t="s">
        <v>55</v>
      </c>
      <c r="E26" s="2" t="s">
        <v>16</v>
      </c>
      <c r="F26" s="3"/>
      <c r="G26" s="2" t="str">
        <f t="shared" si="0"/>
        <v>Mohit Pawar</v>
      </c>
      <c r="H26" s="2" t="s">
        <v>97</v>
      </c>
      <c r="I26" s="2" t="s">
        <v>73</v>
      </c>
      <c r="J26" s="2" t="str">
        <f t="shared" si="1"/>
        <v>mohitpawar@gmail.com</v>
      </c>
      <c r="K26" s="2" t="str">
        <f t="shared" si="2"/>
        <v>Mohit</v>
      </c>
      <c r="L26" s="2" t="str">
        <f t="shared" si="3"/>
        <v>Pawar</v>
      </c>
      <c r="M26" s="2" t="str">
        <f t="shared" si="4"/>
        <v>@gmail.com</v>
      </c>
      <c r="N26" s="2" t="str">
        <f t="shared" si="5"/>
        <v>+91 6060606060</v>
      </c>
      <c r="O26" s="2" t="str">
        <f t="shared" si="6"/>
        <v>Delhi</v>
      </c>
      <c r="P26" s="2" t="str">
        <f t="shared" si="7"/>
        <v>Mohit | mohitpawar@gmail.com | +91 6060606060 | Delhi</v>
      </c>
      <c r="Q26" s="2" t="str">
        <f t="shared" si="8"/>
        <v>EMP025</v>
      </c>
      <c r="R26" s="2" t="str">
        <f t="shared" si="9"/>
        <v>Valid</v>
      </c>
      <c r="S26" s="2" t="str">
        <f t="shared" si="10"/>
        <v>MOHIT | MOHITPAWAR@GMAIL.COM | +91 6060606060 | DELHI</v>
      </c>
    </row>
    <row r="27" spans="1:19" x14ac:dyDescent="0.3">
      <c r="A27" s="2">
        <v>26</v>
      </c>
      <c r="B27" s="2" t="s">
        <v>56</v>
      </c>
      <c r="C27" s="2" t="s">
        <v>120</v>
      </c>
      <c r="D27" s="2" t="s">
        <v>57</v>
      </c>
      <c r="E27" s="2" t="s">
        <v>21</v>
      </c>
      <c r="F27" s="3"/>
      <c r="G27" s="2" t="str">
        <f t="shared" si="0"/>
        <v>Tejas Kale</v>
      </c>
      <c r="H27" s="2" t="s">
        <v>98</v>
      </c>
      <c r="I27" s="2" t="s">
        <v>78</v>
      </c>
      <c r="J27" s="2" t="str">
        <f t="shared" si="1"/>
        <v>tejas@gmail.com</v>
      </c>
      <c r="K27" s="2" t="str">
        <f t="shared" si="2"/>
        <v>Tejas</v>
      </c>
      <c r="L27" s="2" t="str">
        <f t="shared" si="3"/>
        <v>Kale</v>
      </c>
      <c r="M27" s="2" t="str">
        <f t="shared" si="4"/>
        <v>@gmail.com</v>
      </c>
      <c r="N27" s="2" t="str">
        <f t="shared" si="5"/>
        <v>+91 9090909090</v>
      </c>
      <c r="O27" s="2" t="str">
        <f t="shared" si="6"/>
        <v>Nashik</v>
      </c>
      <c r="P27" s="2" t="str">
        <f t="shared" si="7"/>
        <v>Tejas | tejas@gmail.com | +91 9090909090 | Nashik</v>
      </c>
      <c r="Q27" s="2" t="str">
        <f t="shared" si="8"/>
        <v>EMP026</v>
      </c>
      <c r="R27" s="2" t="str">
        <f t="shared" si="9"/>
        <v>Valid</v>
      </c>
      <c r="S27" s="2" t="str">
        <f t="shared" si="10"/>
        <v>TEJAS | TEJAS@GMAIL.COM | +91 9090909090 | NASHIK</v>
      </c>
    </row>
    <row r="28" spans="1:19" x14ac:dyDescent="0.3">
      <c r="A28" s="2">
        <v>27</v>
      </c>
      <c r="B28" s="2" t="s">
        <v>58</v>
      </c>
      <c r="C28" s="2" t="s">
        <v>121</v>
      </c>
      <c r="D28" s="2" t="s">
        <v>59</v>
      </c>
      <c r="E28" s="2" t="s">
        <v>10</v>
      </c>
      <c r="F28" s="3"/>
      <c r="G28" s="2" t="str">
        <f t="shared" si="0"/>
        <v>Omkar Jadhav</v>
      </c>
      <c r="H28" s="2" t="s">
        <v>99</v>
      </c>
      <c r="I28" s="2" t="s">
        <v>71</v>
      </c>
      <c r="J28" s="2" t="str">
        <f t="shared" si="1"/>
        <v>omkar@yahoo.com</v>
      </c>
      <c r="K28" s="2" t="str">
        <f t="shared" si="2"/>
        <v>Omkar</v>
      </c>
      <c r="L28" s="2" t="str">
        <f t="shared" si="3"/>
        <v>Jadhav</v>
      </c>
      <c r="M28" s="2" t="str">
        <f t="shared" si="4"/>
        <v>@yahoo.com</v>
      </c>
      <c r="N28" s="2" t="str">
        <f t="shared" si="5"/>
        <v>+91 8080808080</v>
      </c>
      <c r="O28" s="2" t="str">
        <f t="shared" si="6"/>
        <v>Pune</v>
      </c>
      <c r="P28" s="2" t="str">
        <f t="shared" si="7"/>
        <v>Omkar | omkar@yahoo.com | +91 8080808080 | Pune</v>
      </c>
      <c r="Q28" s="2" t="str">
        <f t="shared" si="8"/>
        <v>EMP027</v>
      </c>
      <c r="R28" s="2" t="str">
        <f t="shared" si="9"/>
        <v>Valid</v>
      </c>
      <c r="S28" s="2" t="str">
        <f t="shared" si="10"/>
        <v>OMKAR | OMKAR@YAHOO.COM | +91 8080808080 | PUNE</v>
      </c>
    </row>
    <row r="29" spans="1:19" x14ac:dyDescent="0.3">
      <c r="A29" s="2">
        <v>28</v>
      </c>
      <c r="B29" s="2" t="s">
        <v>60</v>
      </c>
      <c r="C29" s="2" t="s">
        <v>122</v>
      </c>
      <c r="D29" s="2" t="s">
        <v>32</v>
      </c>
      <c r="E29" s="2" t="s">
        <v>25</v>
      </c>
      <c r="F29" s="3"/>
      <c r="G29" s="2" t="str">
        <f t="shared" si="0"/>
        <v>Shruti Patil</v>
      </c>
      <c r="H29" s="2" t="s">
        <v>100</v>
      </c>
      <c r="I29" s="2" t="s">
        <v>69</v>
      </c>
      <c r="J29" s="2" t="str">
        <f t="shared" si="1"/>
        <v>shrutipatil@gmail.com</v>
      </c>
      <c r="K29" s="2" t="str">
        <f t="shared" si="2"/>
        <v>Shruti</v>
      </c>
      <c r="L29" s="2" t="str">
        <f t="shared" si="3"/>
        <v>Patil</v>
      </c>
      <c r="M29" s="2" t="str">
        <f t="shared" si="4"/>
        <v>@gmail.com</v>
      </c>
      <c r="N29" s="2" t="str">
        <f t="shared" si="5"/>
        <v>+91 7070707070</v>
      </c>
      <c r="O29" s="2" t="str">
        <f t="shared" si="6"/>
        <v>Mumbai</v>
      </c>
      <c r="P29" s="2" t="str">
        <f t="shared" si="7"/>
        <v>Shruti | shrutipatil@gmail.com | +91 7070707070 | Mumbai</v>
      </c>
      <c r="Q29" s="2" t="str">
        <f t="shared" si="8"/>
        <v>EMP028</v>
      </c>
      <c r="R29" s="2" t="str">
        <f t="shared" si="9"/>
        <v>Valid</v>
      </c>
      <c r="S29" s="2" t="str">
        <f t="shared" si="10"/>
        <v>SHRUTI | SHRUTIPATIL@GMAIL.COM | +91 7070707070 | MUMBAI</v>
      </c>
    </row>
    <row r="30" spans="1:19" x14ac:dyDescent="0.3">
      <c r="A30" s="2">
        <v>29</v>
      </c>
      <c r="B30" s="2" t="s">
        <v>61</v>
      </c>
      <c r="C30" s="2" t="s">
        <v>123</v>
      </c>
      <c r="D30" s="2" t="s">
        <v>62</v>
      </c>
      <c r="E30" s="2" t="s">
        <v>29</v>
      </c>
      <c r="F30" s="3"/>
      <c r="G30" s="2" t="str">
        <f t="shared" si="0"/>
        <v>Manish Sonawane</v>
      </c>
      <c r="H30" s="2" t="s">
        <v>101</v>
      </c>
      <c r="I30" s="2" t="s">
        <v>67</v>
      </c>
      <c r="J30" s="2" t="str">
        <f t="shared" si="1"/>
        <v>manishsonawane@hotmail.com</v>
      </c>
      <c r="K30" s="2" t="str">
        <f t="shared" si="2"/>
        <v>Manish</v>
      </c>
      <c r="L30" s="2" t="str">
        <f t="shared" si="3"/>
        <v>Sonawane</v>
      </c>
      <c r="M30" s="2" t="str">
        <f t="shared" si="4"/>
        <v>@hotmail.com</v>
      </c>
      <c r="N30" s="2" t="str">
        <f t="shared" si="5"/>
        <v>+91 60606060</v>
      </c>
      <c r="O30" s="2" t="str">
        <f t="shared" si="6"/>
        <v>Nagpur</v>
      </c>
      <c r="P30" s="2" t="str">
        <f t="shared" si="7"/>
        <v>Manish | manishsonawane@hotmail.com | +91 60606060 | Nagpur</v>
      </c>
      <c r="Q30" s="2" t="str">
        <f t="shared" si="8"/>
        <v>EMP029</v>
      </c>
      <c r="R30" s="2" t="str">
        <f t="shared" si="9"/>
        <v>Valid</v>
      </c>
      <c r="S30" s="2" t="str">
        <f t="shared" si="10"/>
        <v>MANISH | MANISHSONAWANE@HOTMAIL.COM | +91 60606060 | NAGPUR</v>
      </c>
    </row>
    <row r="31" spans="1:19" x14ac:dyDescent="0.3">
      <c r="A31" s="2">
        <v>30</v>
      </c>
      <c r="B31" s="2" t="s">
        <v>63</v>
      </c>
      <c r="C31" s="2" t="s">
        <v>124</v>
      </c>
      <c r="D31" s="2" t="s">
        <v>64</v>
      </c>
      <c r="E31" s="2" t="s">
        <v>16</v>
      </c>
      <c r="F31" s="3"/>
      <c r="G31" s="2" t="str">
        <f t="shared" si="0"/>
        <v>Akash More</v>
      </c>
      <c r="H31" s="2" t="s">
        <v>102</v>
      </c>
      <c r="I31" s="2" t="s">
        <v>80</v>
      </c>
      <c r="J31" s="2" t="str">
        <f t="shared" si="1"/>
        <v>akash@gmail.com</v>
      </c>
      <c r="K31" s="2" t="str">
        <f t="shared" si="2"/>
        <v>Akash</v>
      </c>
      <c r="L31" s="2" t="str">
        <f t="shared" si="3"/>
        <v>More</v>
      </c>
      <c r="M31" s="2" t="str">
        <f t="shared" si="4"/>
        <v>@gmail.com</v>
      </c>
      <c r="N31" s="2" t="str">
        <f t="shared" si="5"/>
        <v>+91 70707070</v>
      </c>
      <c r="O31" s="2" t="str">
        <f t="shared" si="6"/>
        <v>Delhi</v>
      </c>
      <c r="P31" s="2" t="str">
        <f t="shared" si="7"/>
        <v>Akash | akash@gmail.com | +91 70707070 | Delhi</v>
      </c>
      <c r="Q31" s="2" t="str">
        <f t="shared" si="8"/>
        <v>EMP030</v>
      </c>
      <c r="R31" s="2" t="str">
        <f t="shared" si="9"/>
        <v>Valid</v>
      </c>
      <c r="S31" s="2" t="str">
        <f t="shared" si="10"/>
        <v>AKASH | AKASH@GMAIL.COM | +91 70707070 | DELHI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Employee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2025-10-28T13:32:32Z</dcterms:modified>
</cp:coreProperties>
</file>