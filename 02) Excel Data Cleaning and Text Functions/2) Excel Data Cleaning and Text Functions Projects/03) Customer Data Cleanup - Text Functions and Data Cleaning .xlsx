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2) Excel Text Functions &amp; Data Cleaning Projects\"/>
    </mc:Choice>
  </mc:AlternateContent>
  <xr:revisionPtr revIDLastSave="0" documentId="13_ncr:1_{6A9A4169-98AF-4614-B650-D66ED3D6BA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Customer DClea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D5" i="1"/>
  <c r="D10" i="1"/>
  <c r="D13" i="1"/>
  <c r="D17" i="1"/>
  <c r="D22" i="1"/>
  <c r="D27" i="1"/>
  <c r="D28" i="1"/>
  <c r="D29" i="1"/>
  <c r="D31" i="1"/>
</calcChain>
</file>

<file path=xl/sharedStrings.xml><?xml version="1.0" encoding="utf-8"?>
<sst xmlns="http://schemas.openxmlformats.org/spreadsheetml/2006/main" count="167" uniqueCount="142">
  <si>
    <t>Customer_ID</t>
  </si>
  <si>
    <t>Full_Name</t>
  </si>
  <si>
    <t>Email_Address</t>
  </si>
  <si>
    <t>Phone_Number</t>
  </si>
  <si>
    <t>City</t>
  </si>
  <si>
    <t>Comments</t>
  </si>
  <si>
    <t>C001</t>
  </si>
  <si>
    <t>rahul verma</t>
  </si>
  <si>
    <t>rahulverma @gmail. com</t>
  </si>
  <si>
    <t>+91-98765 43210</t>
  </si>
  <si>
    <t>delhi</t>
  </si>
  <si>
    <t>good!!</t>
  </si>
  <si>
    <t>C002</t>
  </si>
  <si>
    <t>Priya_Singh</t>
  </si>
  <si>
    <t>priya@singh@@gmail.com</t>
  </si>
  <si>
    <t>pune</t>
  </si>
  <si>
    <t>Loyal customer</t>
  </si>
  <si>
    <t>C003</t>
  </si>
  <si>
    <t>arjun kapoor</t>
  </si>
  <si>
    <t>ArjunKapoor@gmail.com</t>
  </si>
  <si>
    <t>+91 9999988888</t>
  </si>
  <si>
    <t>mumbai</t>
  </si>
  <si>
    <t>satisfied</t>
  </si>
  <si>
    <t>C004</t>
  </si>
  <si>
    <t>sneha@patil</t>
  </si>
  <si>
    <t>sneha.patil @gmail.com</t>
  </si>
  <si>
    <t>nagpur</t>
  </si>
  <si>
    <t>Great!!</t>
  </si>
  <si>
    <t>C005</t>
  </si>
  <si>
    <t>aman sharma</t>
  </si>
  <si>
    <t>Aman.Sharma@Gmail.Com</t>
  </si>
  <si>
    <t>jaipur</t>
  </si>
  <si>
    <t>C006</t>
  </si>
  <si>
    <t>rani kumari</t>
  </si>
  <si>
    <t>rani.kumari@gmail. com</t>
  </si>
  <si>
    <t>kolkata</t>
  </si>
  <si>
    <t>-good</t>
  </si>
  <si>
    <t>C007</t>
  </si>
  <si>
    <t>VIKAS SHAH</t>
  </si>
  <si>
    <t>vikas.shah@gmail.com</t>
  </si>
  <si>
    <t>surat</t>
  </si>
  <si>
    <t>nice</t>
  </si>
  <si>
    <t>C008</t>
  </si>
  <si>
    <t>riya sharma</t>
  </si>
  <si>
    <t>riya123@gmail.com</t>
  </si>
  <si>
    <t>C009</t>
  </si>
  <si>
    <t>Meena@Rao</t>
  </si>
  <si>
    <t>meena.rao @gmail.com</t>
  </si>
  <si>
    <t>chennai</t>
  </si>
  <si>
    <t>--</t>
  </si>
  <si>
    <t>C010</t>
  </si>
  <si>
    <t>vIjay Malhotra</t>
  </si>
  <si>
    <t>Vijay.Malhotra@Yahoo.Com</t>
  </si>
  <si>
    <t>VIP</t>
  </si>
  <si>
    <t>C011</t>
  </si>
  <si>
    <t>harshad joshi</t>
  </si>
  <si>
    <t>harshadjoshi@ gmail.com</t>
  </si>
  <si>
    <t>nashik</t>
  </si>
  <si>
    <t>Excellent</t>
  </si>
  <si>
    <t>C012</t>
  </si>
  <si>
    <t>POOJA nair</t>
  </si>
  <si>
    <t>pooja.nair @gmail.com</t>
  </si>
  <si>
    <t>kerala</t>
  </si>
  <si>
    <t>Happy</t>
  </si>
  <si>
    <t>C013</t>
  </si>
  <si>
    <t>manish kumar</t>
  </si>
  <si>
    <t>manishkumar@ gmail.com</t>
  </si>
  <si>
    <t>patna</t>
  </si>
  <si>
    <t>Great</t>
  </si>
  <si>
    <t>C014</t>
  </si>
  <si>
    <t>DEEPA MEHTA</t>
  </si>
  <si>
    <t>deepa.mehta@gmail.com</t>
  </si>
  <si>
    <t>+91 9090909090</t>
  </si>
  <si>
    <t>wonderful</t>
  </si>
  <si>
    <t>C015</t>
  </si>
  <si>
    <t>aditya deshmukh</t>
  </si>
  <si>
    <t>AdityaDeshmukh@gmail.com</t>
  </si>
  <si>
    <t>C016</t>
  </si>
  <si>
    <t>ramesh@gupta</t>
  </si>
  <si>
    <t>rameshgupta@gmail. com</t>
  </si>
  <si>
    <t>Good Service</t>
  </si>
  <si>
    <t>C017</t>
  </si>
  <si>
    <t>neha thakur</t>
  </si>
  <si>
    <t>Neha_Thakur@gmail.com</t>
  </si>
  <si>
    <t>bhopal</t>
  </si>
  <si>
    <t>Excellent!!</t>
  </si>
  <si>
    <t>C018</t>
  </si>
  <si>
    <t>ankit patel</t>
  </si>
  <si>
    <t>ankitpatel@gmail.com</t>
  </si>
  <si>
    <t>ahmedabad</t>
  </si>
  <si>
    <t>C019</t>
  </si>
  <si>
    <t>shreya roy</t>
  </si>
  <si>
    <t>shreya.roy @yahoo.com</t>
  </si>
  <si>
    <t>+91 8080888808</t>
  </si>
  <si>
    <t>good</t>
  </si>
  <si>
    <t>C020</t>
  </si>
  <si>
    <t>mohit singh</t>
  </si>
  <si>
    <t>mohit.singh @gmail.com</t>
  </si>
  <si>
    <t>C021</t>
  </si>
  <si>
    <t>kavita@menon</t>
  </si>
  <si>
    <t>kavita.menon@gmail.com</t>
  </si>
  <si>
    <t>trivandrum</t>
  </si>
  <si>
    <t>Loyal</t>
  </si>
  <si>
    <t>C022</t>
  </si>
  <si>
    <t>sonu yadav</t>
  </si>
  <si>
    <t>sonu_yadav @gmail.com</t>
  </si>
  <si>
    <t>lucknow</t>
  </si>
  <si>
    <t>C023</t>
  </si>
  <si>
    <t>preeti jain</t>
  </si>
  <si>
    <t>Preeti.Jain@ gmail.com</t>
  </si>
  <si>
    <t>indore</t>
  </si>
  <si>
    <t>excellent</t>
  </si>
  <si>
    <t>C024</t>
  </si>
  <si>
    <t>anjali bhatia</t>
  </si>
  <si>
    <t>anjali.bhatia@gmail. com</t>
  </si>
  <si>
    <t>+91 7070707070</t>
  </si>
  <si>
    <t>chandigarh</t>
  </si>
  <si>
    <t>C025</t>
  </si>
  <si>
    <t>rohit@more</t>
  </si>
  <si>
    <t>rohit.more@gmail.com</t>
  </si>
  <si>
    <t>C026</t>
  </si>
  <si>
    <t>tanya choudhary</t>
  </si>
  <si>
    <t>tanya.choudhary @gmail.com</t>
  </si>
  <si>
    <t>loyal</t>
  </si>
  <si>
    <t>C027</t>
  </si>
  <si>
    <t>pratik joshi</t>
  </si>
  <si>
    <t>pratik.joshi @gmail.com</t>
  </si>
  <si>
    <t>C028</t>
  </si>
  <si>
    <t>sakshi agarwal</t>
  </si>
  <si>
    <t>sakshi.agarwal @gmail.com</t>
  </si>
  <si>
    <t>C029</t>
  </si>
  <si>
    <t>karan@chauhan</t>
  </si>
  <si>
    <t>karan.chauhan@gmail. com</t>
  </si>
  <si>
    <t>C030</t>
  </si>
  <si>
    <t>aradhya desai</t>
  </si>
  <si>
    <t>Aradhya.Desai @yahoo.com</t>
  </si>
  <si>
    <t>Full Name Cleaning</t>
  </si>
  <si>
    <t>Email Cleaning</t>
  </si>
  <si>
    <t>First name using left</t>
  </si>
  <si>
    <t>Last name using mid</t>
  </si>
  <si>
    <t>Mobile Number</t>
  </si>
  <si>
    <t>City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</si>
</sst>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eha_Thakur@gmail.com" TargetMode="External"/><Relationship Id="rId3" Type="http://schemas.openxmlformats.org/officeDocument/2006/relationships/hyperlink" Target="mailto:vikas.shah@gmail.com" TargetMode="External"/><Relationship Id="rId7" Type="http://schemas.openxmlformats.org/officeDocument/2006/relationships/hyperlink" Target="mailto:AdityaDeshmukh@gmail.com" TargetMode="External"/><Relationship Id="rId2" Type="http://schemas.openxmlformats.org/officeDocument/2006/relationships/hyperlink" Target="mailto:Aman.Sharma@Gmail.Com" TargetMode="External"/><Relationship Id="rId1" Type="http://schemas.openxmlformats.org/officeDocument/2006/relationships/hyperlink" Target="mailto:ArjunKapoor@gmail.com" TargetMode="External"/><Relationship Id="rId6" Type="http://schemas.openxmlformats.org/officeDocument/2006/relationships/hyperlink" Target="mailto:deepa.mehta@gmail.com" TargetMode="External"/><Relationship Id="rId11" Type="http://schemas.openxmlformats.org/officeDocument/2006/relationships/hyperlink" Target="mailto:rohit.more@gmail.com" TargetMode="External"/><Relationship Id="rId5" Type="http://schemas.openxmlformats.org/officeDocument/2006/relationships/hyperlink" Target="mailto:Vijay.Malhotra@Yahoo.Com" TargetMode="External"/><Relationship Id="rId10" Type="http://schemas.openxmlformats.org/officeDocument/2006/relationships/hyperlink" Target="mailto:kavita.menon@gmail.com" TargetMode="External"/><Relationship Id="rId4" Type="http://schemas.openxmlformats.org/officeDocument/2006/relationships/hyperlink" Target="mailto:riya123@gmail.com" TargetMode="External"/><Relationship Id="rId9" Type="http://schemas.openxmlformats.org/officeDocument/2006/relationships/hyperlink" Target="mailto:ankitpat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C1" workbookViewId="0">
      <selection activeCell="G15" sqref="G15"/>
    </sheetView>
  </sheetViews>
  <sheetFormatPr defaultRowHeight="14.4" x14ac:dyDescent="0.3"/>
  <cols>
    <col min="1" max="1" width="11.88671875" bestFit="1" customWidth="1"/>
    <col min="2" max="2" width="14.77734375" bestFit="1" customWidth="1"/>
    <col min="3" max="3" width="25.77734375" bestFit="1" customWidth="1"/>
    <col min="4" max="4" width="15.21875" bestFit="1" customWidth="1"/>
    <col min="5" max="5" width="10.5546875" bestFit="1" customWidth="1"/>
    <col min="6" max="6" width="13.5546875" bestFit="1" customWidth="1"/>
    <col min="7" max="7" width="17.21875" bestFit="1" customWidth="1"/>
    <col min="8" max="8" width="25.77734375" bestFit="1" customWidth="1"/>
    <col min="9" max="9" width="18" bestFit="1" customWidth="1"/>
    <col min="10" max="10" width="18.33203125" bestFit="1" customWidth="1"/>
    <col min="11" max="11" width="14.33203125" bestFit="1" customWidth="1"/>
    <col min="12" max="12" width="10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136</v>
      </c>
      <c r="H1" s="5" t="s">
        <v>137</v>
      </c>
      <c r="I1" s="5" t="s">
        <v>138</v>
      </c>
      <c r="J1" s="5" t="s">
        <v>139</v>
      </c>
      <c r="K1" s="5" t="s">
        <v>140</v>
      </c>
      <c r="L1" s="5" t="s">
        <v>141</v>
      </c>
    </row>
    <row r="2" spans="1:1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6" t="str">
        <f>SUBSTITUTE(SUBSTITUTE(PROPER(TRIM(CLEAN(B2))),"_"," "),"@"," ")</f>
        <v>Rahul Verma</v>
      </c>
      <c r="H2" s="6" t="str">
        <f>SUBSTITUTE(SUBSTITUTE(SUBSTITUTE(SUBSTITUTE(SUBSTITUTE(LOWER(TRIM(CLEAN(C2))),"@",""),".","")," ",""),"gmailcom","@gmail.com"),"yahoocom","@yahoo.com")</f>
        <v>rahulverma@gmail.com</v>
      </c>
      <c r="I2" s="6" t="str">
        <f>LEFT(G2,FIND(" ",G2)-1)</f>
        <v>Rahul</v>
      </c>
      <c r="J2" s="6" t="str">
        <f>RIGHT(G2,LEN(G2)-FIND(" ",G2))</f>
        <v>Verma</v>
      </c>
      <c r="K2" s="6" t="str">
        <f>TRIM(CLEAN(SUBSTITUTE(SUBSTITUTE(SUBSTITUTE(D2,"+91",""),"-","")," ","")))</f>
        <v>9876543210</v>
      </c>
      <c r="L2" s="6" t="str">
        <f>PROPER(TRIM(CLEAN(E2)))</f>
        <v>Delhi</v>
      </c>
    </row>
    <row r="3" spans="1:12" x14ac:dyDescent="0.3">
      <c r="A3" s="2" t="s">
        <v>12</v>
      </c>
      <c r="B3" s="2" t="s">
        <v>13</v>
      </c>
      <c r="C3" s="2" t="s">
        <v>14</v>
      </c>
      <c r="D3" s="2">
        <v>9876543210</v>
      </c>
      <c r="E3" s="2" t="s">
        <v>15</v>
      </c>
      <c r="F3" s="2" t="s">
        <v>16</v>
      </c>
      <c r="G3" s="6" t="str">
        <f t="shared" ref="G3:G31" si="0">SUBSTITUTE(SUBSTITUTE(PROPER(TRIM(CLEAN(B3))),"_"," "),"@"," ")</f>
        <v>Priya Singh</v>
      </c>
      <c r="H3" s="6" t="str">
        <f t="shared" ref="H3:H31" si="1">SUBSTITUTE(SUBSTITUTE(SUBSTITUTE(SUBSTITUTE(SUBSTITUTE(LOWER(TRIM(CLEAN(C3))),"@",""),".","")," ",""),"gmailcom","@gmail.com"),"yahoocom","@yahoo.com")</f>
        <v>priyasingh@gmail.com</v>
      </c>
      <c r="I3" s="6" t="str">
        <f t="shared" ref="I3:I31" si="2">LEFT(G3,FIND(" ",G3)-1)</f>
        <v>Priya</v>
      </c>
      <c r="J3" s="6" t="str">
        <f t="shared" ref="J3:J31" si="3">RIGHT(G3,LEN(G3)-FIND(" ",G3))</f>
        <v>Singh</v>
      </c>
      <c r="K3" s="6" t="str">
        <f t="shared" ref="K3:K31" si="4">TRIM(CLEAN(SUBSTITUTE(SUBSTITUTE(SUBSTITUTE(D3,"+91",""),"-","")," ","")))</f>
        <v>9876543210</v>
      </c>
      <c r="L3" s="6" t="str">
        <f t="shared" ref="L3:L31" si="5">PROPER(TRIM(CLEAN(E3)))</f>
        <v>Pune</v>
      </c>
    </row>
    <row r="4" spans="1:12" x14ac:dyDescent="0.3">
      <c r="A4" s="2" t="s">
        <v>17</v>
      </c>
      <c r="B4" s="2" t="s">
        <v>18</v>
      </c>
      <c r="C4" s="3" t="s">
        <v>19</v>
      </c>
      <c r="D4" s="2" t="s">
        <v>20</v>
      </c>
      <c r="E4" s="2" t="s">
        <v>21</v>
      </c>
      <c r="F4" s="2" t="s">
        <v>22</v>
      </c>
      <c r="G4" s="6" t="str">
        <f t="shared" si="0"/>
        <v>Arjun Kapoor</v>
      </c>
      <c r="H4" s="6" t="str">
        <f t="shared" si="1"/>
        <v>arjunkapoor@gmail.com</v>
      </c>
      <c r="I4" s="6" t="str">
        <f t="shared" si="2"/>
        <v>Arjun</v>
      </c>
      <c r="J4" s="6" t="str">
        <f t="shared" si="3"/>
        <v>Kapoor</v>
      </c>
      <c r="K4" s="6" t="str">
        <f t="shared" si="4"/>
        <v>9999988888</v>
      </c>
      <c r="L4" s="6" t="str">
        <f t="shared" si="5"/>
        <v>Mumbai</v>
      </c>
    </row>
    <row r="5" spans="1:12" x14ac:dyDescent="0.3">
      <c r="A5" s="2" t="s">
        <v>23</v>
      </c>
      <c r="B5" s="2" t="s">
        <v>24</v>
      </c>
      <c r="C5" s="2" t="s">
        <v>25</v>
      </c>
      <c r="D5" s="2">
        <f>91- 9090909090</f>
        <v>-9090908999</v>
      </c>
      <c r="E5" s="2" t="s">
        <v>26</v>
      </c>
      <c r="F5" s="2" t="s">
        <v>27</v>
      </c>
      <c r="G5" s="6" t="str">
        <f t="shared" si="0"/>
        <v>Sneha Patil</v>
      </c>
      <c r="H5" s="6" t="str">
        <f t="shared" si="1"/>
        <v>snehapatil@gmail.com</v>
      </c>
      <c r="I5" s="6" t="str">
        <f t="shared" si="2"/>
        <v>Sneha</v>
      </c>
      <c r="J5" s="6" t="str">
        <f t="shared" si="3"/>
        <v>Patil</v>
      </c>
      <c r="K5" s="6" t="str">
        <f t="shared" si="4"/>
        <v>9090908999</v>
      </c>
      <c r="L5" s="6" t="str">
        <f t="shared" si="5"/>
        <v>Nagpur</v>
      </c>
    </row>
    <row r="6" spans="1:12" x14ac:dyDescent="0.3">
      <c r="A6" s="2" t="s">
        <v>28</v>
      </c>
      <c r="B6" s="2" t="s">
        <v>29</v>
      </c>
      <c r="C6" s="3" t="s">
        <v>30</v>
      </c>
      <c r="D6" s="2">
        <v>7777788888</v>
      </c>
      <c r="E6" s="2" t="s">
        <v>31</v>
      </c>
      <c r="F6" s="2" t="s">
        <v>22</v>
      </c>
      <c r="G6" s="6" t="str">
        <f t="shared" si="0"/>
        <v>Aman Sharma</v>
      </c>
      <c r="H6" s="6" t="str">
        <f t="shared" si="1"/>
        <v>amansharma@gmail.com</v>
      </c>
      <c r="I6" s="6" t="str">
        <f t="shared" si="2"/>
        <v>Aman</v>
      </c>
      <c r="J6" s="6" t="str">
        <f t="shared" si="3"/>
        <v>Sharma</v>
      </c>
      <c r="K6" s="6" t="str">
        <f t="shared" si="4"/>
        <v>7777788888</v>
      </c>
      <c r="L6" s="6" t="str">
        <f t="shared" si="5"/>
        <v>Jaipur</v>
      </c>
    </row>
    <row r="7" spans="1:12" x14ac:dyDescent="0.3">
      <c r="A7" s="2" t="s">
        <v>32</v>
      </c>
      <c r="B7" s="2" t="s">
        <v>33</v>
      </c>
      <c r="C7" s="2" t="s">
        <v>34</v>
      </c>
      <c r="D7" s="2">
        <v>9898989898</v>
      </c>
      <c r="E7" s="2" t="s">
        <v>35</v>
      </c>
      <c r="F7" s="2" t="s">
        <v>36</v>
      </c>
      <c r="G7" s="6" t="str">
        <f t="shared" si="0"/>
        <v>Rani Kumari</v>
      </c>
      <c r="H7" s="6" t="str">
        <f t="shared" si="1"/>
        <v>ranikumari@gmail.com</v>
      </c>
      <c r="I7" s="6" t="str">
        <f t="shared" si="2"/>
        <v>Rani</v>
      </c>
      <c r="J7" s="6" t="str">
        <f t="shared" si="3"/>
        <v>Kumari</v>
      </c>
      <c r="K7" s="6" t="str">
        <f t="shared" si="4"/>
        <v>9898989898</v>
      </c>
      <c r="L7" s="6" t="str">
        <f t="shared" si="5"/>
        <v>Kolkata</v>
      </c>
    </row>
    <row r="8" spans="1:12" x14ac:dyDescent="0.3">
      <c r="A8" s="2" t="s">
        <v>37</v>
      </c>
      <c r="B8" s="2" t="s">
        <v>38</v>
      </c>
      <c r="C8" s="3" t="s">
        <v>39</v>
      </c>
      <c r="D8" s="2">
        <v>9999999999</v>
      </c>
      <c r="E8" s="2" t="s">
        <v>40</v>
      </c>
      <c r="F8" s="2" t="s">
        <v>41</v>
      </c>
      <c r="G8" s="6" t="str">
        <f t="shared" si="0"/>
        <v>Vikas Shah</v>
      </c>
      <c r="H8" s="6" t="str">
        <f t="shared" si="1"/>
        <v>vikasshah@gmail.com</v>
      </c>
      <c r="I8" s="6" t="str">
        <f t="shared" si="2"/>
        <v>Vikas</v>
      </c>
      <c r="J8" s="6" t="str">
        <f t="shared" si="3"/>
        <v>Shah</v>
      </c>
      <c r="K8" s="6" t="str">
        <f t="shared" si="4"/>
        <v>9999999999</v>
      </c>
      <c r="L8" s="6" t="str">
        <f t="shared" si="5"/>
        <v>Surat</v>
      </c>
    </row>
    <row r="9" spans="1:12" x14ac:dyDescent="0.3">
      <c r="A9" s="2" t="s">
        <v>42</v>
      </c>
      <c r="B9" s="2" t="s">
        <v>43</v>
      </c>
      <c r="C9" s="3" t="s">
        <v>44</v>
      </c>
      <c r="D9" s="2">
        <v>9876543210</v>
      </c>
      <c r="E9" s="2" t="s">
        <v>15</v>
      </c>
      <c r="F9" s="2" t="s">
        <v>16</v>
      </c>
      <c r="G9" s="6" t="str">
        <f t="shared" si="0"/>
        <v>Riya Sharma</v>
      </c>
      <c r="H9" s="6" t="str">
        <f t="shared" si="1"/>
        <v>riya123@gmail.com</v>
      </c>
      <c r="I9" s="6" t="str">
        <f t="shared" si="2"/>
        <v>Riya</v>
      </c>
      <c r="J9" s="6" t="str">
        <f t="shared" si="3"/>
        <v>Sharma</v>
      </c>
      <c r="K9" s="6" t="str">
        <f t="shared" si="4"/>
        <v>9876543210</v>
      </c>
      <c r="L9" s="6" t="str">
        <f t="shared" si="5"/>
        <v>Pune</v>
      </c>
    </row>
    <row r="10" spans="1:12" x14ac:dyDescent="0.3">
      <c r="A10" s="2" t="s">
        <v>45</v>
      </c>
      <c r="B10" s="2" t="s">
        <v>46</v>
      </c>
      <c r="C10" s="2" t="s">
        <v>47</v>
      </c>
      <c r="D10" s="2">
        <f>91-9898989898</f>
        <v>-9898989807</v>
      </c>
      <c r="E10" s="2" t="s">
        <v>48</v>
      </c>
      <c r="F10" s="2" t="s">
        <v>49</v>
      </c>
      <c r="G10" s="6" t="str">
        <f t="shared" si="0"/>
        <v>Meena Rao</v>
      </c>
      <c r="H10" s="6" t="str">
        <f t="shared" si="1"/>
        <v>meenarao@gmail.com</v>
      </c>
      <c r="I10" s="6" t="str">
        <f t="shared" si="2"/>
        <v>Meena</v>
      </c>
      <c r="J10" s="6" t="str">
        <f t="shared" si="3"/>
        <v>Rao</v>
      </c>
      <c r="K10" s="6" t="str">
        <f t="shared" si="4"/>
        <v>9898989807</v>
      </c>
      <c r="L10" s="6" t="str">
        <f t="shared" si="5"/>
        <v>Chennai</v>
      </c>
    </row>
    <row r="11" spans="1:12" x14ac:dyDescent="0.3">
      <c r="A11" s="2" t="s">
        <v>50</v>
      </c>
      <c r="B11" s="2" t="s">
        <v>51</v>
      </c>
      <c r="C11" s="3" t="s">
        <v>52</v>
      </c>
      <c r="D11" s="2">
        <v>9898989898</v>
      </c>
      <c r="E11" s="2" t="s">
        <v>21</v>
      </c>
      <c r="F11" s="4" t="s">
        <v>53</v>
      </c>
      <c r="G11" s="6" t="str">
        <f t="shared" si="0"/>
        <v>Vijay Malhotra</v>
      </c>
      <c r="H11" s="6" t="str">
        <f t="shared" si="1"/>
        <v>vijaymalhotra@yahoo.com</v>
      </c>
      <c r="I11" s="6" t="str">
        <f t="shared" si="2"/>
        <v>Vijay</v>
      </c>
      <c r="J11" s="6" t="str">
        <f t="shared" si="3"/>
        <v>Malhotra</v>
      </c>
      <c r="K11" s="6" t="str">
        <f t="shared" si="4"/>
        <v>9898989898</v>
      </c>
      <c r="L11" s="6" t="str">
        <f t="shared" si="5"/>
        <v>Mumbai</v>
      </c>
    </row>
    <row r="12" spans="1:12" x14ac:dyDescent="0.3">
      <c r="A12" s="2" t="s">
        <v>54</v>
      </c>
      <c r="B12" s="2" t="s">
        <v>55</v>
      </c>
      <c r="C12" s="2" t="s">
        <v>56</v>
      </c>
      <c r="D12" s="2">
        <v>8080808080</v>
      </c>
      <c r="E12" s="2" t="s">
        <v>57</v>
      </c>
      <c r="F12" s="2" t="s">
        <v>58</v>
      </c>
      <c r="G12" s="6" t="str">
        <f t="shared" si="0"/>
        <v>Harshad Joshi</v>
      </c>
      <c r="H12" s="6" t="str">
        <f t="shared" si="1"/>
        <v>harshadjoshi@gmail.com</v>
      </c>
      <c r="I12" s="6" t="str">
        <f t="shared" si="2"/>
        <v>Harshad</v>
      </c>
      <c r="J12" s="6" t="str">
        <f t="shared" si="3"/>
        <v>Joshi</v>
      </c>
      <c r="K12" s="6" t="str">
        <f t="shared" si="4"/>
        <v>8080808080</v>
      </c>
      <c r="L12" s="6" t="str">
        <f t="shared" si="5"/>
        <v>Nashik</v>
      </c>
    </row>
    <row r="13" spans="1:12" x14ac:dyDescent="0.3">
      <c r="A13" s="2" t="s">
        <v>59</v>
      </c>
      <c r="B13" s="2" t="s">
        <v>60</v>
      </c>
      <c r="C13" s="2" t="s">
        <v>61</v>
      </c>
      <c r="D13" s="2">
        <f>91-8088088088</f>
        <v>-8088087997</v>
      </c>
      <c r="E13" s="2" t="s">
        <v>62</v>
      </c>
      <c r="F13" s="2" t="s">
        <v>63</v>
      </c>
      <c r="G13" s="6" t="str">
        <f t="shared" si="0"/>
        <v>Pooja Nair</v>
      </c>
      <c r="H13" s="6" t="str">
        <f t="shared" si="1"/>
        <v>poojanair@gmail.com</v>
      </c>
      <c r="I13" s="6" t="str">
        <f t="shared" si="2"/>
        <v>Pooja</v>
      </c>
      <c r="J13" s="6" t="str">
        <f t="shared" si="3"/>
        <v>Nair</v>
      </c>
      <c r="K13" s="6" t="str">
        <f t="shared" si="4"/>
        <v>8088087997</v>
      </c>
      <c r="L13" s="6" t="str">
        <f t="shared" si="5"/>
        <v>Kerala</v>
      </c>
    </row>
    <row r="14" spans="1:12" x14ac:dyDescent="0.3">
      <c r="A14" s="2" t="s">
        <v>64</v>
      </c>
      <c r="B14" s="2" t="s">
        <v>65</v>
      </c>
      <c r="C14" s="2" t="s">
        <v>66</v>
      </c>
      <c r="D14" s="2">
        <v>7878787878</v>
      </c>
      <c r="E14" s="2" t="s">
        <v>67</v>
      </c>
      <c r="F14" s="2" t="s">
        <v>68</v>
      </c>
      <c r="G14" s="6" t="str">
        <f t="shared" si="0"/>
        <v>Manish Kumar</v>
      </c>
      <c r="H14" s="6" t="str">
        <f t="shared" si="1"/>
        <v>manishkumar@gmail.com</v>
      </c>
      <c r="I14" s="6" t="str">
        <f t="shared" si="2"/>
        <v>Manish</v>
      </c>
      <c r="J14" s="6" t="str">
        <f t="shared" si="3"/>
        <v>Kumar</v>
      </c>
      <c r="K14" s="6" t="str">
        <f t="shared" si="4"/>
        <v>7878787878</v>
      </c>
      <c r="L14" s="6" t="str">
        <f t="shared" si="5"/>
        <v>Patna</v>
      </c>
    </row>
    <row r="15" spans="1:12" x14ac:dyDescent="0.3">
      <c r="A15" s="2" t="s">
        <v>69</v>
      </c>
      <c r="B15" s="2" t="s">
        <v>70</v>
      </c>
      <c r="C15" s="3" t="s">
        <v>71</v>
      </c>
      <c r="D15" s="2" t="s">
        <v>72</v>
      </c>
      <c r="E15" s="2" t="s">
        <v>10</v>
      </c>
      <c r="F15" s="2" t="s">
        <v>73</v>
      </c>
      <c r="G15" s="6" t="str">
        <f t="shared" si="0"/>
        <v>Deepa Mehta</v>
      </c>
      <c r="H15" s="6" t="str">
        <f t="shared" si="1"/>
        <v>deepamehta@gmail.com</v>
      </c>
      <c r="I15" s="6" t="str">
        <f t="shared" si="2"/>
        <v>Deepa</v>
      </c>
      <c r="J15" s="6" t="str">
        <f t="shared" si="3"/>
        <v>Mehta</v>
      </c>
      <c r="K15" s="6" t="str">
        <f t="shared" si="4"/>
        <v>9090909090</v>
      </c>
      <c r="L15" s="6" t="str">
        <f t="shared" si="5"/>
        <v>Delhi</v>
      </c>
    </row>
    <row r="16" spans="1:12" x14ac:dyDescent="0.3">
      <c r="A16" s="2" t="s">
        <v>74</v>
      </c>
      <c r="B16" s="2" t="s">
        <v>75</v>
      </c>
      <c r="C16" s="3" t="s">
        <v>76</v>
      </c>
      <c r="D16" s="2">
        <v>9090901234</v>
      </c>
      <c r="E16" s="2" t="s">
        <v>21</v>
      </c>
      <c r="F16" s="2" t="s">
        <v>49</v>
      </c>
      <c r="G16" s="6" t="str">
        <f t="shared" si="0"/>
        <v>Aditya Deshmukh</v>
      </c>
      <c r="H16" s="6" t="str">
        <f t="shared" si="1"/>
        <v>adityadeshmukh@gmail.com</v>
      </c>
      <c r="I16" s="6" t="str">
        <f t="shared" si="2"/>
        <v>Aditya</v>
      </c>
      <c r="J16" s="6" t="str">
        <f t="shared" si="3"/>
        <v>Deshmukh</v>
      </c>
      <c r="K16" s="6" t="str">
        <f t="shared" si="4"/>
        <v>9090901234</v>
      </c>
      <c r="L16" s="6" t="str">
        <f t="shared" si="5"/>
        <v>Mumbai</v>
      </c>
    </row>
    <row r="17" spans="1:12" x14ac:dyDescent="0.3">
      <c r="A17" s="2" t="s">
        <v>77</v>
      </c>
      <c r="B17" s="2" t="s">
        <v>78</v>
      </c>
      <c r="C17" s="2" t="s">
        <v>79</v>
      </c>
      <c r="D17" s="2">
        <f>91- 9999944444</f>
        <v>-9999944353</v>
      </c>
      <c r="E17" s="2" t="s">
        <v>35</v>
      </c>
      <c r="F17" s="2" t="s">
        <v>80</v>
      </c>
      <c r="G17" s="6" t="str">
        <f t="shared" si="0"/>
        <v>Ramesh Gupta</v>
      </c>
      <c r="H17" s="6" t="str">
        <f t="shared" si="1"/>
        <v>rameshgupta@gmail.com</v>
      </c>
      <c r="I17" s="6" t="str">
        <f t="shared" si="2"/>
        <v>Ramesh</v>
      </c>
      <c r="J17" s="6" t="str">
        <f t="shared" si="3"/>
        <v>Gupta</v>
      </c>
      <c r="K17" s="6" t="str">
        <f t="shared" si="4"/>
        <v>9999944353</v>
      </c>
      <c r="L17" s="6" t="str">
        <f t="shared" si="5"/>
        <v>Kolkata</v>
      </c>
    </row>
    <row r="18" spans="1:12" x14ac:dyDescent="0.3">
      <c r="A18" s="2" t="s">
        <v>81</v>
      </c>
      <c r="B18" s="2" t="s">
        <v>82</v>
      </c>
      <c r="C18" s="3" t="s">
        <v>83</v>
      </c>
      <c r="D18" s="2">
        <v>9999911111</v>
      </c>
      <c r="E18" s="2" t="s">
        <v>84</v>
      </c>
      <c r="F18" s="2" t="s">
        <v>85</v>
      </c>
      <c r="G18" s="6" t="str">
        <f t="shared" si="0"/>
        <v>Neha Thakur</v>
      </c>
      <c r="H18" s="6" t="str">
        <f t="shared" si="1"/>
        <v>neha_thakur@gmail.com</v>
      </c>
      <c r="I18" s="6" t="str">
        <f t="shared" si="2"/>
        <v>Neha</v>
      </c>
      <c r="J18" s="6" t="str">
        <f t="shared" si="3"/>
        <v>Thakur</v>
      </c>
      <c r="K18" s="6" t="str">
        <f t="shared" si="4"/>
        <v>9999911111</v>
      </c>
      <c r="L18" s="6" t="str">
        <f t="shared" si="5"/>
        <v>Bhopal</v>
      </c>
    </row>
    <row r="19" spans="1:12" x14ac:dyDescent="0.3">
      <c r="A19" s="2" t="s">
        <v>86</v>
      </c>
      <c r="B19" s="2" t="s">
        <v>87</v>
      </c>
      <c r="C19" s="3" t="s">
        <v>88</v>
      </c>
      <c r="D19" s="2">
        <v>8888800000</v>
      </c>
      <c r="E19" s="2" t="s">
        <v>89</v>
      </c>
      <c r="F19" s="2" t="s">
        <v>63</v>
      </c>
      <c r="G19" s="6" t="str">
        <f t="shared" si="0"/>
        <v>Ankit Patel</v>
      </c>
      <c r="H19" s="6" t="str">
        <f t="shared" si="1"/>
        <v>ankitpatel@gmail.com</v>
      </c>
      <c r="I19" s="6" t="str">
        <f t="shared" si="2"/>
        <v>Ankit</v>
      </c>
      <c r="J19" s="6" t="str">
        <f t="shared" si="3"/>
        <v>Patel</v>
      </c>
      <c r="K19" s="6" t="str">
        <f t="shared" si="4"/>
        <v>8888800000</v>
      </c>
      <c r="L19" s="6" t="str">
        <f t="shared" si="5"/>
        <v>Ahmedabad</v>
      </c>
    </row>
    <row r="20" spans="1:12" x14ac:dyDescent="0.3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35</v>
      </c>
      <c r="F20" s="2" t="s">
        <v>94</v>
      </c>
      <c r="G20" s="6" t="str">
        <f t="shared" si="0"/>
        <v>Shreya Roy</v>
      </c>
      <c r="H20" s="6" t="str">
        <f t="shared" si="1"/>
        <v>shreyaroy@yahoo.com</v>
      </c>
      <c r="I20" s="6" t="str">
        <f t="shared" si="2"/>
        <v>Shreya</v>
      </c>
      <c r="J20" s="6" t="str">
        <f t="shared" si="3"/>
        <v>Roy</v>
      </c>
      <c r="K20" s="6" t="str">
        <f t="shared" si="4"/>
        <v>8080888808</v>
      </c>
      <c r="L20" s="6" t="str">
        <f t="shared" si="5"/>
        <v>Kolkata</v>
      </c>
    </row>
    <row r="21" spans="1:12" x14ac:dyDescent="0.3">
      <c r="A21" s="2" t="s">
        <v>95</v>
      </c>
      <c r="B21" s="2" t="s">
        <v>96</v>
      </c>
      <c r="C21" s="2" t="s">
        <v>97</v>
      </c>
      <c r="D21" s="2">
        <v>9999912121</v>
      </c>
      <c r="E21" s="2" t="s">
        <v>10</v>
      </c>
      <c r="F21" s="2" t="s">
        <v>22</v>
      </c>
      <c r="G21" s="6" t="str">
        <f t="shared" si="0"/>
        <v>Mohit Singh</v>
      </c>
      <c r="H21" s="6" t="str">
        <f t="shared" si="1"/>
        <v>mohitsingh@gmail.com</v>
      </c>
      <c r="I21" s="6" t="str">
        <f t="shared" si="2"/>
        <v>Mohit</v>
      </c>
      <c r="J21" s="6" t="str">
        <f t="shared" si="3"/>
        <v>Singh</v>
      </c>
      <c r="K21" s="6" t="str">
        <f t="shared" si="4"/>
        <v>9999912121</v>
      </c>
      <c r="L21" s="6" t="str">
        <f t="shared" si="5"/>
        <v>Delhi</v>
      </c>
    </row>
    <row r="22" spans="1:12" x14ac:dyDescent="0.3">
      <c r="A22" s="2" t="s">
        <v>98</v>
      </c>
      <c r="B22" s="2" t="s">
        <v>99</v>
      </c>
      <c r="C22" s="3" t="s">
        <v>100</v>
      </c>
      <c r="D22" s="2">
        <f>91-7777700000</f>
        <v>-7777699909</v>
      </c>
      <c r="E22" s="2" t="s">
        <v>101</v>
      </c>
      <c r="F22" s="2" t="s">
        <v>102</v>
      </c>
      <c r="G22" s="6" t="str">
        <f t="shared" si="0"/>
        <v>Kavita Menon</v>
      </c>
      <c r="H22" s="6" t="str">
        <f t="shared" si="1"/>
        <v>kavitamenon@gmail.com</v>
      </c>
      <c r="I22" s="6" t="str">
        <f t="shared" si="2"/>
        <v>Kavita</v>
      </c>
      <c r="J22" s="6" t="str">
        <f t="shared" si="3"/>
        <v>Menon</v>
      </c>
      <c r="K22" s="6" t="str">
        <f t="shared" si="4"/>
        <v>7777699909</v>
      </c>
      <c r="L22" s="6" t="str">
        <f t="shared" si="5"/>
        <v>Trivandrum</v>
      </c>
    </row>
    <row r="23" spans="1:12" x14ac:dyDescent="0.3">
      <c r="A23" s="2" t="s">
        <v>103</v>
      </c>
      <c r="B23" s="2" t="s">
        <v>104</v>
      </c>
      <c r="C23" s="2" t="s">
        <v>105</v>
      </c>
      <c r="D23" s="2">
        <v>9999914141</v>
      </c>
      <c r="E23" s="2" t="s">
        <v>106</v>
      </c>
      <c r="F23" s="2" t="s">
        <v>41</v>
      </c>
      <c r="G23" s="6" t="str">
        <f t="shared" si="0"/>
        <v>Sonu Yadav</v>
      </c>
      <c r="H23" s="6" t="str">
        <f t="shared" si="1"/>
        <v>sonu_yadav@gmail.com</v>
      </c>
      <c r="I23" s="6" t="str">
        <f t="shared" si="2"/>
        <v>Sonu</v>
      </c>
      <c r="J23" s="6" t="str">
        <f t="shared" si="3"/>
        <v>Yadav</v>
      </c>
      <c r="K23" s="6" t="str">
        <f t="shared" si="4"/>
        <v>9999914141</v>
      </c>
      <c r="L23" s="6" t="str">
        <f t="shared" si="5"/>
        <v>Lucknow</v>
      </c>
    </row>
    <row r="24" spans="1:12" x14ac:dyDescent="0.3">
      <c r="A24" s="2" t="s">
        <v>107</v>
      </c>
      <c r="B24" s="2" t="s">
        <v>108</v>
      </c>
      <c r="C24" s="2" t="s">
        <v>109</v>
      </c>
      <c r="D24" s="2">
        <v>9090910101</v>
      </c>
      <c r="E24" s="2" t="s">
        <v>110</v>
      </c>
      <c r="F24" s="2" t="s">
        <v>111</v>
      </c>
      <c r="G24" s="6" t="str">
        <f t="shared" si="0"/>
        <v>Preeti Jain</v>
      </c>
      <c r="H24" s="6" t="str">
        <f t="shared" si="1"/>
        <v>preetijain@gmail.com</v>
      </c>
      <c r="I24" s="6" t="str">
        <f t="shared" si="2"/>
        <v>Preeti</v>
      </c>
      <c r="J24" s="6" t="str">
        <f t="shared" si="3"/>
        <v>Jain</v>
      </c>
      <c r="K24" s="6" t="str">
        <f t="shared" si="4"/>
        <v>9090910101</v>
      </c>
      <c r="L24" s="6" t="str">
        <f t="shared" si="5"/>
        <v>Indore</v>
      </c>
    </row>
    <row r="25" spans="1:12" x14ac:dyDescent="0.3">
      <c r="A25" s="2" t="s">
        <v>112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s">
        <v>94</v>
      </c>
      <c r="G25" s="6" t="str">
        <f t="shared" si="0"/>
        <v>Anjali Bhatia</v>
      </c>
      <c r="H25" s="6" t="str">
        <f t="shared" si="1"/>
        <v>anjalibhatia@gmail.com</v>
      </c>
      <c r="I25" s="6" t="str">
        <f t="shared" si="2"/>
        <v>Anjali</v>
      </c>
      <c r="J25" s="6" t="str">
        <f t="shared" si="3"/>
        <v>Bhatia</v>
      </c>
      <c r="K25" s="6" t="str">
        <f t="shared" si="4"/>
        <v>7070707070</v>
      </c>
      <c r="L25" s="6" t="str">
        <f t="shared" si="5"/>
        <v>Chandigarh</v>
      </c>
    </row>
    <row r="26" spans="1:12" x14ac:dyDescent="0.3">
      <c r="A26" s="2" t="s">
        <v>117</v>
      </c>
      <c r="B26" s="2" t="s">
        <v>118</v>
      </c>
      <c r="C26" s="3" t="s">
        <v>119</v>
      </c>
      <c r="D26" s="2">
        <v>8989898989</v>
      </c>
      <c r="E26" s="2" t="s">
        <v>26</v>
      </c>
      <c r="F26" s="2" t="s">
        <v>68</v>
      </c>
      <c r="G26" s="6" t="str">
        <f t="shared" si="0"/>
        <v>Rohit More</v>
      </c>
      <c r="H26" s="6" t="str">
        <f t="shared" si="1"/>
        <v>rohitmore@gmail.com</v>
      </c>
      <c r="I26" s="6" t="str">
        <f t="shared" si="2"/>
        <v>Rohit</v>
      </c>
      <c r="J26" s="6" t="str">
        <f t="shared" si="3"/>
        <v>More</v>
      </c>
      <c r="K26" s="6" t="str">
        <f t="shared" si="4"/>
        <v>8989898989</v>
      </c>
      <c r="L26" s="6" t="str">
        <f t="shared" si="5"/>
        <v>Nagpur</v>
      </c>
    </row>
    <row r="27" spans="1:12" x14ac:dyDescent="0.3">
      <c r="A27" s="2" t="s">
        <v>120</v>
      </c>
      <c r="B27" s="2" t="s">
        <v>121</v>
      </c>
      <c r="C27" s="2" t="s">
        <v>122</v>
      </c>
      <c r="D27" s="2">
        <f>91-9090902020</f>
        <v>-9090901929</v>
      </c>
      <c r="E27" s="2" t="s">
        <v>21</v>
      </c>
      <c r="F27" s="2" t="s">
        <v>123</v>
      </c>
      <c r="G27" s="6" t="str">
        <f t="shared" si="0"/>
        <v>Tanya Choudhary</v>
      </c>
      <c r="H27" s="6" t="str">
        <f t="shared" si="1"/>
        <v>tanyachoudhary@gmail.com</v>
      </c>
      <c r="I27" s="6" t="str">
        <f t="shared" si="2"/>
        <v>Tanya</v>
      </c>
      <c r="J27" s="6" t="str">
        <f t="shared" si="3"/>
        <v>Choudhary</v>
      </c>
      <c r="K27" s="6" t="str">
        <f t="shared" si="4"/>
        <v>9090901929</v>
      </c>
      <c r="L27" s="6" t="str">
        <f t="shared" si="5"/>
        <v>Mumbai</v>
      </c>
    </row>
    <row r="28" spans="1:12" x14ac:dyDescent="0.3">
      <c r="A28" s="2" t="s">
        <v>124</v>
      </c>
      <c r="B28" s="2" t="s">
        <v>125</v>
      </c>
      <c r="C28" s="2" t="s">
        <v>126</v>
      </c>
      <c r="D28" s="2">
        <f>91-8080806060</f>
        <v>-8080805969</v>
      </c>
      <c r="E28" s="2" t="s">
        <v>15</v>
      </c>
      <c r="F28" s="2" t="s">
        <v>41</v>
      </c>
      <c r="G28" s="6" t="str">
        <f t="shared" si="0"/>
        <v>Pratik Joshi</v>
      </c>
      <c r="H28" s="6" t="str">
        <f t="shared" si="1"/>
        <v>pratikjoshi@gmail.com</v>
      </c>
      <c r="I28" s="6" t="str">
        <f t="shared" si="2"/>
        <v>Pratik</v>
      </c>
      <c r="J28" s="6" t="str">
        <f t="shared" si="3"/>
        <v>Joshi</v>
      </c>
      <c r="K28" s="6" t="str">
        <f t="shared" si="4"/>
        <v>8080805969</v>
      </c>
      <c r="L28" s="6" t="str">
        <f t="shared" si="5"/>
        <v>Pune</v>
      </c>
    </row>
    <row r="29" spans="1:12" x14ac:dyDescent="0.3">
      <c r="A29" s="2" t="s">
        <v>127</v>
      </c>
      <c r="B29" s="2" t="s">
        <v>128</v>
      </c>
      <c r="C29" s="2" t="s">
        <v>129</v>
      </c>
      <c r="D29" s="2">
        <f>91-9999993030</f>
        <v>-9999992939</v>
      </c>
      <c r="E29" s="2" t="s">
        <v>10</v>
      </c>
      <c r="F29" s="2" t="s">
        <v>27</v>
      </c>
      <c r="G29" s="6" t="str">
        <f t="shared" si="0"/>
        <v>Sakshi Agarwal</v>
      </c>
      <c r="H29" s="6" t="str">
        <f t="shared" si="1"/>
        <v>sakshiagarwal@gmail.com</v>
      </c>
      <c r="I29" s="6" t="str">
        <f t="shared" si="2"/>
        <v>Sakshi</v>
      </c>
      <c r="J29" s="6" t="str">
        <f t="shared" si="3"/>
        <v>Agarwal</v>
      </c>
      <c r="K29" s="6" t="str">
        <f t="shared" si="4"/>
        <v>9999992939</v>
      </c>
      <c r="L29" s="6" t="str">
        <f t="shared" si="5"/>
        <v>Delhi</v>
      </c>
    </row>
    <row r="30" spans="1:12" x14ac:dyDescent="0.3">
      <c r="A30" s="2" t="s">
        <v>130</v>
      </c>
      <c r="B30" s="2" t="s">
        <v>131</v>
      </c>
      <c r="C30" s="2" t="s">
        <v>132</v>
      </c>
      <c r="D30" s="2">
        <v>9090905050</v>
      </c>
      <c r="E30" s="2" t="s">
        <v>31</v>
      </c>
      <c r="F30" s="2" t="s">
        <v>58</v>
      </c>
      <c r="G30" s="6" t="str">
        <f t="shared" si="0"/>
        <v>Karan Chauhan</v>
      </c>
      <c r="H30" s="6" t="str">
        <f t="shared" si="1"/>
        <v>karanchauhan@gmail.com</v>
      </c>
      <c r="I30" s="6" t="str">
        <f t="shared" si="2"/>
        <v>Karan</v>
      </c>
      <c r="J30" s="6" t="str">
        <f t="shared" si="3"/>
        <v>Chauhan</v>
      </c>
      <c r="K30" s="6" t="str">
        <f t="shared" si="4"/>
        <v>9090905050</v>
      </c>
      <c r="L30" s="6" t="str">
        <f t="shared" si="5"/>
        <v>Jaipur</v>
      </c>
    </row>
    <row r="31" spans="1:12" x14ac:dyDescent="0.3">
      <c r="A31" s="2" t="s">
        <v>133</v>
      </c>
      <c r="B31" s="2" t="s">
        <v>134</v>
      </c>
      <c r="C31" s="2" t="s">
        <v>135</v>
      </c>
      <c r="D31" s="2">
        <f>91-8080807070</f>
        <v>-8080806979</v>
      </c>
      <c r="E31" s="2" t="s">
        <v>40</v>
      </c>
      <c r="F31" s="2" t="s">
        <v>22</v>
      </c>
      <c r="G31" s="6" t="str">
        <f t="shared" si="0"/>
        <v>Aradhya Desai</v>
      </c>
      <c r="H31" s="6" t="str">
        <f t="shared" si="1"/>
        <v>aradhyadesai@yahoo.com</v>
      </c>
      <c r="I31" s="6" t="str">
        <f t="shared" si="2"/>
        <v>Aradhya</v>
      </c>
      <c r="J31" s="6" t="str">
        <f t="shared" si="3"/>
        <v>Desai</v>
      </c>
      <c r="K31" s="6" t="str">
        <f t="shared" si="4"/>
        <v>8080806979</v>
      </c>
      <c r="L31" s="6" t="str">
        <f t="shared" si="5"/>
        <v>Surat</v>
      </c>
    </row>
  </sheetData>
  <conditionalFormatting sqref="K2:K31">
    <cfRule type="duplicateValues" dxfId="0" priority="1"/>
  </conditionalFormatting>
  <hyperlinks>
    <hyperlink ref="C4" r:id="rId1" display="mailto:ArjunKapoor@gmail.com" xr:uid="{6CEB75D3-8ED9-4F88-B4CA-A5B6D63D6403}"/>
    <hyperlink ref="C6" r:id="rId2" display="mailto:Aman.Sharma@Gmail.Com" xr:uid="{2851F321-F217-408A-9DD7-500911F55B63}"/>
    <hyperlink ref="C8" r:id="rId3" display="mailto:vikas.shah@gmail.com" xr:uid="{F076C42B-DB1D-482D-A766-5B7F1D9B5956}"/>
    <hyperlink ref="C9" r:id="rId4" display="mailto:riya123@gmail.com" xr:uid="{98C9A52A-D725-4DF6-B51D-1CD121CE21A9}"/>
    <hyperlink ref="C11" r:id="rId5" display="mailto:Vijay.Malhotra@Yahoo.Com" xr:uid="{A8E02330-621B-4CB7-A699-724CAB807ACC}"/>
    <hyperlink ref="C15" r:id="rId6" display="mailto:deepa.mehta@gmail.com" xr:uid="{BE34BCF7-A500-4CE8-B0D6-137C3B6CB382}"/>
    <hyperlink ref="C16" r:id="rId7" display="mailto:AdityaDeshmukh@gmail.com" xr:uid="{090EC989-B752-4BE9-AD60-841EDA20E76C}"/>
    <hyperlink ref="C18" r:id="rId8" display="mailto:Neha_Thakur@gmail.com" xr:uid="{3DA19D62-E801-489D-A91E-FA091D9D6C9D}"/>
    <hyperlink ref="C19" r:id="rId9" display="mailto:ankitpatel@gmail.com" xr:uid="{928547C6-0082-4CED-AEC3-B4ADC328CAEF}"/>
    <hyperlink ref="C22" r:id="rId10" display="mailto:kavita.menon@gmail.com" xr:uid="{B03AC270-114B-43A9-BEDB-B8B56CA5622D}"/>
    <hyperlink ref="C26" r:id="rId11" display="mailto:rohit.more@gmail.com" xr:uid="{7844F589-CC66-4E06-86B5-AE7457B827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Customer DCleaning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2025-10-29T09:13:47Z</dcterms:modified>
</cp:coreProperties>
</file>