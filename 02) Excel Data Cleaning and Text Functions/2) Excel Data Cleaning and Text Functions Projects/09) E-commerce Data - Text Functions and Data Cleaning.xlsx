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PW DataAnalyticsFinalNotes\1 - Excel Final\Excel Projects\2) Excel Text Functions &amp; Data Cleaning Projects\"/>
    </mc:Choice>
  </mc:AlternateContent>
  <xr:revisionPtr revIDLastSave="0" documentId="13_ncr:1_{C5B0C4B8-252A-4324-BA48-8273D48E8AD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 - Produc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" i="1" l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3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3" i="1"/>
</calcChain>
</file>

<file path=xl/sharedStrings.xml><?xml version="1.0" encoding="utf-8"?>
<sst xmlns="http://schemas.openxmlformats.org/spreadsheetml/2006/main" count="132" uniqueCount="103">
  <si>
    <t>Product_ID</t>
  </si>
  <si>
    <t>Product_Name</t>
  </si>
  <si>
    <t>Category</t>
  </si>
  <si>
    <t>Price</t>
  </si>
  <si>
    <t>SKU_Code</t>
  </si>
  <si>
    <t>Seller_Name</t>
  </si>
  <si>
    <t>City</t>
  </si>
  <si>
    <t>P001</t>
  </si>
  <si>
    <t>Samsung@Galaxy#S23</t>
  </si>
  <si>
    <t>Mobile &amp; Gadgets</t>
  </si>
  <si>
    <t>S23##001</t>
  </si>
  <si>
    <t>!@Rohit Mehta!</t>
  </si>
  <si>
    <t>Mumbai</t>
  </si>
  <si>
    <t>P002</t>
  </si>
  <si>
    <t>Apple$$iPhone**14!Pro</t>
  </si>
  <si>
    <t>IP14@002</t>
  </si>
  <si>
    <t>Ananya%Shah</t>
  </si>
  <si>
    <t>Delhi</t>
  </si>
  <si>
    <t>P003</t>
  </si>
  <si>
    <t>Lenovo##Thinkpad!!X1</t>
  </si>
  <si>
    <t>Laptops &amp; PCs</t>
  </si>
  <si>
    <t>LPX1**003</t>
  </si>
  <si>
    <t>^Karan^Verma</t>
  </si>
  <si>
    <t>Pune</t>
  </si>
  <si>
    <t>P004</t>
  </si>
  <si>
    <t>Dell!!Inspiron@14#</t>
  </si>
  <si>
    <t>D14##004</t>
  </si>
  <si>
    <t>Riya*Patel</t>
  </si>
  <si>
    <t>Hyderabad</t>
  </si>
  <si>
    <t>P005</t>
  </si>
  <si>
    <t>@Sony$WH#1000XM5</t>
  </si>
  <si>
    <t>Audio &amp; Headphones</t>
  </si>
  <si>
    <t>SWX5@005</t>
  </si>
  <si>
    <t>Priyanka*Das</t>
  </si>
  <si>
    <t>Chennai</t>
  </si>
  <si>
    <t>P006</t>
  </si>
  <si>
    <t>boAt!!BassHeads@225</t>
  </si>
  <si>
    <t>BB225**006</t>
  </si>
  <si>
    <t>Nikhil!!Singh</t>
  </si>
  <si>
    <t>P007</t>
  </si>
  <si>
    <t>JBL###Go3!!Speaker</t>
  </si>
  <si>
    <t>JB03@007</t>
  </si>
  <si>
    <t>^Tanvi@Joshi^</t>
  </si>
  <si>
    <t>P008</t>
  </si>
  <si>
    <t>OnePlus!Nord@CE3#</t>
  </si>
  <si>
    <t>ONCE3**008</t>
  </si>
  <si>
    <t>Mehul$$Rana</t>
  </si>
  <si>
    <t>Kolkata</t>
  </si>
  <si>
    <t>P009</t>
  </si>
  <si>
    <t>HP!Pavilion#15@Gaming</t>
  </si>
  <si>
    <t>HP15@009</t>
  </si>
  <si>
    <t>Ishita##Desai</t>
  </si>
  <si>
    <t>P010</t>
  </si>
  <si>
    <t>Acer$Aspire!!7#</t>
  </si>
  <si>
    <t>AASP7@@010</t>
  </si>
  <si>
    <t>@Rajesh$Kumar</t>
  </si>
  <si>
    <t>P011</t>
  </si>
  <si>
    <t>@Canon!EOS#1500D</t>
  </si>
  <si>
    <t>Cameras</t>
  </si>
  <si>
    <t>CEOS1500@011</t>
  </si>
  <si>
    <t>Nisha!Jain</t>
  </si>
  <si>
    <t>P012</t>
  </si>
  <si>
    <t>Nikon#D5600!!Camera</t>
  </si>
  <si>
    <t>ND5600##012</t>
  </si>
  <si>
    <t>!^Harsh@Kapoor</t>
  </si>
  <si>
    <t>P013</t>
  </si>
  <si>
    <t>@LG$Smart!!TV#55</t>
  </si>
  <si>
    <t>Televisions</t>
  </si>
  <si>
    <t>LGTV55@013</t>
  </si>
  <si>
    <t>Shruti*Bansal</t>
  </si>
  <si>
    <t>P014</t>
  </si>
  <si>
    <t>Redmi!Note#13@5G</t>
  </si>
  <si>
    <t>RN13@014</t>
  </si>
  <si>
    <t>Rahul%Chopra</t>
  </si>
  <si>
    <t>P015</t>
  </si>
  <si>
    <t>Mi!Power$Bank#20000mAh</t>
  </si>
  <si>
    <t>Accessories</t>
  </si>
  <si>
    <t>MPB20@015</t>
  </si>
  <si>
    <t>Aarav!Mehta</t>
  </si>
  <si>
    <t>P016</t>
  </si>
  <si>
    <t>Sandisk#Ultra@128GB!Pendrive</t>
  </si>
  <si>
    <t>SD128@016</t>
  </si>
  <si>
    <t>Neha!Kapoor</t>
  </si>
  <si>
    <t>Bangalore</t>
  </si>
  <si>
    <t>P017</t>
  </si>
  <si>
    <t>Logitech$Wireless!Mouse#</t>
  </si>
  <si>
    <t>LWM@017</t>
  </si>
  <si>
    <t>Tanay@Nair</t>
  </si>
  <si>
    <t>P018</t>
  </si>
  <si>
    <t>Zebronics!Gaming$Keyboard#</t>
  </si>
  <si>
    <t>ZGK@018</t>
  </si>
  <si>
    <t>Kavya#Patel</t>
  </si>
  <si>
    <t>P019</t>
  </si>
  <si>
    <t>Samsung$Smart!Monitor#M8</t>
  </si>
  <si>
    <t>Monitors</t>
  </si>
  <si>
    <t>SM8@019</t>
  </si>
  <si>
    <t>!Dhruv#Deshmukh!</t>
  </si>
  <si>
    <t>P020</t>
  </si>
  <si>
    <t>@Asus!TUF#Gaming$A15</t>
  </si>
  <si>
    <t>ATGA15@020</t>
  </si>
  <si>
    <t>Krisha$Reddy</t>
  </si>
  <si>
    <t>Messed Data</t>
  </si>
  <si>
    <t>Cleaned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</si>
</sst>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₹&quot;\ #,##0;[Red]&quot;₹&quot;\ \-#,##0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vertical="center"/>
    </xf>
    <xf numFmtId="6" fontId="0" fillId="0" borderId="1" xfId="0" applyNumberForma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0" fillId="0" borderId="1" xfId="0" applyBorder="1"/>
    <xf numFmtId="0" fontId="1" fillId="2" borderId="2" xfId="0" applyFont="1" applyFill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3" xfId="0" applyBorder="1" applyAlignment="1">
      <alignment vertical="center"/>
    </xf>
    <xf numFmtId="6" fontId="0" fillId="0" borderId="3" xfId="0" applyNumberFormat="1" applyBorder="1" applyAlignment="1">
      <alignment vertical="center"/>
    </xf>
    <xf numFmtId="0" fontId="0" fillId="0" borderId="10" xfId="0" applyBorder="1" applyAlignment="1">
      <alignment vertical="center"/>
    </xf>
  </cellXfs>
  <cellStyles count="1">
    <cellStyle name="Normal" xfId="0" builtinId="0"/>
  </cellStyles>
  <dxfs count="1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0" formatCode="&quot;₹&quot;\ #,##0;[Red]&quot;₹&quot;\ \-#,##0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4ACC734-B164-4900-9605-7488B116BCC9}" name="Table2" displayName="Table2" ref="I2:K22" totalsRowShown="0" headerRowDxfId="12" headerRowBorderDxfId="17" tableBorderDxfId="18" totalsRowBorderDxfId="16">
  <autoFilter ref="I2:K22" xr:uid="{94ACC734-B164-4900-9605-7488B116BCC9}"/>
  <tableColumns count="3">
    <tableColumn id="1" xr3:uid="{BC160569-591D-40E4-B25A-25EBA50FE397}" name="Product_Name" dataDxfId="15">
      <calculatedColumnFormula>SUBSTITUTE(SUBSTITUTE(SUBSTITUTE(SUBSTITUTE(SUBSTITUTE(PROPER(TRIM(CLEAN(B3))),"@",""),"#",""),"$",""),"*",""),"!","")</calculatedColumnFormula>
    </tableColumn>
    <tableColumn id="2" xr3:uid="{D0238C23-4F3C-4E9C-A22A-71ED629E338D}" name="Category" dataDxfId="14">
      <calculatedColumnFormula>SUBSTITUTE(UPPER(TRIM(CLEAN(C3))),"&amp;","And")</calculatedColumnFormula>
    </tableColumn>
    <tableColumn id="3" xr3:uid="{54F19581-0431-4925-A054-F03871FC9337}" name="Seller_Name" dataDxfId="13">
      <calculatedColumnFormula>SUBSTITUTE(SUBSTITUTE(SUBSTITUTE(SUBSTITUTE(SUBSTITUTE(SUBSTITUTE(SUBSTITUTE(SUBSTITUTE(PROPER(TRIM(CLEAN(F3))),"!",""),"@","")," ",""),"#",""),"$",""),"*",""),"%",""),"^","")</calculatedColumnFormula>
    </tableColumn>
  </tableColumns>
  <tableStyleInfo name="TableStyleDark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D04BB8F-B567-47EB-BFCC-21405DAC0F4B}" name="Table3" displayName="Table3" ref="A2:G22" totalsRowShown="0" headerRowDxfId="0" dataDxfId="1" headerRowBorderDxfId="10" tableBorderDxfId="11" totalsRowBorderDxfId="9">
  <autoFilter ref="A2:G22" xr:uid="{3D04BB8F-B567-47EB-BFCC-21405DAC0F4B}"/>
  <tableColumns count="7">
    <tableColumn id="1" xr3:uid="{82C4D372-8316-4D5C-B0AE-F6DFD8227292}" name="Product_ID" dataDxfId="8"/>
    <tableColumn id="2" xr3:uid="{BA3C7B25-6828-4485-BDA3-A79D97AE0570}" name="Product_Name" dataDxfId="7"/>
    <tableColumn id="3" xr3:uid="{515A40AA-2BEE-4F3F-99FC-4EA98D0C0934}" name="Category" dataDxfId="6"/>
    <tableColumn id="4" xr3:uid="{C4DB776A-D03F-49D0-86B2-A434B6D8EFAF}" name="Price" dataDxfId="5"/>
    <tableColumn id="5" xr3:uid="{DB06F63F-E1EE-4734-9B3D-B13204A1968B}" name="SKU_Code" dataDxfId="4"/>
    <tableColumn id="6" xr3:uid="{732AC6D3-CC76-4EED-A3F4-995BF6AF5838}" name="Seller_Name" dataDxfId="3"/>
    <tableColumn id="7" xr3:uid="{6FEF37B6-2621-4AC2-99A0-A03D8099F35D}" name="City" dataDxfId="2"/>
  </tableColumns>
  <tableStyleInfo name="TableStyleDark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"/>
  <sheetViews>
    <sheetView tabSelected="1" workbookViewId="0">
      <selection activeCell="H25" sqref="H25"/>
    </sheetView>
  </sheetViews>
  <sheetFormatPr defaultRowHeight="14.4" x14ac:dyDescent="0.3"/>
  <cols>
    <col min="1" max="1" width="12.33203125" customWidth="1"/>
    <col min="2" max="2" width="27.33203125" bestFit="1" customWidth="1"/>
    <col min="3" max="3" width="18.21875" bestFit="1" customWidth="1"/>
    <col min="4" max="4" width="9.33203125" bestFit="1" customWidth="1"/>
    <col min="5" max="5" width="14.21875" bestFit="1" customWidth="1"/>
    <col min="6" max="6" width="16.6640625" bestFit="1" customWidth="1"/>
    <col min="7" max="7" width="9.77734375" bestFit="1" customWidth="1"/>
    <col min="8" max="8" width="9.77734375" customWidth="1"/>
    <col min="9" max="9" width="27.33203125" bestFit="1" customWidth="1"/>
    <col min="10" max="10" width="22.21875" bestFit="1" customWidth="1"/>
    <col min="11" max="11" width="16.6640625" bestFit="1" customWidth="1"/>
  </cols>
  <sheetData>
    <row r="1" spans="1:11" x14ac:dyDescent="0.3">
      <c r="A1" s="6" t="s">
        <v>101</v>
      </c>
      <c r="B1" s="6"/>
      <c r="C1" s="6"/>
      <c r="D1" s="6"/>
      <c r="E1" s="6"/>
      <c r="F1" s="6"/>
      <c r="G1" s="6"/>
      <c r="I1" s="6" t="s">
        <v>102</v>
      </c>
      <c r="J1" s="6"/>
      <c r="K1" s="6"/>
    </row>
    <row r="2" spans="1:11" x14ac:dyDescent="0.3">
      <c r="A2" s="10" t="s">
        <v>0</v>
      </c>
      <c r="B2" s="11" t="s">
        <v>1</v>
      </c>
      <c r="C2" s="11" t="s">
        <v>2</v>
      </c>
      <c r="D2" s="11" t="s">
        <v>3</v>
      </c>
      <c r="E2" s="11" t="s">
        <v>4</v>
      </c>
      <c r="F2" s="11" t="s">
        <v>5</v>
      </c>
      <c r="G2" s="12" t="s">
        <v>6</v>
      </c>
      <c r="I2" s="10" t="s">
        <v>1</v>
      </c>
      <c r="J2" s="11" t="s">
        <v>2</v>
      </c>
      <c r="K2" s="12" t="s">
        <v>5</v>
      </c>
    </row>
    <row r="3" spans="1:11" x14ac:dyDescent="0.3">
      <c r="A3" s="15" t="s">
        <v>7</v>
      </c>
      <c r="B3" s="2" t="s">
        <v>8</v>
      </c>
      <c r="C3" s="1" t="s">
        <v>9</v>
      </c>
      <c r="D3" s="3">
        <v>55000</v>
      </c>
      <c r="E3" s="1" t="s">
        <v>10</v>
      </c>
      <c r="F3" s="1" t="s">
        <v>11</v>
      </c>
      <c r="G3" s="16" t="s">
        <v>12</v>
      </c>
      <c r="I3" s="8" t="str">
        <f>SUBSTITUTE(SUBSTITUTE(SUBSTITUTE(SUBSTITUTE(SUBSTITUTE(PROPER(TRIM(CLEAN(B3))),"@",""),"#",""),"$",""),"*",""),"!","")</f>
        <v>SamsungGalaxyS23</v>
      </c>
      <c r="J3" s="5" t="str">
        <f>SUBSTITUTE(UPPER(TRIM(CLEAN(C3))),"&amp;","And")</f>
        <v>MOBILE And GADGETS</v>
      </c>
      <c r="K3" s="9" t="str">
        <f>SUBSTITUTE(SUBSTITUTE(SUBSTITUTE(SUBSTITUTE(SUBSTITUTE(SUBSTITUTE(SUBSTITUTE(SUBSTITUTE(PROPER(TRIM(CLEAN(F3))),"!",""),"@","")," ",""),"#",""),"$",""),"*",""),"%",""),"^","")</f>
        <v>RohitMehta</v>
      </c>
    </row>
    <row r="4" spans="1:11" x14ac:dyDescent="0.3">
      <c r="A4" s="15" t="s">
        <v>13</v>
      </c>
      <c r="B4" s="1" t="s">
        <v>14</v>
      </c>
      <c r="C4" s="1" t="s">
        <v>9</v>
      </c>
      <c r="D4" s="3">
        <v>120000</v>
      </c>
      <c r="E4" s="1" t="s">
        <v>15</v>
      </c>
      <c r="F4" s="1" t="s">
        <v>16</v>
      </c>
      <c r="G4" s="16" t="s">
        <v>17</v>
      </c>
      <c r="I4" s="8" t="str">
        <f t="shared" ref="I4:I22" si="0">SUBSTITUTE(SUBSTITUTE(SUBSTITUTE(SUBSTITUTE(SUBSTITUTE(PROPER(TRIM(CLEAN(B4))),"@",""),"#",""),"$",""),"*",""),"!","")</f>
        <v>AppleIphone14Pro</v>
      </c>
      <c r="J4" s="5" t="str">
        <f t="shared" ref="J4:J22" si="1">SUBSTITUTE(UPPER(TRIM(CLEAN(C4))),"&amp;","And")</f>
        <v>MOBILE And GADGETS</v>
      </c>
      <c r="K4" s="9" t="str">
        <f t="shared" ref="K4:K22" si="2">SUBSTITUTE(SUBSTITUTE(SUBSTITUTE(SUBSTITUTE(SUBSTITUTE(SUBSTITUTE(SUBSTITUTE(SUBSTITUTE(PROPER(TRIM(CLEAN(F4))),"!",""),"@","")," ",""),"#",""),"$",""),"*",""),"%",""),"^","")</f>
        <v>AnanyaShah</v>
      </c>
    </row>
    <row r="5" spans="1:11" x14ac:dyDescent="0.3">
      <c r="A5" s="15" t="s">
        <v>18</v>
      </c>
      <c r="B5" s="1" t="s">
        <v>19</v>
      </c>
      <c r="C5" s="1" t="s">
        <v>20</v>
      </c>
      <c r="D5" s="3">
        <v>82500</v>
      </c>
      <c r="E5" s="1" t="s">
        <v>21</v>
      </c>
      <c r="F5" s="1" t="s">
        <v>22</v>
      </c>
      <c r="G5" s="16" t="s">
        <v>23</v>
      </c>
      <c r="I5" s="8" t="str">
        <f t="shared" si="0"/>
        <v>LenovoThinkpadX1</v>
      </c>
      <c r="J5" s="5" t="str">
        <f t="shared" si="1"/>
        <v>LAPTOPS And PCS</v>
      </c>
      <c r="K5" s="9" t="str">
        <f t="shared" si="2"/>
        <v>KaranVerma</v>
      </c>
    </row>
    <row r="6" spans="1:11" x14ac:dyDescent="0.3">
      <c r="A6" s="15" t="s">
        <v>24</v>
      </c>
      <c r="B6" s="1" t="s">
        <v>25</v>
      </c>
      <c r="C6" s="1" t="s">
        <v>20</v>
      </c>
      <c r="D6" s="3">
        <v>56900</v>
      </c>
      <c r="E6" s="1" t="s">
        <v>26</v>
      </c>
      <c r="F6" s="1" t="s">
        <v>27</v>
      </c>
      <c r="G6" s="16" t="s">
        <v>28</v>
      </c>
      <c r="I6" s="8" t="str">
        <f t="shared" si="0"/>
        <v>DellInspiron14</v>
      </c>
      <c r="J6" s="5" t="str">
        <f t="shared" si="1"/>
        <v>LAPTOPS And PCS</v>
      </c>
      <c r="K6" s="9" t="str">
        <f t="shared" si="2"/>
        <v>RiyaPatel</v>
      </c>
    </row>
    <row r="7" spans="1:11" x14ac:dyDescent="0.3">
      <c r="A7" s="15" t="s">
        <v>29</v>
      </c>
      <c r="B7" s="1" t="s">
        <v>30</v>
      </c>
      <c r="C7" s="1" t="s">
        <v>31</v>
      </c>
      <c r="D7" s="3">
        <v>29999</v>
      </c>
      <c r="E7" s="1" t="s">
        <v>32</v>
      </c>
      <c r="F7" s="4" t="s">
        <v>33</v>
      </c>
      <c r="G7" s="16" t="s">
        <v>34</v>
      </c>
      <c r="I7" s="8" t="str">
        <f t="shared" si="0"/>
        <v>SonyWh1000Xm5</v>
      </c>
      <c r="J7" s="5" t="str">
        <f t="shared" si="1"/>
        <v>AUDIO And HEADPHONES</v>
      </c>
      <c r="K7" s="9" t="str">
        <f t="shared" si="2"/>
        <v>PriyankaDas</v>
      </c>
    </row>
    <row r="8" spans="1:11" x14ac:dyDescent="0.3">
      <c r="A8" s="15" t="s">
        <v>35</v>
      </c>
      <c r="B8" s="1" t="s">
        <v>36</v>
      </c>
      <c r="C8" s="1" t="s">
        <v>31</v>
      </c>
      <c r="D8" s="3">
        <v>799</v>
      </c>
      <c r="E8" s="1" t="s">
        <v>37</v>
      </c>
      <c r="F8" s="1" t="s">
        <v>38</v>
      </c>
      <c r="G8" s="16" t="s">
        <v>17</v>
      </c>
      <c r="I8" s="8" t="str">
        <f t="shared" si="0"/>
        <v>BoatBassheads225</v>
      </c>
      <c r="J8" s="5" t="str">
        <f t="shared" si="1"/>
        <v>AUDIO And HEADPHONES</v>
      </c>
      <c r="K8" s="9" t="str">
        <f t="shared" si="2"/>
        <v>NikhilSingh</v>
      </c>
    </row>
    <row r="9" spans="1:11" x14ac:dyDescent="0.3">
      <c r="A9" s="15" t="s">
        <v>39</v>
      </c>
      <c r="B9" s="1" t="s">
        <v>40</v>
      </c>
      <c r="C9" s="1" t="s">
        <v>31</v>
      </c>
      <c r="D9" s="3">
        <v>2999</v>
      </c>
      <c r="E9" s="1" t="s">
        <v>41</v>
      </c>
      <c r="F9" s="1" t="s">
        <v>42</v>
      </c>
      <c r="G9" s="16" t="s">
        <v>12</v>
      </c>
      <c r="I9" s="8" t="str">
        <f t="shared" si="0"/>
        <v>JblGo3Speaker</v>
      </c>
      <c r="J9" s="5" t="str">
        <f t="shared" si="1"/>
        <v>AUDIO And HEADPHONES</v>
      </c>
      <c r="K9" s="9" t="str">
        <f t="shared" si="2"/>
        <v>TanviJoshi</v>
      </c>
    </row>
    <row r="10" spans="1:11" x14ac:dyDescent="0.3">
      <c r="A10" s="15" t="s">
        <v>43</v>
      </c>
      <c r="B10" s="1" t="s">
        <v>44</v>
      </c>
      <c r="C10" s="1" t="s">
        <v>9</v>
      </c>
      <c r="D10" s="3">
        <v>27999</v>
      </c>
      <c r="E10" s="1" t="s">
        <v>45</v>
      </c>
      <c r="F10" s="1" t="s">
        <v>46</v>
      </c>
      <c r="G10" s="16" t="s">
        <v>47</v>
      </c>
      <c r="I10" s="8" t="str">
        <f t="shared" si="0"/>
        <v>OneplusNordCe3</v>
      </c>
      <c r="J10" s="5" t="str">
        <f t="shared" si="1"/>
        <v>MOBILE And GADGETS</v>
      </c>
      <c r="K10" s="9" t="str">
        <f t="shared" si="2"/>
        <v>MehulRana</v>
      </c>
    </row>
    <row r="11" spans="1:11" x14ac:dyDescent="0.3">
      <c r="A11" s="15" t="s">
        <v>48</v>
      </c>
      <c r="B11" s="1" t="s">
        <v>49</v>
      </c>
      <c r="C11" s="1" t="s">
        <v>20</v>
      </c>
      <c r="D11" s="3">
        <v>70500</v>
      </c>
      <c r="E11" s="1" t="s">
        <v>50</v>
      </c>
      <c r="F11" s="1" t="s">
        <v>51</v>
      </c>
      <c r="G11" s="16" t="s">
        <v>23</v>
      </c>
      <c r="I11" s="8" t="str">
        <f t="shared" si="0"/>
        <v>HpPavilion15Gaming</v>
      </c>
      <c r="J11" s="5" t="str">
        <f t="shared" si="1"/>
        <v>LAPTOPS And PCS</v>
      </c>
      <c r="K11" s="9" t="str">
        <f t="shared" si="2"/>
        <v>IshitaDesai</v>
      </c>
    </row>
    <row r="12" spans="1:11" x14ac:dyDescent="0.3">
      <c r="A12" s="15" t="s">
        <v>52</v>
      </c>
      <c r="B12" s="1" t="s">
        <v>53</v>
      </c>
      <c r="C12" s="1" t="s">
        <v>20</v>
      </c>
      <c r="D12" s="3">
        <v>62000</v>
      </c>
      <c r="E12" s="1" t="s">
        <v>54</v>
      </c>
      <c r="F12" s="1" t="s">
        <v>55</v>
      </c>
      <c r="G12" s="16" t="s">
        <v>17</v>
      </c>
      <c r="I12" s="8" t="str">
        <f t="shared" si="0"/>
        <v>AcerAspire7</v>
      </c>
      <c r="J12" s="5" t="str">
        <f t="shared" si="1"/>
        <v>LAPTOPS And PCS</v>
      </c>
      <c r="K12" s="9" t="str">
        <f t="shared" si="2"/>
        <v>RajeshKumar</v>
      </c>
    </row>
    <row r="13" spans="1:11" x14ac:dyDescent="0.3">
      <c r="A13" s="15" t="s">
        <v>56</v>
      </c>
      <c r="B13" s="1" t="s">
        <v>57</v>
      </c>
      <c r="C13" s="1" t="s">
        <v>58</v>
      </c>
      <c r="D13" s="3">
        <v>38999</v>
      </c>
      <c r="E13" s="1" t="s">
        <v>59</v>
      </c>
      <c r="F13" s="1" t="s">
        <v>60</v>
      </c>
      <c r="G13" s="16" t="s">
        <v>34</v>
      </c>
      <c r="I13" s="8" t="str">
        <f t="shared" si="0"/>
        <v>CanonEos1500D</v>
      </c>
      <c r="J13" s="5" t="str">
        <f t="shared" si="1"/>
        <v>CAMERAS</v>
      </c>
      <c r="K13" s="9" t="str">
        <f t="shared" si="2"/>
        <v>NishaJain</v>
      </c>
    </row>
    <row r="14" spans="1:11" x14ac:dyDescent="0.3">
      <c r="A14" s="15" t="s">
        <v>61</v>
      </c>
      <c r="B14" s="1" t="s">
        <v>62</v>
      </c>
      <c r="C14" s="1" t="s">
        <v>58</v>
      </c>
      <c r="D14" s="3">
        <v>45499</v>
      </c>
      <c r="E14" s="1" t="s">
        <v>63</v>
      </c>
      <c r="F14" s="1" t="s">
        <v>64</v>
      </c>
      <c r="G14" s="16" t="s">
        <v>28</v>
      </c>
      <c r="I14" s="8" t="str">
        <f t="shared" si="0"/>
        <v>NikonD5600Camera</v>
      </c>
      <c r="J14" s="5" t="str">
        <f t="shared" si="1"/>
        <v>CAMERAS</v>
      </c>
      <c r="K14" s="9" t="str">
        <f t="shared" si="2"/>
        <v>HarshKapoor</v>
      </c>
    </row>
    <row r="15" spans="1:11" x14ac:dyDescent="0.3">
      <c r="A15" s="15" t="s">
        <v>65</v>
      </c>
      <c r="B15" s="1" t="s">
        <v>66</v>
      </c>
      <c r="C15" s="1" t="s">
        <v>67</v>
      </c>
      <c r="D15" s="3">
        <v>65999</v>
      </c>
      <c r="E15" s="1" t="s">
        <v>68</v>
      </c>
      <c r="F15" s="1" t="s">
        <v>69</v>
      </c>
      <c r="G15" s="16" t="s">
        <v>12</v>
      </c>
      <c r="I15" s="8" t="str">
        <f t="shared" si="0"/>
        <v>LgSmartTv55</v>
      </c>
      <c r="J15" s="5" t="str">
        <f t="shared" si="1"/>
        <v>TELEVISIONS</v>
      </c>
      <c r="K15" s="9" t="str">
        <f t="shared" si="2"/>
        <v>ShrutiBansal</v>
      </c>
    </row>
    <row r="16" spans="1:11" x14ac:dyDescent="0.3">
      <c r="A16" s="15" t="s">
        <v>70</v>
      </c>
      <c r="B16" s="1" t="s">
        <v>71</v>
      </c>
      <c r="C16" s="1" t="s">
        <v>9</v>
      </c>
      <c r="D16" s="3">
        <v>17499</v>
      </c>
      <c r="E16" s="1" t="s">
        <v>72</v>
      </c>
      <c r="F16" s="1" t="s">
        <v>73</v>
      </c>
      <c r="G16" s="16" t="s">
        <v>17</v>
      </c>
      <c r="I16" s="8" t="str">
        <f t="shared" si="0"/>
        <v>RedmiNote135G</v>
      </c>
      <c r="J16" s="5" t="str">
        <f t="shared" si="1"/>
        <v>MOBILE And GADGETS</v>
      </c>
      <c r="K16" s="9" t="str">
        <f t="shared" si="2"/>
        <v>RahulChopra</v>
      </c>
    </row>
    <row r="17" spans="1:11" x14ac:dyDescent="0.3">
      <c r="A17" s="15" t="s">
        <v>74</v>
      </c>
      <c r="B17" s="1" t="s">
        <v>75</v>
      </c>
      <c r="C17" s="1" t="s">
        <v>76</v>
      </c>
      <c r="D17" s="3">
        <v>2199</v>
      </c>
      <c r="E17" s="1" t="s">
        <v>77</v>
      </c>
      <c r="F17" s="1" t="s">
        <v>78</v>
      </c>
      <c r="G17" s="16" t="s">
        <v>23</v>
      </c>
      <c r="I17" s="8" t="str">
        <f t="shared" si="0"/>
        <v>MiPowerBank20000Mah</v>
      </c>
      <c r="J17" s="5" t="str">
        <f t="shared" si="1"/>
        <v>ACCESSORIES</v>
      </c>
      <c r="K17" s="9" t="str">
        <f t="shared" si="2"/>
        <v>AaravMehta</v>
      </c>
    </row>
    <row r="18" spans="1:11" x14ac:dyDescent="0.3">
      <c r="A18" s="15" t="s">
        <v>79</v>
      </c>
      <c r="B18" s="1" t="s">
        <v>80</v>
      </c>
      <c r="C18" s="1" t="s">
        <v>76</v>
      </c>
      <c r="D18" s="3">
        <v>999</v>
      </c>
      <c r="E18" s="1" t="s">
        <v>81</v>
      </c>
      <c r="F18" s="1" t="s">
        <v>82</v>
      </c>
      <c r="G18" s="16" t="s">
        <v>83</v>
      </c>
      <c r="I18" s="8" t="str">
        <f t="shared" si="0"/>
        <v>SandiskUltra128GbPendrive</v>
      </c>
      <c r="J18" s="5" t="str">
        <f t="shared" si="1"/>
        <v>ACCESSORIES</v>
      </c>
      <c r="K18" s="9" t="str">
        <f t="shared" si="2"/>
        <v>NehaKapoor</v>
      </c>
    </row>
    <row r="19" spans="1:11" x14ac:dyDescent="0.3">
      <c r="A19" s="15" t="s">
        <v>84</v>
      </c>
      <c r="B19" s="1" t="s">
        <v>85</v>
      </c>
      <c r="C19" s="1" t="s">
        <v>76</v>
      </c>
      <c r="D19" s="3">
        <v>1499</v>
      </c>
      <c r="E19" s="1" t="s">
        <v>86</v>
      </c>
      <c r="F19" s="1" t="s">
        <v>87</v>
      </c>
      <c r="G19" s="16" t="s">
        <v>47</v>
      </c>
      <c r="I19" s="8" t="str">
        <f t="shared" si="0"/>
        <v>LogitechWirelessMouse</v>
      </c>
      <c r="J19" s="5" t="str">
        <f t="shared" si="1"/>
        <v>ACCESSORIES</v>
      </c>
      <c r="K19" s="9" t="str">
        <f t="shared" si="2"/>
        <v>TanayNair</v>
      </c>
    </row>
    <row r="20" spans="1:11" x14ac:dyDescent="0.3">
      <c r="A20" s="15" t="s">
        <v>88</v>
      </c>
      <c r="B20" s="1" t="s">
        <v>89</v>
      </c>
      <c r="C20" s="1" t="s">
        <v>76</v>
      </c>
      <c r="D20" s="3">
        <v>1899</v>
      </c>
      <c r="E20" s="1" t="s">
        <v>90</v>
      </c>
      <c r="F20" s="1" t="s">
        <v>91</v>
      </c>
      <c r="G20" s="16" t="s">
        <v>17</v>
      </c>
      <c r="I20" s="8" t="str">
        <f t="shared" si="0"/>
        <v>ZebronicsGamingKeyboard</v>
      </c>
      <c r="J20" s="5" t="str">
        <f t="shared" si="1"/>
        <v>ACCESSORIES</v>
      </c>
      <c r="K20" s="9" t="str">
        <f t="shared" si="2"/>
        <v>KavyaPatel</v>
      </c>
    </row>
    <row r="21" spans="1:11" x14ac:dyDescent="0.3">
      <c r="A21" s="15" t="s">
        <v>92</v>
      </c>
      <c r="B21" s="1" t="s">
        <v>93</v>
      </c>
      <c r="C21" s="1" t="s">
        <v>94</v>
      </c>
      <c r="D21" s="3">
        <v>45000</v>
      </c>
      <c r="E21" s="1" t="s">
        <v>95</v>
      </c>
      <c r="F21" s="1" t="s">
        <v>96</v>
      </c>
      <c r="G21" s="16" t="s">
        <v>23</v>
      </c>
      <c r="I21" s="8" t="str">
        <f t="shared" si="0"/>
        <v>SamsungSmartMonitorM8</v>
      </c>
      <c r="J21" s="5" t="str">
        <f t="shared" si="1"/>
        <v>MONITORS</v>
      </c>
      <c r="K21" s="9" t="str">
        <f t="shared" si="2"/>
        <v>DhruvDeshmukh</v>
      </c>
    </row>
    <row r="22" spans="1:11" x14ac:dyDescent="0.3">
      <c r="A22" s="17" t="s">
        <v>97</v>
      </c>
      <c r="B22" s="18" t="s">
        <v>98</v>
      </c>
      <c r="C22" s="18" t="s">
        <v>20</v>
      </c>
      <c r="D22" s="19">
        <v>88999</v>
      </c>
      <c r="E22" s="18" t="s">
        <v>99</v>
      </c>
      <c r="F22" s="18" t="s">
        <v>100</v>
      </c>
      <c r="G22" s="20" t="s">
        <v>28</v>
      </c>
      <c r="I22" s="13" t="str">
        <f t="shared" si="0"/>
        <v>AsusTufGamingA15</v>
      </c>
      <c r="J22" s="7" t="str">
        <f t="shared" si="1"/>
        <v>LAPTOPS And PCS</v>
      </c>
      <c r="K22" s="14" t="str">
        <f t="shared" si="2"/>
        <v>KrishaReddy</v>
      </c>
    </row>
  </sheetData>
  <mergeCells count="2">
    <mergeCell ref="A1:G1"/>
    <mergeCell ref="I1:K1"/>
  </mergeCell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 - 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saurabh sonawane</cp:lastModifiedBy>
  <dcterms:created xsi:type="dcterms:W3CDTF">2015-06-05T18:17:20Z</dcterms:created>
  <dcterms:modified xsi:type="dcterms:W3CDTF">2025-10-30T09:42:43Z</dcterms:modified>
</cp:coreProperties>
</file>