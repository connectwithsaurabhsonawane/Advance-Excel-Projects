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W DataAnalyticsFinalNotes\1 - Excel Final\Excel Projects\2) Excel Text Functions &amp; Data Cleaning Projects\"/>
    </mc:Choice>
  </mc:AlternateContent>
  <xr:revisionPtr revIDLastSave="0" documentId="13_ncr:1_{0F598576-7A51-457B-BA4D-44E6125D40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 - Product DClean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2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2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2" i="1"/>
</calcChain>
</file>

<file path=xl/sharedStrings.xml><?xml version="1.0" encoding="utf-8"?>
<sst xmlns="http://schemas.openxmlformats.org/spreadsheetml/2006/main" count="417" uniqueCount="319">
  <si>
    <t>Product_ID</t>
  </si>
  <si>
    <t>Product_Code</t>
  </si>
  <si>
    <t>Product_Name</t>
  </si>
  <si>
    <t>Category</t>
  </si>
  <si>
    <t>Price</t>
  </si>
  <si>
    <t>Description</t>
  </si>
  <si>
    <t>KTC-MRP-WAC#128@PRO</t>
  </si>
  <si>
    <t>MRP WAC 128</t>
  </si>
  <si>
    <t>Home Appliance</t>
  </si>
  <si>
    <t>MRP WAC powerful performance with great speed</t>
  </si>
  <si>
    <t>MOB-HP-RN8#750@PRO</t>
  </si>
  <si>
    <t>HP RN8 750</t>
  </si>
  <si>
    <t>HP RN8 energy efficient and compact design</t>
  </si>
  <si>
    <t>HOM-HND-JCE#2023@G11</t>
  </si>
  <si>
    <t>HND JCE 2023</t>
  </si>
  <si>
    <t>Electronics</t>
  </si>
  <si>
    <t>HND JCE new generation product with enhanced quality</t>
  </si>
  <si>
    <t>ELC-XMI-11R#32@2023</t>
  </si>
  <si>
    <t>XMI 11R 32</t>
  </si>
  <si>
    <t>XMI 11R premium material and smooth finish</t>
  </si>
  <si>
    <t>ELC-APL-IP13#1L@PRO</t>
  </si>
  <si>
    <t>APL IP13 1L</t>
  </si>
  <si>
    <t>APL IP13 eco-friendly and cost effective</t>
  </si>
  <si>
    <t>MOB-ONE-MCR#64@PRO</t>
  </si>
  <si>
    <t>ONE MCR 64</t>
  </si>
  <si>
    <t>Kitchen</t>
  </si>
  <si>
    <t>ONE MCR eco-friendly and cost effective</t>
  </si>
  <si>
    <t>KTC-PHL-Ry5#750@BT</t>
  </si>
  <si>
    <t>PHL Ry5 750</t>
  </si>
  <si>
    <t>PHL Ry5 latest model with high performance</t>
  </si>
  <si>
    <t>ELC-SON-BLN#32@G11</t>
  </si>
  <si>
    <t>SON BLN 32</t>
  </si>
  <si>
    <t>SON BLN eco-friendly and cost effective</t>
  </si>
  <si>
    <t>MOB-WHL-A24#i5@BT</t>
  </si>
  <si>
    <t>WHL A24 i5</t>
  </si>
  <si>
    <t>WHL A24 eco-friendly and cost effective</t>
  </si>
  <si>
    <t>ELC-PGN-LP#32@MM</t>
  </si>
  <si>
    <t>PGN LP 32</t>
  </si>
  <si>
    <t>PGN LP lightweight and easy to carry</t>
  </si>
  <si>
    <t>HOM-HP-JCE#i5@G11</t>
  </si>
  <si>
    <t>HP JCE i5</t>
  </si>
  <si>
    <t>HP JCE new generation product with enhanced quality</t>
  </si>
  <si>
    <t>ELC-SMS-JCE#1800@BT</t>
  </si>
  <si>
    <t>SMS JCE 1800</t>
  </si>
  <si>
    <t>SMS JCE latest model with high performance</t>
  </si>
  <si>
    <t>ELC-HND-LP#1800@BT</t>
  </si>
  <si>
    <t>HND LP 1800</t>
  </si>
  <si>
    <t>HND LP energy efficient and compact design</t>
  </si>
  <si>
    <t>ELC-HP-FAN#128@PM</t>
  </si>
  <si>
    <t>HP FAN 128</t>
  </si>
  <si>
    <t>HP FAN lightweight and easy to carry</t>
  </si>
  <si>
    <t>MOB-HND-VAC#i5@BT</t>
  </si>
  <si>
    <t>HND VAC i5</t>
  </si>
  <si>
    <t>HND VAC energy efficient and compact design</t>
  </si>
  <si>
    <t>ELC-HND-IP13#Ry5@BT</t>
  </si>
  <si>
    <t>HND IP13 Ry5</t>
  </si>
  <si>
    <t>Mobile</t>
  </si>
  <si>
    <t>HND IP13 lightweight and easy to carry</t>
  </si>
  <si>
    <t>MOB-BJR-WMX#64@2022</t>
  </si>
  <si>
    <t>BJR WMX 64</t>
  </si>
  <si>
    <t>BJR WMX lightweight and easy to carry</t>
  </si>
  <si>
    <t>HOM-PHL-TV#20L@PRO</t>
  </si>
  <si>
    <t>PHL TV 20L</t>
  </si>
  <si>
    <t>PHL TV new generation product with enhanced quality</t>
  </si>
  <si>
    <t>ELC-HVL-Ry5#1800@W</t>
  </si>
  <si>
    <t>HVL Ry5 1800</t>
  </si>
  <si>
    <t>HVL Ry5 new generation product with enhanced quality</t>
  </si>
  <si>
    <t>MOB-GLN-VAC#Ry5@W</t>
  </si>
  <si>
    <t>GLN VAC Ry5</t>
  </si>
  <si>
    <t>GLN VAC powerful performance with great speed</t>
  </si>
  <si>
    <t>HOM-SON-WAC#32@W</t>
  </si>
  <si>
    <t>SON WAC 32</t>
  </si>
  <si>
    <t>SON WAC eco-friendly and cost effective</t>
  </si>
  <si>
    <t>KTC-HVL-MCR#128@W</t>
  </si>
  <si>
    <t>HVL MCR 128</t>
  </si>
  <si>
    <t>HVL MCR latest model with high performance</t>
  </si>
  <si>
    <t>KTC-SMS-FAN#i5@BT</t>
  </si>
  <si>
    <t>SMS FAN i5</t>
  </si>
  <si>
    <t>SMS FAN powerful performance with great speed</t>
  </si>
  <si>
    <t>KTC-SON-MIX#1800@PRO</t>
  </si>
  <si>
    <t>SON MIX 1800</t>
  </si>
  <si>
    <t>SON MIX new generation product with enhanced quality</t>
  </si>
  <si>
    <t>MOB-WHL-JCE#64@PRO</t>
  </si>
  <si>
    <t>WHL JCE 64</t>
  </si>
  <si>
    <t>WHL JCE stylish and durable build</t>
  </si>
  <si>
    <t>MOB-PHL-IP13#1L@2022</t>
  </si>
  <si>
    <t>PHL IP13 1L</t>
  </si>
  <si>
    <t>PHL IP13 advanced features with sleek design</t>
  </si>
  <si>
    <t>KTC-PRT-WAC#20L@PM</t>
  </si>
  <si>
    <t>PRT WAC 20L</t>
  </si>
  <si>
    <t>PRT WAC energy efficient and compact design</t>
  </si>
  <si>
    <t>KTC-BJR-Y55#i5@PM</t>
  </si>
  <si>
    <t>BJR Y55 i5</t>
  </si>
  <si>
    <t>BJR Y55 lightweight and easy to carry</t>
  </si>
  <si>
    <t>MOB-DLL-COF#1L@MM</t>
  </si>
  <si>
    <t>DLL COF 1L</t>
  </si>
  <si>
    <t>DLL COF powerful performance with great speed</t>
  </si>
  <si>
    <t>HOM-DLL-Y55#64@BT</t>
  </si>
  <si>
    <t>DLL Y55 64</t>
  </si>
  <si>
    <t>DLL Y55 latest model with high performance</t>
  </si>
  <si>
    <t>MOB-RMI-A24#20L@2023</t>
  </si>
  <si>
    <t>RMI A24 20L</t>
  </si>
  <si>
    <t>RMI A24 energy efficient and compact design</t>
  </si>
  <si>
    <t>MOB-APL-SPK#128@BT</t>
  </si>
  <si>
    <t>APL SPK 128</t>
  </si>
  <si>
    <t>APL SPK premium material and smooth finish</t>
  </si>
  <si>
    <t>ELC-GLN-JCE#32@G11</t>
  </si>
  <si>
    <t>GLN JCE 32</t>
  </si>
  <si>
    <t>GLN JCE powerful performance with great speed</t>
  </si>
  <si>
    <t>ELC-XMI-MIX#64@MM</t>
  </si>
  <si>
    <t>XMI MIX 64</t>
  </si>
  <si>
    <t>XMI MIX stylish and durable build</t>
  </si>
  <si>
    <t>MOB-OPP-JCE#2200@BT</t>
  </si>
  <si>
    <t>OPP JCE 2200</t>
  </si>
  <si>
    <t>OPP JCE lightweight and easy to carry</t>
  </si>
  <si>
    <t>HOM-OPP-Y55#750@BT</t>
  </si>
  <si>
    <t>OPP Y55 750</t>
  </si>
  <si>
    <t>OPP Y55 stylish and durable build</t>
  </si>
  <si>
    <t>KTC-WHL-IRN#Ry5@W</t>
  </si>
  <si>
    <t>WHL IRN Ry5</t>
  </si>
  <si>
    <t>WHL IRN stylish and durable build</t>
  </si>
  <si>
    <t>ELC-OPP-IRN#i5@PM</t>
  </si>
  <si>
    <t>OPP IRN i5</t>
  </si>
  <si>
    <t>OPP IRN energy efficient and compact design</t>
  </si>
  <si>
    <t>HOM-HP-MWO#512@G11</t>
  </si>
  <si>
    <t>HP MWO 512</t>
  </si>
  <si>
    <t>HP MWO advanced features with sleek design</t>
  </si>
  <si>
    <t>ELC-HND-JCE#i7@PRO</t>
  </si>
  <si>
    <t>HND JCE i7</t>
  </si>
  <si>
    <t>HND JCE powerful performance with great speed</t>
  </si>
  <si>
    <t>KTC-RMI-IP13#1800@G11</t>
  </si>
  <si>
    <t>RMI IP13 1800</t>
  </si>
  <si>
    <t>RMI IP13 advanced features with sleek design</t>
  </si>
  <si>
    <t>HOM-HND-MWO#i7@PRO</t>
  </si>
  <si>
    <t>HND MWO i7</t>
  </si>
  <si>
    <t>HND MWO powerful performance with great speed</t>
  </si>
  <si>
    <t>KTC-PGN-VAC#1800@PRO</t>
  </si>
  <si>
    <t>PGN VAC 1800</t>
  </si>
  <si>
    <t>PGN VAC powerful performance with great speed</t>
  </si>
  <si>
    <t>HOM-GLN-MWO#20L@G11</t>
  </si>
  <si>
    <t>GLN MWO 20L</t>
  </si>
  <si>
    <t>GLN MWO stylish and durable build</t>
  </si>
  <si>
    <t>HOM-PRT-MCR#20L@MM</t>
  </si>
  <si>
    <t>PRT MCR 20L</t>
  </si>
  <si>
    <t>PRT MCR premium material and smooth finish</t>
  </si>
  <si>
    <t>MOB-PRT-IP13#750@G11</t>
  </si>
  <si>
    <t>PRT IP13 750</t>
  </si>
  <si>
    <t>PRT IP13 fast charging and reliable use</t>
  </si>
  <si>
    <t>ELC-BJR-TV#2200@BT</t>
  </si>
  <si>
    <t>BJR TV 2200</t>
  </si>
  <si>
    <t>BJR TV lightweight and easy to carry</t>
  </si>
  <si>
    <t>HOM-PRT-SPK#1800@G11</t>
  </si>
  <si>
    <t>PRT SPK 1800</t>
  </si>
  <si>
    <t>PRT SPK latest model with high performance</t>
  </si>
  <si>
    <t>KTC-HND-TV#2200@PRO</t>
  </si>
  <si>
    <t>HND TV 2200</t>
  </si>
  <si>
    <t>HND TV new generation product with enhanced quality</t>
  </si>
  <si>
    <t>KTC-WHL-MWO#1L@W</t>
  </si>
  <si>
    <t>WHL MWO 1L</t>
  </si>
  <si>
    <t>WHL MWO stylish and durable build</t>
  </si>
  <si>
    <t>ELC-PRT-MIX#2023@G11</t>
  </si>
  <si>
    <t>PRT MIX 2023</t>
  </si>
  <si>
    <t>PRT MIX advanced features with sleek design</t>
  </si>
  <si>
    <t>HOM-BJR-RN8#20L@PRO</t>
  </si>
  <si>
    <t>BJR RN8 20L</t>
  </si>
  <si>
    <t>BJR RN8 energy efficient and compact design</t>
  </si>
  <si>
    <t>KTC-PGN-MIX#128@MM</t>
  </si>
  <si>
    <t>PGN MIX 128</t>
  </si>
  <si>
    <t>PGN MIX stylish and durable build</t>
  </si>
  <si>
    <t>MOB-WHL-JCE#32@MM</t>
  </si>
  <si>
    <t>WHL JCE 32</t>
  </si>
  <si>
    <t>WHL JCE powerful performance with great speed</t>
  </si>
  <si>
    <t>HOM-APL-MIX#128@2022</t>
  </si>
  <si>
    <t>APL MIX 128</t>
  </si>
  <si>
    <t>APL MIX energy efficient and compact design</t>
  </si>
  <si>
    <t>KTC-GLN-11R#1800@2023</t>
  </si>
  <si>
    <t>GLN 11R 1800</t>
  </si>
  <si>
    <t>GLN 11R fast charging and reliable use</t>
  </si>
  <si>
    <t>KTC-RMI-JCE#Ry5@2022</t>
  </si>
  <si>
    <t>RMI JCE Ry5</t>
  </si>
  <si>
    <t>RMI JCE stylish and durable build</t>
  </si>
  <si>
    <t>MOB-BJR-WMX#1800@W</t>
  </si>
  <si>
    <t>BJR WMX 1800</t>
  </si>
  <si>
    <t>BJR WMX eco-friendly and cost effective</t>
  </si>
  <si>
    <t>MOB-PGN-Y55#2200@MM</t>
  </si>
  <si>
    <t>PGN Y55 2200</t>
  </si>
  <si>
    <t>PGN Y55 energy efficient and compact design</t>
  </si>
  <si>
    <t>MOB-BJR-SPK#Ry5@G11</t>
  </si>
  <si>
    <t>BJR SPK Ry5</t>
  </si>
  <si>
    <t>BJR SPK advanced features with sleek design</t>
  </si>
  <si>
    <t>HOM-PHL-Ry5#2023@MM</t>
  </si>
  <si>
    <t>PHL Ry5 2023</t>
  </si>
  <si>
    <t>PHL Ry5 lightweight and easy to carry</t>
  </si>
  <si>
    <t>ELC-LNV-Y55#512@2023</t>
  </si>
  <si>
    <t>LNV Y55 512</t>
  </si>
  <si>
    <t>LNV Y55 premium material and smooth finish</t>
  </si>
  <si>
    <t>KTC-BJR-COF#256@G11</t>
  </si>
  <si>
    <t>BJR COF 256</t>
  </si>
  <si>
    <t>BJR COF stylish and durable build</t>
  </si>
  <si>
    <t>KTC-SON-TV#64@PRO</t>
  </si>
  <si>
    <t>SON TV 64</t>
  </si>
  <si>
    <t>SON TV fast charging and reliable use</t>
  </si>
  <si>
    <t>ELC-PGN-Ry5#32@2022</t>
  </si>
  <si>
    <t>PGN Ry5 32</t>
  </si>
  <si>
    <t>PGN Ry5 fast charging and reliable use</t>
  </si>
  <si>
    <t>KTC-PRT-JCE#2200@PM</t>
  </si>
  <si>
    <t>PRT JCE 2200</t>
  </si>
  <si>
    <t>PRT JCE premium material and smooth finish</t>
  </si>
  <si>
    <t>KTC-MRP-LP#1800@W</t>
  </si>
  <si>
    <t>MRP LP 1800</t>
  </si>
  <si>
    <t>MRP LP premium material and smooth finish</t>
  </si>
  <si>
    <t>ELC-MRP-JCE#256@PM</t>
  </si>
  <si>
    <t>MRP JCE 256</t>
  </si>
  <si>
    <t>MRP JCE powerful performance with great speed</t>
  </si>
  <si>
    <t>HOM-RMI-Ry5#2200@2023</t>
  </si>
  <si>
    <t>RMI Ry5 2200</t>
  </si>
  <si>
    <t>RMI Ry5 new generation product with enhanced quality</t>
  </si>
  <si>
    <t>KTC-RMI-BLN#128@MM</t>
  </si>
  <si>
    <t>RMI BLN 128</t>
  </si>
  <si>
    <t>RMI BLN powerful performance with great speed</t>
  </si>
  <si>
    <t>MOB-GLN-MWO#512@PRO</t>
  </si>
  <si>
    <t>GLN MWO 512</t>
  </si>
  <si>
    <t>GLN MWO new generation product with enhanced quality</t>
  </si>
  <si>
    <t>MOB-PHL-MCR#64@BT</t>
  </si>
  <si>
    <t>PHL MCR 64</t>
  </si>
  <si>
    <t>PHL MCR fast charging and reliable use</t>
  </si>
  <si>
    <t>HOM-DLL-IP13#1800@PRO</t>
  </si>
  <si>
    <t>DLL IP13 1800</t>
  </si>
  <si>
    <t>DLL IP13 new generation product with enhanced quality</t>
  </si>
  <si>
    <t>HOM-WHL-WAC#2200@2022</t>
  </si>
  <si>
    <t>WHL WAC 2200</t>
  </si>
  <si>
    <t>WHL WAC fast charging and reliable use</t>
  </si>
  <si>
    <t>ELC-WHL-JCE#512@2022</t>
  </si>
  <si>
    <t>WHL JCE 512</t>
  </si>
  <si>
    <t>HOM-ONE-JCE#32@2023</t>
  </si>
  <si>
    <t>ONE JCE 32</t>
  </si>
  <si>
    <t>ONE JCE latest model with high performance</t>
  </si>
  <si>
    <t>KTC-WHL-COF#i5@PRO</t>
  </si>
  <si>
    <t>WHL COF i5</t>
  </si>
  <si>
    <t>WHL COF stylish and durable build</t>
  </si>
  <si>
    <t>ELC-PHL-11R#i5@2022</t>
  </si>
  <si>
    <t>PHL 11R i5</t>
  </si>
  <si>
    <t>PHL 11R lightweight and easy to carry</t>
  </si>
  <si>
    <t>KTC-PRT-Ry5#750@BT</t>
  </si>
  <si>
    <t>PRT Ry5 750</t>
  </si>
  <si>
    <t>PRT Ry5 eco-friendly and cost effective</t>
  </si>
  <si>
    <t>MOB-GLN-IP13#64@BT</t>
  </si>
  <si>
    <t>GLN IP13 64</t>
  </si>
  <si>
    <t>GLN IP13 eco-friendly and cost effective</t>
  </si>
  <si>
    <t>HOM-DLL-IP13#32@W</t>
  </si>
  <si>
    <t>DLL IP13 32</t>
  </si>
  <si>
    <t>DLL IP13 premium material and smooth finish</t>
  </si>
  <si>
    <t>KTC-OPP-Ry5#i5@MM</t>
  </si>
  <si>
    <t>OPP Ry5 i5</t>
  </si>
  <si>
    <t>OPP Ry5 lightweight and easy to carry</t>
  </si>
  <si>
    <t>HOM-HVL-VAC#1L@2023</t>
  </si>
  <si>
    <t>HVL VAC 1L</t>
  </si>
  <si>
    <t>HVL VAC new generation product with enhanced quality</t>
  </si>
  <si>
    <t>ELC-WHL-LP#20L@2022</t>
  </si>
  <si>
    <t>WHL LP 20L</t>
  </si>
  <si>
    <t>WHL LP advanced features with sleek design</t>
  </si>
  <si>
    <t>MOB-ONE-VAC#2023@BT</t>
  </si>
  <si>
    <t>ONE VAC 2023</t>
  </si>
  <si>
    <t>ONE VAC premium material and smooth finish</t>
  </si>
  <si>
    <t>ELC-LNV-A24#750@2023</t>
  </si>
  <si>
    <t>LNV A24 750</t>
  </si>
  <si>
    <t>LNV A24 latest model with high performance</t>
  </si>
  <si>
    <t>ELC-LNV-JCE#Ry5@2022</t>
  </si>
  <si>
    <t>LNV JCE Ry5</t>
  </si>
  <si>
    <t>LNV JCE fast charging and reliable use</t>
  </si>
  <si>
    <t>ELC-LNV-VAC#2200@BT</t>
  </si>
  <si>
    <t>LNV VAC 2200</t>
  </si>
  <si>
    <t>LNV VAC premium material and smooth finish</t>
  </si>
  <si>
    <t>ELC-DLL-WAC#512@2022</t>
  </si>
  <si>
    <t>DLL WAC 512</t>
  </si>
  <si>
    <t>DLL WAC new generation product with enhanced quality</t>
  </si>
  <si>
    <t>HOM-BJR-Y55#20L@BT</t>
  </si>
  <si>
    <t>BJR Y55 20L</t>
  </si>
  <si>
    <t>BJR Y55 eco-friendly and cost effective</t>
  </si>
  <si>
    <t>MOB-HVL-MCR#Ry5@PM</t>
  </si>
  <si>
    <t>HVL MCR Ry5</t>
  </si>
  <si>
    <t>HVL MCR lightweight and easy to carry</t>
  </si>
  <si>
    <t>HOM-VVO-TV#750@2022</t>
  </si>
  <si>
    <t>VVO TV 750</t>
  </si>
  <si>
    <t>VVO TV fast charging and reliable use</t>
  </si>
  <si>
    <t>ELC-SON-VAC#32@MM</t>
  </si>
  <si>
    <t>SON VAC 32</t>
  </si>
  <si>
    <t>SON VAC lightweight and easy to carry</t>
  </si>
  <si>
    <t>MOB-HVL-WAC#750@PM</t>
  </si>
  <si>
    <t>HVL WAC 750</t>
  </si>
  <si>
    <t>HVL WAC stylish and durable build</t>
  </si>
  <si>
    <t>KTC-HP-FAN#512@PRO</t>
  </si>
  <si>
    <t>HP FAN 512</t>
  </si>
  <si>
    <t>HP FAN fast charging and reliable use</t>
  </si>
  <si>
    <t>KTC-PHL-IP13#512@2022</t>
  </si>
  <si>
    <t>PHL IP13 512</t>
  </si>
  <si>
    <t>PHL IP13 fast charging and reliable use</t>
  </si>
  <si>
    <t>KTC-BJR-MIX#64@BT</t>
  </si>
  <si>
    <t>BJR MIX 64</t>
  </si>
  <si>
    <t>BJR MIX eco-friendly and cost effective</t>
  </si>
  <si>
    <t>KTC-OPP-JCE#i5@W</t>
  </si>
  <si>
    <t>OPP JCE i5</t>
  </si>
  <si>
    <t>OPP JCE fast charging and reliable use</t>
  </si>
  <si>
    <t>ELC-OPP-11R#i5@W</t>
  </si>
  <si>
    <t>OPP 11R i5</t>
  </si>
  <si>
    <t>OPP 11R energy efficient and compact design</t>
  </si>
  <si>
    <t>MOB-MRP-IP13#Ry5@MM</t>
  </si>
  <si>
    <t>MRP IP13 Ry5</t>
  </si>
  <si>
    <t>MRP IP13 advanced features with sleek design</t>
  </si>
  <si>
    <t>Product name cleaning</t>
  </si>
  <si>
    <t>Description Cleaning</t>
  </si>
  <si>
    <t xml:space="preserve">Product Code Cleaning </t>
  </si>
  <si>
    <t>Len</t>
  </si>
  <si>
    <t>Department</t>
  </si>
  <si>
    <t>Brand</t>
  </si>
  <si>
    <t>Model</t>
  </si>
  <si>
    <t>Variant</t>
  </si>
  <si>
    <t>Code/Year</t>
  </si>
  <si>
    <t>Concatenate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</si>
</sst>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topLeftCell="P1" workbookViewId="0">
      <selection activeCell="P13" sqref="P13"/>
    </sheetView>
  </sheetViews>
  <sheetFormatPr defaultRowHeight="14.4" x14ac:dyDescent="0.3"/>
  <cols>
    <col min="1" max="1" width="10.44140625" bestFit="1" customWidth="1"/>
    <col min="2" max="2" width="25.6640625" bestFit="1" customWidth="1"/>
    <col min="3" max="3" width="13.88671875" bestFit="1" customWidth="1"/>
    <col min="4" max="4" width="14.33203125" bestFit="1" customWidth="1"/>
    <col min="5" max="5" width="7" bestFit="1" customWidth="1"/>
    <col min="6" max="6" width="48.77734375" bestFit="1" customWidth="1"/>
    <col min="7" max="7" width="20.5546875" bestFit="1" customWidth="1"/>
    <col min="8" max="8" width="48.77734375" bestFit="1" customWidth="1"/>
    <col min="9" max="9" width="24.109375" bestFit="1" customWidth="1"/>
    <col min="11" max="11" width="11.109375" bestFit="1" customWidth="1"/>
    <col min="15" max="15" width="9.88671875" bestFit="1" customWidth="1"/>
    <col min="16" max="16" width="95.109375" bestFit="1" customWidth="1"/>
    <col min="17" max="17" width="26.218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309</v>
      </c>
      <c r="H1" s="3" t="s">
        <v>310</v>
      </c>
      <c r="I1" s="3" t="s">
        <v>311</v>
      </c>
      <c r="J1" s="3" t="s">
        <v>312</v>
      </c>
      <c r="K1" s="3" t="s">
        <v>313</v>
      </c>
      <c r="L1" s="3" t="s">
        <v>314</v>
      </c>
      <c r="M1" s="3" t="s">
        <v>315</v>
      </c>
      <c r="N1" s="3" t="s">
        <v>316</v>
      </c>
      <c r="O1" s="3" t="s">
        <v>317</v>
      </c>
      <c r="P1" s="3" t="s">
        <v>318</v>
      </c>
      <c r="Q1" s="3" t="s">
        <v>318</v>
      </c>
    </row>
    <row r="2" spans="1:17" x14ac:dyDescent="0.3">
      <c r="A2" s="2">
        <v>101</v>
      </c>
      <c r="B2" s="2" t="s">
        <v>6</v>
      </c>
      <c r="C2" s="2" t="s">
        <v>7</v>
      </c>
      <c r="D2" s="2" t="s">
        <v>8</v>
      </c>
      <c r="E2" s="2">
        <v>9925</v>
      </c>
      <c r="F2" s="2" t="s">
        <v>9</v>
      </c>
      <c r="G2" s="2" t="str">
        <f>PROPER(TRIM(CLEAN(C2)))</f>
        <v>Mrp Wac 128</v>
      </c>
      <c r="H2" s="2" t="str">
        <f>TRIM(CLEAN(F2))</f>
        <v>MRP WAC powerful performance with great speed</v>
      </c>
      <c r="I2" s="2" t="str">
        <f>SUBSTITUTE(SUBSTITUTE(B2,"#","-"),"@","-")</f>
        <v>KTC-MRP-WAC-128-PRO</v>
      </c>
      <c r="J2" s="2">
        <f>LEN(I2)</f>
        <v>19</v>
      </c>
      <c r="K2" s="2" t="str">
        <f>LEFT(I2,FIND("-",I2,1)-1)</f>
        <v>KTC</v>
      </c>
      <c r="L2" s="2" t="str">
        <f>MID(I2,FIND("-",I2)+1,FIND("-",I2,FIND("-",I2)+1)-FIND("-",I2)-1)</f>
        <v>MRP</v>
      </c>
      <c r="M2" s="2" t="str">
        <f>MID(B2,FIND("-",B2,FIND("-",B2)+1)+1,FIND("#",B2)-FIND("-",B2,FIND("-",B2)+1)-1)</f>
        <v>WAC</v>
      </c>
      <c r="N2" s="2" t="str">
        <f>MID(B2,FIND("#",B2)+1,FIND("@",B2)-FIND("#",B2)-1)</f>
        <v>128</v>
      </c>
      <c r="O2" s="2" t="str">
        <f>RIGHT(B2,LEN(B2)-FIND("@",B2))</f>
        <v>PRO</v>
      </c>
      <c r="P2" s="2" t="str">
        <f>G2&amp;"-"&amp;H2&amp;"-"&amp;I2&amp;"-"&amp;J2&amp;"-"&amp;K2&amp;"-"&amp;L2</f>
        <v>Mrp Wac 128-MRP WAC powerful performance with great speed-KTC-MRP-WAC-128-PRO-19-KTC-MRP</v>
      </c>
      <c r="Q2" s="2" t="str">
        <f>G2&amp;"-"&amp;D2</f>
        <v>Mrp Wac 128-Home Appliance</v>
      </c>
    </row>
    <row r="3" spans="1:17" x14ac:dyDescent="0.3">
      <c r="A3" s="2">
        <v>102</v>
      </c>
      <c r="B3" s="2" t="s">
        <v>10</v>
      </c>
      <c r="C3" s="2" t="s">
        <v>11</v>
      </c>
      <c r="D3" s="2" t="s">
        <v>8</v>
      </c>
      <c r="E3" s="2">
        <v>64276</v>
      </c>
      <c r="F3" s="2" t="s">
        <v>12</v>
      </c>
      <c r="G3" s="2" t="str">
        <f t="shared" ref="G3:G66" si="0">PROPER(TRIM(CLEAN(C3)))</f>
        <v>Hp Rn8 750</v>
      </c>
      <c r="H3" s="2" t="str">
        <f t="shared" ref="H3:H66" si="1">TRIM(CLEAN(F3))</f>
        <v>HP RN8 energy efficient and compact design</v>
      </c>
      <c r="I3" s="2" t="str">
        <f t="shared" ref="I3:I66" si="2">SUBSTITUTE(SUBSTITUTE(B3,"#","-"),"@","-")</f>
        <v>MOB-HP-RN8-750-PRO</v>
      </c>
      <c r="J3" s="2">
        <f t="shared" ref="J3:J66" si="3">LEN(I3)</f>
        <v>18</v>
      </c>
      <c r="K3" s="2" t="str">
        <f t="shared" ref="K3:K66" si="4">LEFT(I3,FIND("-",I3,1)-1)</f>
        <v>MOB</v>
      </c>
      <c r="L3" s="2" t="str">
        <f t="shared" ref="L3:L66" si="5">MID(I3,FIND("-",I3)+1,FIND("-",I3,FIND("-",I3)+1)-FIND("-",I3)-1)</f>
        <v>HP</v>
      </c>
      <c r="M3" s="2" t="str">
        <f t="shared" ref="M3:M66" si="6">MID(B3,FIND("-",B3,FIND("-",B3)+1)+1,FIND("#",B3)-FIND("-",B3,FIND("-",B3)+1)-1)</f>
        <v>RN8</v>
      </c>
      <c r="N3" s="2" t="str">
        <f t="shared" ref="N3:N66" si="7">MID(B3,FIND("#",B3)+1,FIND("@",B3)-FIND("#",B3)-1)</f>
        <v>750</v>
      </c>
      <c r="O3" s="2" t="str">
        <f t="shared" ref="O3:O66" si="8">RIGHT(B3,LEN(B3)-FIND("@",B3))</f>
        <v>PRO</v>
      </c>
      <c r="P3" s="2" t="str">
        <f t="shared" ref="P3:P66" si="9">G3&amp;"-"&amp;H3&amp;"-"&amp;I3&amp;"-"&amp;J3&amp;"-"&amp;K3&amp;"-"&amp;L3</f>
        <v>Hp Rn8 750-HP RN8 energy efficient and compact design-MOB-HP-RN8-750-PRO-18-MOB-HP</v>
      </c>
      <c r="Q3" s="2" t="str">
        <f t="shared" ref="Q3:Q66" si="10">G3&amp;"-"&amp;D3</f>
        <v>Hp Rn8 750-Home Appliance</v>
      </c>
    </row>
    <row r="4" spans="1:17" x14ac:dyDescent="0.3">
      <c r="A4" s="2">
        <v>103</v>
      </c>
      <c r="B4" s="2" t="s">
        <v>13</v>
      </c>
      <c r="C4" s="2" t="s">
        <v>14</v>
      </c>
      <c r="D4" s="2" t="s">
        <v>15</v>
      </c>
      <c r="E4" s="2">
        <v>41355</v>
      </c>
      <c r="F4" s="2" t="s">
        <v>16</v>
      </c>
      <c r="G4" s="2" t="str">
        <f t="shared" si="0"/>
        <v>Hnd Jce 2023</v>
      </c>
      <c r="H4" s="2" t="str">
        <f t="shared" si="1"/>
        <v>HND JCE new generation product with enhanced quality</v>
      </c>
      <c r="I4" s="2" t="str">
        <f t="shared" si="2"/>
        <v>HOM-HND-JCE-2023-G11</v>
      </c>
      <c r="J4" s="2">
        <f t="shared" si="3"/>
        <v>20</v>
      </c>
      <c r="K4" s="2" t="str">
        <f t="shared" si="4"/>
        <v>HOM</v>
      </c>
      <c r="L4" s="2" t="str">
        <f t="shared" si="5"/>
        <v>HND</v>
      </c>
      <c r="M4" s="2" t="str">
        <f t="shared" si="6"/>
        <v>JCE</v>
      </c>
      <c r="N4" s="2" t="str">
        <f t="shared" si="7"/>
        <v>2023</v>
      </c>
      <c r="O4" s="2" t="str">
        <f t="shared" si="8"/>
        <v>G11</v>
      </c>
      <c r="P4" s="2" t="str">
        <f t="shared" si="9"/>
        <v>Hnd Jce 2023-HND JCE new generation product with enhanced quality-HOM-HND-JCE-2023-G11-20-HOM-HND</v>
      </c>
      <c r="Q4" s="2" t="str">
        <f t="shared" si="10"/>
        <v>Hnd Jce 2023-Electronics</v>
      </c>
    </row>
    <row r="5" spans="1:17" x14ac:dyDescent="0.3">
      <c r="A5" s="2">
        <v>104</v>
      </c>
      <c r="B5" s="2" t="s">
        <v>17</v>
      </c>
      <c r="C5" s="2" t="s">
        <v>18</v>
      </c>
      <c r="D5" s="2" t="s">
        <v>15</v>
      </c>
      <c r="E5" s="2">
        <v>15031</v>
      </c>
      <c r="F5" s="2" t="s">
        <v>19</v>
      </c>
      <c r="G5" s="2" t="str">
        <f t="shared" si="0"/>
        <v>Xmi 11R 32</v>
      </c>
      <c r="H5" s="2" t="str">
        <f t="shared" si="1"/>
        <v>XMI 11R premium material and smooth finish</v>
      </c>
      <c r="I5" s="2" t="str">
        <f t="shared" si="2"/>
        <v>ELC-XMI-11R-32-2023</v>
      </c>
      <c r="J5" s="2">
        <f t="shared" si="3"/>
        <v>19</v>
      </c>
      <c r="K5" s="2" t="str">
        <f t="shared" si="4"/>
        <v>ELC</v>
      </c>
      <c r="L5" s="2" t="str">
        <f t="shared" si="5"/>
        <v>XMI</v>
      </c>
      <c r="M5" s="2" t="str">
        <f t="shared" si="6"/>
        <v>11R</v>
      </c>
      <c r="N5" s="2" t="str">
        <f t="shared" si="7"/>
        <v>32</v>
      </c>
      <c r="O5" s="2" t="str">
        <f t="shared" si="8"/>
        <v>2023</v>
      </c>
      <c r="P5" s="2" t="str">
        <f t="shared" si="9"/>
        <v>Xmi 11R 32-XMI 11R premium material and smooth finish-ELC-XMI-11R-32-2023-19-ELC-XMI</v>
      </c>
      <c r="Q5" s="2" t="str">
        <f t="shared" si="10"/>
        <v>Xmi 11R 32-Electronics</v>
      </c>
    </row>
    <row r="6" spans="1:17" x14ac:dyDescent="0.3">
      <c r="A6" s="2">
        <v>105</v>
      </c>
      <c r="B6" s="2" t="s">
        <v>20</v>
      </c>
      <c r="C6" s="2" t="s">
        <v>21</v>
      </c>
      <c r="D6" s="2" t="s">
        <v>15</v>
      </c>
      <c r="E6" s="2">
        <v>94998</v>
      </c>
      <c r="F6" s="2" t="s">
        <v>22</v>
      </c>
      <c r="G6" s="2" t="str">
        <f t="shared" si="0"/>
        <v>Apl Ip13 1L</v>
      </c>
      <c r="H6" s="2" t="str">
        <f t="shared" si="1"/>
        <v>APL IP13 eco-friendly and cost effective</v>
      </c>
      <c r="I6" s="2" t="str">
        <f t="shared" si="2"/>
        <v>ELC-APL-IP13-1L-PRO</v>
      </c>
      <c r="J6" s="2">
        <f t="shared" si="3"/>
        <v>19</v>
      </c>
      <c r="K6" s="2" t="str">
        <f t="shared" si="4"/>
        <v>ELC</v>
      </c>
      <c r="L6" s="2" t="str">
        <f t="shared" si="5"/>
        <v>APL</v>
      </c>
      <c r="M6" s="2" t="str">
        <f t="shared" si="6"/>
        <v>IP13</v>
      </c>
      <c r="N6" s="2" t="str">
        <f t="shared" si="7"/>
        <v>1L</v>
      </c>
      <c r="O6" s="2" t="str">
        <f t="shared" si="8"/>
        <v>PRO</v>
      </c>
      <c r="P6" s="2" t="str">
        <f t="shared" si="9"/>
        <v>Apl Ip13 1L-APL IP13 eco-friendly and cost effective-ELC-APL-IP13-1L-PRO-19-ELC-APL</v>
      </c>
      <c r="Q6" s="2" t="str">
        <f t="shared" si="10"/>
        <v>Apl Ip13 1L-Electronics</v>
      </c>
    </row>
    <row r="7" spans="1:17" x14ac:dyDescent="0.3">
      <c r="A7" s="2">
        <v>106</v>
      </c>
      <c r="B7" s="2" t="s">
        <v>23</v>
      </c>
      <c r="C7" s="2" t="s">
        <v>24</v>
      </c>
      <c r="D7" s="2" t="s">
        <v>25</v>
      </c>
      <c r="E7" s="2">
        <v>52210</v>
      </c>
      <c r="F7" s="2" t="s">
        <v>26</v>
      </c>
      <c r="G7" s="2" t="str">
        <f t="shared" si="0"/>
        <v>One Mcr 64</v>
      </c>
      <c r="H7" s="2" t="str">
        <f t="shared" si="1"/>
        <v>ONE MCR eco-friendly and cost effective</v>
      </c>
      <c r="I7" s="2" t="str">
        <f t="shared" si="2"/>
        <v>MOB-ONE-MCR-64-PRO</v>
      </c>
      <c r="J7" s="2">
        <f t="shared" si="3"/>
        <v>18</v>
      </c>
      <c r="K7" s="2" t="str">
        <f t="shared" si="4"/>
        <v>MOB</v>
      </c>
      <c r="L7" s="2" t="str">
        <f t="shared" si="5"/>
        <v>ONE</v>
      </c>
      <c r="M7" s="2" t="str">
        <f t="shared" si="6"/>
        <v>MCR</v>
      </c>
      <c r="N7" s="2" t="str">
        <f t="shared" si="7"/>
        <v>64</v>
      </c>
      <c r="O7" s="2" t="str">
        <f t="shared" si="8"/>
        <v>PRO</v>
      </c>
      <c r="P7" s="2" t="str">
        <f t="shared" si="9"/>
        <v>One Mcr 64-ONE MCR eco-friendly and cost effective-MOB-ONE-MCR-64-PRO-18-MOB-ONE</v>
      </c>
      <c r="Q7" s="2" t="str">
        <f t="shared" si="10"/>
        <v>One Mcr 64-Kitchen</v>
      </c>
    </row>
    <row r="8" spans="1:17" x14ac:dyDescent="0.3">
      <c r="A8" s="2">
        <v>107</v>
      </c>
      <c r="B8" s="2" t="s">
        <v>27</v>
      </c>
      <c r="C8" s="2" t="s">
        <v>28</v>
      </c>
      <c r="D8" s="2" t="s">
        <v>8</v>
      </c>
      <c r="E8" s="2">
        <v>97531</v>
      </c>
      <c r="F8" s="2" t="s">
        <v>29</v>
      </c>
      <c r="G8" s="2" t="str">
        <f t="shared" si="0"/>
        <v>Phl Ry5 750</v>
      </c>
      <c r="H8" s="2" t="str">
        <f t="shared" si="1"/>
        <v>PHL Ry5 latest model with high performance</v>
      </c>
      <c r="I8" s="2" t="str">
        <f t="shared" si="2"/>
        <v>KTC-PHL-Ry5-750-BT</v>
      </c>
      <c r="J8" s="2">
        <f t="shared" si="3"/>
        <v>18</v>
      </c>
      <c r="K8" s="2" t="str">
        <f t="shared" si="4"/>
        <v>KTC</v>
      </c>
      <c r="L8" s="2" t="str">
        <f t="shared" si="5"/>
        <v>PHL</v>
      </c>
      <c r="M8" s="2" t="str">
        <f t="shared" si="6"/>
        <v>Ry5</v>
      </c>
      <c r="N8" s="2" t="str">
        <f t="shared" si="7"/>
        <v>750</v>
      </c>
      <c r="O8" s="2" t="str">
        <f t="shared" si="8"/>
        <v>BT</v>
      </c>
      <c r="P8" s="2" t="str">
        <f t="shared" si="9"/>
        <v>Phl Ry5 750-PHL Ry5 latest model with high performance-KTC-PHL-Ry5-750-BT-18-KTC-PHL</v>
      </c>
      <c r="Q8" s="2" t="str">
        <f t="shared" si="10"/>
        <v>Phl Ry5 750-Home Appliance</v>
      </c>
    </row>
    <row r="9" spans="1:17" x14ac:dyDescent="0.3">
      <c r="A9" s="2">
        <v>108</v>
      </c>
      <c r="B9" s="2" t="s">
        <v>30</v>
      </c>
      <c r="C9" s="2" t="s">
        <v>31</v>
      </c>
      <c r="D9" s="2" t="s">
        <v>15</v>
      </c>
      <c r="E9" s="2">
        <v>35476</v>
      </c>
      <c r="F9" s="2" t="s">
        <v>32</v>
      </c>
      <c r="G9" s="2" t="str">
        <f t="shared" si="0"/>
        <v>Son Bln 32</v>
      </c>
      <c r="H9" s="2" t="str">
        <f t="shared" si="1"/>
        <v>SON BLN eco-friendly and cost effective</v>
      </c>
      <c r="I9" s="2" t="str">
        <f t="shared" si="2"/>
        <v>ELC-SON-BLN-32-G11</v>
      </c>
      <c r="J9" s="2">
        <f t="shared" si="3"/>
        <v>18</v>
      </c>
      <c r="K9" s="2" t="str">
        <f t="shared" si="4"/>
        <v>ELC</v>
      </c>
      <c r="L9" s="2" t="str">
        <f t="shared" si="5"/>
        <v>SON</v>
      </c>
      <c r="M9" s="2" t="str">
        <f t="shared" si="6"/>
        <v>BLN</v>
      </c>
      <c r="N9" s="2" t="str">
        <f t="shared" si="7"/>
        <v>32</v>
      </c>
      <c r="O9" s="2" t="str">
        <f t="shared" si="8"/>
        <v>G11</v>
      </c>
      <c r="P9" s="2" t="str">
        <f t="shared" si="9"/>
        <v>Son Bln 32-SON BLN eco-friendly and cost effective-ELC-SON-BLN-32-G11-18-ELC-SON</v>
      </c>
      <c r="Q9" s="2" t="str">
        <f t="shared" si="10"/>
        <v>Son Bln 32-Electronics</v>
      </c>
    </row>
    <row r="10" spans="1:17" x14ac:dyDescent="0.3">
      <c r="A10" s="2">
        <v>109</v>
      </c>
      <c r="B10" s="2" t="s">
        <v>33</v>
      </c>
      <c r="C10" s="2" t="s">
        <v>34</v>
      </c>
      <c r="D10" s="2" t="s">
        <v>8</v>
      </c>
      <c r="E10" s="2">
        <v>80211</v>
      </c>
      <c r="F10" s="2" t="s">
        <v>35</v>
      </c>
      <c r="G10" s="2" t="str">
        <f t="shared" si="0"/>
        <v>Whl A24 I5</v>
      </c>
      <c r="H10" s="2" t="str">
        <f t="shared" si="1"/>
        <v>WHL A24 eco-friendly and cost effective</v>
      </c>
      <c r="I10" s="2" t="str">
        <f t="shared" si="2"/>
        <v>MOB-WHL-A24-i5-BT</v>
      </c>
      <c r="J10" s="2">
        <f t="shared" si="3"/>
        <v>17</v>
      </c>
      <c r="K10" s="2" t="str">
        <f t="shared" si="4"/>
        <v>MOB</v>
      </c>
      <c r="L10" s="2" t="str">
        <f t="shared" si="5"/>
        <v>WHL</v>
      </c>
      <c r="M10" s="2" t="str">
        <f t="shared" si="6"/>
        <v>A24</v>
      </c>
      <c r="N10" s="2" t="str">
        <f t="shared" si="7"/>
        <v>i5</v>
      </c>
      <c r="O10" s="2" t="str">
        <f t="shared" si="8"/>
        <v>BT</v>
      </c>
      <c r="P10" s="2" t="str">
        <f t="shared" si="9"/>
        <v>Whl A24 I5-WHL A24 eco-friendly and cost effective-MOB-WHL-A24-i5-BT-17-MOB-WHL</v>
      </c>
      <c r="Q10" s="2" t="str">
        <f t="shared" si="10"/>
        <v>Whl A24 I5-Home Appliance</v>
      </c>
    </row>
    <row r="11" spans="1:17" x14ac:dyDescent="0.3">
      <c r="A11" s="2">
        <v>110</v>
      </c>
      <c r="B11" s="2" t="s">
        <v>36</v>
      </c>
      <c r="C11" s="2" t="s">
        <v>37</v>
      </c>
      <c r="D11" s="2" t="s">
        <v>8</v>
      </c>
      <c r="E11" s="2">
        <v>52774</v>
      </c>
      <c r="F11" s="2" t="s">
        <v>38</v>
      </c>
      <c r="G11" s="2" t="str">
        <f t="shared" si="0"/>
        <v>Pgn Lp 32</v>
      </c>
      <c r="H11" s="2" t="str">
        <f t="shared" si="1"/>
        <v>PGN LP lightweight and easy to carry</v>
      </c>
      <c r="I11" s="2" t="str">
        <f t="shared" si="2"/>
        <v>ELC-PGN-LP-32-MM</v>
      </c>
      <c r="J11" s="2">
        <f t="shared" si="3"/>
        <v>16</v>
      </c>
      <c r="K11" s="2" t="str">
        <f t="shared" si="4"/>
        <v>ELC</v>
      </c>
      <c r="L11" s="2" t="str">
        <f t="shared" si="5"/>
        <v>PGN</v>
      </c>
      <c r="M11" s="2" t="str">
        <f t="shared" si="6"/>
        <v>LP</v>
      </c>
      <c r="N11" s="2" t="str">
        <f t="shared" si="7"/>
        <v>32</v>
      </c>
      <c r="O11" s="2" t="str">
        <f t="shared" si="8"/>
        <v>MM</v>
      </c>
      <c r="P11" s="2" t="str">
        <f t="shared" si="9"/>
        <v>Pgn Lp 32-PGN LP lightweight and easy to carry-ELC-PGN-LP-32-MM-16-ELC-PGN</v>
      </c>
      <c r="Q11" s="2" t="str">
        <f t="shared" si="10"/>
        <v>Pgn Lp 32-Home Appliance</v>
      </c>
    </row>
    <row r="12" spans="1:17" x14ac:dyDescent="0.3">
      <c r="A12" s="2">
        <v>111</v>
      </c>
      <c r="B12" s="2" t="s">
        <v>39</v>
      </c>
      <c r="C12" s="2" t="s">
        <v>40</v>
      </c>
      <c r="D12" s="2" t="s">
        <v>15</v>
      </c>
      <c r="E12" s="2">
        <v>112313</v>
      </c>
      <c r="F12" s="2" t="s">
        <v>41</v>
      </c>
      <c r="G12" s="2" t="str">
        <f t="shared" si="0"/>
        <v>Hp Jce I5</v>
      </c>
      <c r="H12" s="2" t="str">
        <f t="shared" si="1"/>
        <v>HP JCE new generation product with enhanced quality</v>
      </c>
      <c r="I12" s="2" t="str">
        <f t="shared" si="2"/>
        <v>HOM-HP-JCE-i5-G11</v>
      </c>
      <c r="J12" s="2">
        <f t="shared" si="3"/>
        <v>17</v>
      </c>
      <c r="K12" s="2" t="str">
        <f t="shared" si="4"/>
        <v>HOM</v>
      </c>
      <c r="L12" s="2" t="str">
        <f t="shared" si="5"/>
        <v>HP</v>
      </c>
      <c r="M12" s="2" t="str">
        <f t="shared" si="6"/>
        <v>JCE</v>
      </c>
      <c r="N12" s="2" t="str">
        <f t="shared" si="7"/>
        <v>i5</v>
      </c>
      <c r="O12" s="2" t="str">
        <f t="shared" si="8"/>
        <v>G11</v>
      </c>
      <c r="P12" s="2" t="str">
        <f t="shared" si="9"/>
        <v>Hp Jce I5-HP JCE new generation product with enhanced quality-HOM-HP-JCE-i5-G11-17-HOM-HP</v>
      </c>
      <c r="Q12" s="2" t="str">
        <f t="shared" si="10"/>
        <v>Hp Jce I5-Electronics</v>
      </c>
    </row>
    <row r="13" spans="1:17" x14ac:dyDescent="0.3">
      <c r="A13" s="2">
        <v>112</v>
      </c>
      <c r="B13" s="2" t="s">
        <v>42</v>
      </c>
      <c r="C13" s="2" t="s">
        <v>43</v>
      </c>
      <c r="D13" s="2" t="s">
        <v>8</v>
      </c>
      <c r="E13" s="2">
        <v>2837</v>
      </c>
      <c r="F13" s="2" t="s">
        <v>44</v>
      </c>
      <c r="G13" s="2" t="str">
        <f t="shared" si="0"/>
        <v>Sms Jce 1800</v>
      </c>
      <c r="H13" s="2" t="str">
        <f t="shared" si="1"/>
        <v>SMS JCE latest model with high performance</v>
      </c>
      <c r="I13" s="2" t="str">
        <f t="shared" si="2"/>
        <v>ELC-SMS-JCE-1800-BT</v>
      </c>
      <c r="J13" s="2">
        <f t="shared" si="3"/>
        <v>19</v>
      </c>
      <c r="K13" s="2" t="str">
        <f t="shared" si="4"/>
        <v>ELC</v>
      </c>
      <c r="L13" s="2" t="str">
        <f t="shared" si="5"/>
        <v>SMS</v>
      </c>
      <c r="M13" s="2" t="str">
        <f t="shared" si="6"/>
        <v>JCE</v>
      </c>
      <c r="N13" s="2" t="str">
        <f t="shared" si="7"/>
        <v>1800</v>
      </c>
      <c r="O13" s="2" t="str">
        <f t="shared" si="8"/>
        <v>BT</v>
      </c>
      <c r="P13" s="2" t="str">
        <f t="shared" si="9"/>
        <v>Sms Jce 1800-SMS JCE latest model with high performance-ELC-SMS-JCE-1800-BT-19-ELC-SMS</v>
      </c>
      <c r="Q13" s="2" t="str">
        <f t="shared" si="10"/>
        <v>Sms Jce 1800-Home Appliance</v>
      </c>
    </row>
    <row r="14" spans="1:17" x14ac:dyDescent="0.3">
      <c r="A14" s="2">
        <v>113</v>
      </c>
      <c r="B14" s="2" t="s">
        <v>45</v>
      </c>
      <c r="C14" s="2" t="s">
        <v>46</v>
      </c>
      <c r="D14" s="2" t="s">
        <v>8</v>
      </c>
      <c r="E14" s="2">
        <v>31569</v>
      </c>
      <c r="F14" s="2" t="s">
        <v>47</v>
      </c>
      <c r="G14" s="2" t="str">
        <f t="shared" si="0"/>
        <v>Hnd Lp 1800</v>
      </c>
      <c r="H14" s="2" t="str">
        <f t="shared" si="1"/>
        <v>HND LP energy efficient and compact design</v>
      </c>
      <c r="I14" s="2" t="str">
        <f t="shared" si="2"/>
        <v>ELC-HND-LP-1800-BT</v>
      </c>
      <c r="J14" s="2">
        <f t="shared" si="3"/>
        <v>18</v>
      </c>
      <c r="K14" s="2" t="str">
        <f t="shared" si="4"/>
        <v>ELC</v>
      </c>
      <c r="L14" s="2" t="str">
        <f t="shared" si="5"/>
        <v>HND</v>
      </c>
      <c r="M14" s="2" t="str">
        <f t="shared" si="6"/>
        <v>LP</v>
      </c>
      <c r="N14" s="2" t="str">
        <f t="shared" si="7"/>
        <v>1800</v>
      </c>
      <c r="O14" s="2" t="str">
        <f t="shared" si="8"/>
        <v>BT</v>
      </c>
      <c r="P14" s="2" t="str">
        <f t="shared" si="9"/>
        <v>Hnd Lp 1800-HND LP energy efficient and compact design-ELC-HND-LP-1800-BT-18-ELC-HND</v>
      </c>
      <c r="Q14" s="2" t="str">
        <f t="shared" si="10"/>
        <v>Hnd Lp 1800-Home Appliance</v>
      </c>
    </row>
    <row r="15" spans="1:17" x14ac:dyDescent="0.3">
      <c r="A15" s="2">
        <v>114</v>
      </c>
      <c r="B15" s="2" t="s">
        <v>48</v>
      </c>
      <c r="C15" s="2" t="s">
        <v>49</v>
      </c>
      <c r="D15" s="2" t="s">
        <v>25</v>
      </c>
      <c r="E15" s="2">
        <v>42454</v>
      </c>
      <c r="F15" s="2" t="s">
        <v>50</v>
      </c>
      <c r="G15" s="2" t="str">
        <f t="shared" si="0"/>
        <v>Hp Fan 128</v>
      </c>
      <c r="H15" s="2" t="str">
        <f t="shared" si="1"/>
        <v>HP FAN lightweight and easy to carry</v>
      </c>
      <c r="I15" s="2" t="str">
        <f t="shared" si="2"/>
        <v>ELC-HP-FAN-128-PM</v>
      </c>
      <c r="J15" s="2">
        <f t="shared" si="3"/>
        <v>17</v>
      </c>
      <c r="K15" s="2" t="str">
        <f t="shared" si="4"/>
        <v>ELC</v>
      </c>
      <c r="L15" s="2" t="str">
        <f t="shared" si="5"/>
        <v>HP</v>
      </c>
      <c r="M15" s="2" t="str">
        <f t="shared" si="6"/>
        <v>FAN</v>
      </c>
      <c r="N15" s="2" t="str">
        <f t="shared" si="7"/>
        <v>128</v>
      </c>
      <c r="O15" s="2" t="str">
        <f t="shared" si="8"/>
        <v>PM</v>
      </c>
      <c r="P15" s="2" t="str">
        <f t="shared" si="9"/>
        <v>Hp Fan 128-HP FAN lightweight and easy to carry-ELC-HP-FAN-128-PM-17-ELC-HP</v>
      </c>
      <c r="Q15" s="2" t="str">
        <f t="shared" si="10"/>
        <v>Hp Fan 128-Kitchen</v>
      </c>
    </row>
    <row r="16" spans="1:17" x14ac:dyDescent="0.3">
      <c r="A16" s="2">
        <v>115</v>
      </c>
      <c r="B16" s="2" t="s">
        <v>51</v>
      </c>
      <c r="C16" s="2" t="s">
        <v>52</v>
      </c>
      <c r="D16" s="2" t="s">
        <v>8</v>
      </c>
      <c r="E16" s="2">
        <v>18271</v>
      </c>
      <c r="F16" s="2" t="s">
        <v>53</v>
      </c>
      <c r="G16" s="2" t="str">
        <f t="shared" si="0"/>
        <v>Hnd Vac I5</v>
      </c>
      <c r="H16" s="2" t="str">
        <f t="shared" si="1"/>
        <v>HND VAC energy efficient and compact design</v>
      </c>
      <c r="I16" s="2" t="str">
        <f t="shared" si="2"/>
        <v>MOB-HND-VAC-i5-BT</v>
      </c>
      <c r="J16" s="2">
        <f t="shared" si="3"/>
        <v>17</v>
      </c>
      <c r="K16" s="2" t="str">
        <f t="shared" si="4"/>
        <v>MOB</v>
      </c>
      <c r="L16" s="2" t="str">
        <f t="shared" si="5"/>
        <v>HND</v>
      </c>
      <c r="M16" s="2" t="str">
        <f t="shared" si="6"/>
        <v>VAC</v>
      </c>
      <c r="N16" s="2" t="str">
        <f t="shared" si="7"/>
        <v>i5</v>
      </c>
      <c r="O16" s="2" t="str">
        <f t="shared" si="8"/>
        <v>BT</v>
      </c>
      <c r="P16" s="2" t="str">
        <f t="shared" si="9"/>
        <v>Hnd Vac I5-HND VAC energy efficient and compact design-MOB-HND-VAC-i5-BT-17-MOB-HND</v>
      </c>
      <c r="Q16" s="2" t="str">
        <f t="shared" si="10"/>
        <v>Hnd Vac I5-Home Appliance</v>
      </c>
    </row>
    <row r="17" spans="1:17" x14ac:dyDescent="0.3">
      <c r="A17" s="2">
        <v>116</v>
      </c>
      <c r="B17" s="2" t="s">
        <v>54</v>
      </c>
      <c r="C17" s="2" t="s">
        <v>55</v>
      </c>
      <c r="D17" s="2" t="s">
        <v>56</v>
      </c>
      <c r="E17" s="2">
        <v>43566</v>
      </c>
      <c r="F17" s="2" t="s">
        <v>57</v>
      </c>
      <c r="G17" s="2" t="str">
        <f t="shared" si="0"/>
        <v>Hnd Ip13 Ry5</v>
      </c>
      <c r="H17" s="2" t="str">
        <f t="shared" si="1"/>
        <v>HND IP13 lightweight and easy to carry</v>
      </c>
      <c r="I17" s="2" t="str">
        <f t="shared" si="2"/>
        <v>ELC-HND-IP13-Ry5-BT</v>
      </c>
      <c r="J17" s="2">
        <f t="shared" si="3"/>
        <v>19</v>
      </c>
      <c r="K17" s="2" t="str">
        <f t="shared" si="4"/>
        <v>ELC</v>
      </c>
      <c r="L17" s="2" t="str">
        <f t="shared" si="5"/>
        <v>HND</v>
      </c>
      <c r="M17" s="2" t="str">
        <f t="shared" si="6"/>
        <v>IP13</v>
      </c>
      <c r="N17" s="2" t="str">
        <f t="shared" si="7"/>
        <v>Ry5</v>
      </c>
      <c r="O17" s="2" t="str">
        <f t="shared" si="8"/>
        <v>BT</v>
      </c>
      <c r="P17" s="2" t="str">
        <f t="shared" si="9"/>
        <v>Hnd Ip13 Ry5-HND IP13 lightweight and easy to carry-ELC-HND-IP13-Ry5-BT-19-ELC-HND</v>
      </c>
      <c r="Q17" s="2" t="str">
        <f t="shared" si="10"/>
        <v>Hnd Ip13 Ry5-Mobile</v>
      </c>
    </row>
    <row r="18" spans="1:17" x14ac:dyDescent="0.3">
      <c r="A18" s="2">
        <v>117</v>
      </c>
      <c r="B18" s="2" t="s">
        <v>58</v>
      </c>
      <c r="C18" s="2" t="s">
        <v>59</v>
      </c>
      <c r="D18" s="2" t="s">
        <v>56</v>
      </c>
      <c r="E18" s="2">
        <v>16380</v>
      </c>
      <c r="F18" s="2" t="s">
        <v>60</v>
      </c>
      <c r="G18" s="2" t="str">
        <f t="shared" si="0"/>
        <v>Bjr Wmx 64</v>
      </c>
      <c r="H18" s="2" t="str">
        <f t="shared" si="1"/>
        <v>BJR WMX lightweight and easy to carry</v>
      </c>
      <c r="I18" s="2" t="str">
        <f t="shared" si="2"/>
        <v>MOB-BJR-WMX-64-2022</v>
      </c>
      <c r="J18" s="2">
        <f t="shared" si="3"/>
        <v>19</v>
      </c>
      <c r="K18" s="2" t="str">
        <f t="shared" si="4"/>
        <v>MOB</v>
      </c>
      <c r="L18" s="2" t="str">
        <f t="shared" si="5"/>
        <v>BJR</v>
      </c>
      <c r="M18" s="2" t="str">
        <f t="shared" si="6"/>
        <v>WMX</v>
      </c>
      <c r="N18" s="2" t="str">
        <f t="shared" si="7"/>
        <v>64</v>
      </c>
      <c r="O18" s="2" t="str">
        <f t="shared" si="8"/>
        <v>2022</v>
      </c>
      <c r="P18" s="2" t="str">
        <f t="shared" si="9"/>
        <v>Bjr Wmx 64-BJR WMX lightweight and easy to carry-MOB-BJR-WMX-64-2022-19-MOB-BJR</v>
      </c>
      <c r="Q18" s="2" t="str">
        <f t="shared" si="10"/>
        <v>Bjr Wmx 64-Mobile</v>
      </c>
    </row>
    <row r="19" spans="1:17" x14ac:dyDescent="0.3">
      <c r="A19" s="2">
        <v>118</v>
      </c>
      <c r="B19" s="2" t="s">
        <v>61</v>
      </c>
      <c r="C19" s="2" t="s">
        <v>62</v>
      </c>
      <c r="D19" s="2" t="s">
        <v>15</v>
      </c>
      <c r="E19" s="2">
        <v>16208</v>
      </c>
      <c r="F19" s="2" t="s">
        <v>63</v>
      </c>
      <c r="G19" s="2" t="str">
        <f t="shared" si="0"/>
        <v>Phl Tv 20L</v>
      </c>
      <c r="H19" s="2" t="str">
        <f t="shared" si="1"/>
        <v>PHL TV new generation product with enhanced quality</v>
      </c>
      <c r="I19" s="2" t="str">
        <f t="shared" si="2"/>
        <v>HOM-PHL-TV-20L-PRO</v>
      </c>
      <c r="J19" s="2">
        <f t="shared" si="3"/>
        <v>18</v>
      </c>
      <c r="K19" s="2" t="str">
        <f t="shared" si="4"/>
        <v>HOM</v>
      </c>
      <c r="L19" s="2" t="str">
        <f t="shared" si="5"/>
        <v>PHL</v>
      </c>
      <c r="M19" s="2" t="str">
        <f t="shared" si="6"/>
        <v>TV</v>
      </c>
      <c r="N19" s="2" t="str">
        <f t="shared" si="7"/>
        <v>20L</v>
      </c>
      <c r="O19" s="2" t="str">
        <f t="shared" si="8"/>
        <v>PRO</v>
      </c>
      <c r="P19" s="2" t="str">
        <f t="shared" si="9"/>
        <v>Phl Tv 20L-PHL TV new generation product with enhanced quality-HOM-PHL-TV-20L-PRO-18-HOM-PHL</v>
      </c>
      <c r="Q19" s="2" t="str">
        <f t="shared" si="10"/>
        <v>Phl Tv 20L-Electronics</v>
      </c>
    </row>
    <row r="20" spans="1:17" x14ac:dyDescent="0.3">
      <c r="A20" s="2">
        <v>119</v>
      </c>
      <c r="B20" s="2" t="s">
        <v>64</v>
      </c>
      <c r="C20" s="2" t="s">
        <v>65</v>
      </c>
      <c r="D20" s="2" t="s">
        <v>8</v>
      </c>
      <c r="E20" s="2">
        <v>82320</v>
      </c>
      <c r="F20" s="2" t="s">
        <v>66</v>
      </c>
      <c r="G20" s="2" t="str">
        <f t="shared" si="0"/>
        <v>Hvl Ry5 1800</v>
      </c>
      <c r="H20" s="2" t="str">
        <f t="shared" si="1"/>
        <v>HVL Ry5 new generation product with enhanced quality</v>
      </c>
      <c r="I20" s="2" t="str">
        <f t="shared" si="2"/>
        <v>ELC-HVL-Ry5-1800-W</v>
      </c>
      <c r="J20" s="2">
        <f t="shared" si="3"/>
        <v>18</v>
      </c>
      <c r="K20" s="2" t="str">
        <f t="shared" si="4"/>
        <v>ELC</v>
      </c>
      <c r="L20" s="2" t="str">
        <f t="shared" si="5"/>
        <v>HVL</v>
      </c>
      <c r="M20" s="2" t="str">
        <f t="shared" si="6"/>
        <v>Ry5</v>
      </c>
      <c r="N20" s="2" t="str">
        <f t="shared" si="7"/>
        <v>1800</v>
      </c>
      <c r="O20" s="2" t="str">
        <f t="shared" si="8"/>
        <v>W</v>
      </c>
      <c r="P20" s="2" t="str">
        <f t="shared" si="9"/>
        <v>Hvl Ry5 1800-HVL Ry5 new generation product with enhanced quality-ELC-HVL-Ry5-1800-W-18-ELC-HVL</v>
      </c>
      <c r="Q20" s="2" t="str">
        <f t="shared" si="10"/>
        <v>Hvl Ry5 1800-Home Appliance</v>
      </c>
    </row>
    <row r="21" spans="1:17" x14ac:dyDescent="0.3">
      <c r="A21" s="2">
        <v>120</v>
      </c>
      <c r="B21" s="2" t="s">
        <v>67</v>
      </c>
      <c r="C21" s="2" t="s">
        <v>68</v>
      </c>
      <c r="D21" s="2" t="s">
        <v>15</v>
      </c>
      <c r="E21" s="2">
        <v>103647</v>
      </c>
      <c r="F21" s="2" t="s">
        <v>69</v>
      </c>
      <c r="G21" s="2" t="str">
        <f t="shared" si="0"/>
        <v>Gln Vac Ry5</v>
      </c>
      <c r="H21" s="2" t="str">
        <f t="shared" si="1"/>
        <v>GLN VAC powerful performance with great speed</v>
      </c>
      <c r="I21" s="2" t="str">
        <f t="shared" si="2"/>
        <v>MOB-GLN-VAC-Ry5-W</v>
      </c>
      <c r="J21" s="2">
        <f t="shared" si="3"/>
        <v>17</v>
      </c>
      <c r="K21" s="2" t="str">
        <f t="shared" si="4"/>
        <v>MOB</v>
      </c>
      <c r="L21" s="2" t="str">
        <f t="shared" si="5"/>
        <v>GLN</v>
      </c>
      <c r="M21" s="2" t="str">
        <f t="shared" si="6"/>
        <v>VAC</v>
      </c>
      <c r="N21" s="2" t="str">
        <f t="shared" si="7"/>
        <v>Ry5</v>
      </c>
      <c r="O21" s="2" t="str">
        <f t="shared" si="8"/>
        <v>W</v>
      </c>
      <c r="P21" s="2" t="str">
        <f t="shared" si="9"/>
        <v>Gln Vac Ry5-GLN VAC powerful performance with great speed-MOB-GLN-VAC-Ry5-W-17-MOB-GLN</v>
      </c>
      <c r="Q21" s="2" t="str">
        <f t="shared" si="10"/>
        <v>Gln Vac Ry5-Electronics</v>
      </c>
    </row>
    <row r="22" spans="1:17" x14ac:dyDescent="0.3">
      <c r="A22" s="2">
        <v>121</v>
      </c>
      <c r="B22" s="2" t="s">
        <v>70</v>
      </c>
      <c r="C22" s="2" t="s">
        <v>71</v>
      </c>
      <c r="D22" s="2" t="s">
        <v>8</v>
      </c>
      <c r="E22" s="2">
        <v>117698</v>
      </c>
      <c r="F22" s="2" t="s">
        <v>72</v>
      </c>
      <c r="G22" s="2" t="str">
        <f t="shared" si="0"/>
        <v>Son Wac 32</v>
      </c>
      <c r="H22" s="2" t="str">
        <f t="shared" si="1"/>
        <v>SON WAC eco-friendly and cost effective</v>
      </c>
      <c r="I22" s="2" t="str">
        <f t="shared" si="2"/>
        <v>HOM-SON-WAC-32-W</v>
      </c>
      <c r="J22" s="2">
        <f t="shared" si="3"/>
        <v>16</v>
      </c>
      <c r="K22" s="2" t="str">
        <f t="shared" si="4"/>
        <v>HOM</v>
      </c>
      <c r="L22" s="2" t="str">
        <f t="shared" si="5"/>
        <v>SON</v>
      </c>
      <c r="M22" s="2" t="str">
        <f t="shared" si="6"/>
        <v>WAC</v>
      </c>
      <c r="N22" s="2" t="str">
        <f t="shared" si="7"/>
        <v>32</v>
      </c>
      <c r="O22" s="2" t="str">
        <f t="shared" si="8"/>
        <v>W</v>
      </c>
      <c r="P22" s="2" t="str">
        <f t="shared" si="9"/>
        <v>Son Wac 32-SON WAC eco-friendly and cost effective-HOM-SON-WAC-32-W-16-HOM-SON</v>
      </c>
      <c r="Q22" s="2" t="str">
        <f t="shared" si="10"/>
        <v>Son Wac 32-Home Appliance</v>
      </c>
    </row>
    <row r="23" spans="1:17" x14ac:dyDescent="0.3">
      <c r="A23" s="2">
        <v>122</v>
      </c>
      <c r="B23" s="2" t="s">
        <v>73</v>
      </c>
      <c r="C23" s="2" t="s">
        <v>74</v>
      </c>
      <c r="D23" s="2" t="s">
        <v>15</v>
      </c>
      <c r="E23" s="2">
        <v>12543</v>
      </c>
      <c r="F23" s="2" t="s">
        <v>75</v>
      </c>
      <c r="G23" s="2" t="str">
        <f t="shared" si="0"/>
        <v>Hvl Mcr 128</v>
      </c>
      <c r="H23" s="2" t="str">
        <f t="shared" si="1"/>
        <v>HVL MCR latest model with high performance</v>
      </c>
      <c r="I23" s="2" t="str">
        <f t="shared" si="2"/>
        <v>KTC-HVL-MCR-128-W</v>
      </c>
      <c r="J23" s="2">
        <f t="shared" si="3"/>
        <v>17</v>
      </c>
      <c r="K23" s="2" t="str">
        <f t="shared" si="4"/>
        <v>KTC</v>
      </c>
      <c r="L23" s="2" t="str">
        <f t="shared" si="5"/>
        <v>HVL</v>
      </c>
      <c r="M23" s="2" t="str">
        <f t="shared" si="6"/>
        <v>MCR</v>
      </c>
      <c r="N23" s="2" t="str">
        <f t="shared" si="7"/>
        <v>128</v>
      </c>
      <c r="O23" s="2" t="str">
        <f t="shared" si="8"/>
        <v>W</v>
      </c>
      <c r="P23" s="2" t="str">
        <f t="shared" si="9"/>
        <v>Hvl Mcr 128-HVL MCR latest model with high performance-KTC-HVL-MCR-128-W-17-KTC-HVL</v>
      </c>
      <c r="Q23" s="2" t="str">
        <f t="shared" si="10"/>
        <v>Hvl Mcr 128-Electronics</v>
      </c>
    </row>
    <row r="24" spans="1:17" x14ac:dyDescent="0.3">
      <c r="A24" s="2">
        <v>123</v>
      </c>
      <c r="B24" s="2" t="s">
        <v>76</v>
      </c>
      <c r="C24" s="2" t="s">
        <v>77</v>
      </c>
      <c r="D24" s="2" t="s">
        <v>8</v>
      </c>
      <c r="E24" s="2">
        <v>82161</v>
      </c>
      <c r="F24" s="2" t="s">
        <v>78</v>
      </c>
      <c r="G24" s="2" t="str">
        <f t="shared" si="0"/>
        <v>Sms Fan I5</v>
      </c>
      <c r="H24" s="2" t="str">
        <f t="shared" si="1"/>
        <v>SMS FAN powerful performance with great speed</v>
      </c>
      <c r="I24" s="2" t="str">
        <f t="shared" si="2"/>
        <v>KTC-SMS-FAN-i5-BT</v>
      </c>
      <c r="J24" s="2">
        <f t="shared" si="3"/>
        <v>17</v>
      </c>
      <c r="K24" s="2" t="str">
        <f t="shared" si="4"/>
        <v>KTC</v>
      </c>
      <c r="L24" s="2" t="str">
        <f t="shared" si="5"/>
        <v>SMS</v>
      </c>
      <c r="M24" s="2" t="str">
        <f t="shared" si="6"/>
        <v>FAN</v>
      </c>
      <c r="N24" s="2" t="str">
        <f t="shared" si="7"/>
        <v>i5</v>
      </c>
      <c r="O24" s="2" t="str">
        <f t="shared" si="8"/>
        <v>BT</v>
      </c>
      <c r="P24" s="2" t="str">
        <f t="shared" si="9"/>
        <v>Sms Fan I5-SMS FAN powerful performance with great speed-KTC-SMS-FAN-i5-BT-17-KTC-SMS</v>
      </c>
      <c r="Q24" s="2" t="str">
        <f t="shared" si="10"/>
        <v>Sms Fan I5-Home Appliance</v>
      </c>
    </row>
    <row r="25" spans="1:17" x14ac:dyDescent="0.3">
      <c r="A25" s="2">
        <v>124</v>
      </c>
      <c r="B25" s="2" t="s">
        <v>79</v>
      </c>
      <c r="C25" s="2" t="s">
        <v>80</v>
      </c>
      <c r="D25" s="2" t="s">
        <v>25</v>
      </c>
      <c r="E25" s="2">
        <v>89308</v>
      </c>
      <c r="F25" s="2" t="s">
        <v>81</v>
      </c>
      <c r="G25" s="2" t="str">
        <f t="shared" si="0"/>
        <v>Son Mix 1800</v>
      </c>
      <c r="H25" s="2" t="str">
        <f t="shared" si="1"/>
        <v>SON MIX new generation product with enhanced quality</v>
      </c>
      <c r="I25" s="2" t="str">
        <f t="shared" si="2"/>
        <v>KTC-SON-MIX-1800-PRO</v>
      </c>
      <c r="J25" s="2">
        <f t="shared" si="3"/>
        <v>20</v>
      </c>
      <c r="K25" s="2" t="str">
        <f t="shared" si="4"/>
        <v>KTC</v>
      </c>
      <c r="L25" s="2" t="str">
        <f t="shared" si="5"/>
        <v>SON</v>
      </c>
      <c r="M25" s="2" t="str">
        <f t="shared" si="6"/>
        <v>MIX</v>
      </c>
      <c r="N25" s="2" t="str">
        <f t="shared" si="7"/>
        <v>1800</v>
      </c>
      <c r="O25" s="2" t="str">
        <f t="shared" si="8"/>
        <v>PRO</v>
      </c>
      <c r="P25" s="2" t="str">
        <f t="shared" si="9"/>
        <v>Son Mix 1800-SON MIX new generation product with enhanced quality-KTC-SON-MIX-1800-PRO-20-KTC-SON</v>
      </c>
      <c r="Q25" s="2" t="str">
        <f t="shared" si="10"/>
        <v>Son Mix 1800-Kitchen</v>
      </c>
    </row>
    <row r="26" spans="1:17" x14ac:dyDescent="0.3">
      <c r="A26" s="2">
        <v>125</v>
      </c>
      <c r="B26" s="2" t="s">
        <v>82</v>
      </c>
      <c r="C26" s="2" t="s">
        <v>83</v>
      </c>
      <c r="D26" s="2" t="s">
        <v>15</v>
      </c>
      <c r="E26" s="2">
        <v>56037</v>
      </c>
      <c r="F26" s="2" t="s">
        <v>84</v>
      </c>
      <c r="G26" s="2" t="str">
        <f t="shared" si="0"/>
        <v>Whl Jce 64</v>
      </c>
      <c r="H26" s="2" t="str">
        <f t="shared" si="1"/>
        <v>WHL JCE stylish and durable build</v>
      </c>
      <c r="I26" s="2" t="str">
        <f t="shared" si="2"/>
        <v>MOB-WHL-JCE-64-PRO</v>
      </c>
      <c r="J26" s="2">
        <f t="shared" si="3"/>
        <v>18</v>
      </c>
      <c r="K26" s="2" t="str">
        <f t="shared" si="4"/>
        <v>MOB</v>
      </c>
      <c r="L26" s="2" t="str">
        <f t="shared" si="5"/>
        <v>WHL</v>
      </c>
      <c r="M26" s="2" t="str">
        <f t="shared" si="6"/>
        <v>JCE</v>
      </c>
      <c r="N26" s="2" t="str">
        <f t="shared" si="7"/>
        <v>64</v>
      </c>
      <c r="O26" s="2" t="str">
        <f t="shared" si="8"/>
        <v>PRO</v>
      </c>
      <c r="P26" s="2" t="str">
        <f t="shared" si="9"/>
        <v>Whl Jce 64-WHL JCE stylish and durable build-MOB-WHL-JCE-64-PRO-18-MOB-WHL</v>
      </c>
      <c r="Q26" s="2" t="str">
        <f t="shared" si="10"/>
        <v>Whl Jce 64-Electronics</v>
      </c>
    </row>
    <row r="27" spans="1:17" x14ac:dyDescent="0.3">
      <c r="A27" s="2">
        <v>126</v>
      </c>
      <c r="B27" s="2" t="s">
        <v>85</v>
      </c>
      <c r="C27" s="2" t="s">
        <v>86</v>
      </c>
      <c r="D27" s="2" t="s">
        <v>25</v>
      </c>
      <c r="E27" s="2">
        <v>26996</v>
      </c>
      <c r="F27" s="2" t="s">
        <v>87</v>
      </c>
      <c r="G27" s="2" t="str">
        <f t="shared" si="0"/>
        <v>Phl Ip13 1L</v>
      </c>
      <c r="H27" s="2" t="str">
        <f t="shared" si="1"/>
        <v>PHL IP13 advanced features with sleek design</v>
      </c>
      <c r="I27" s="2" t="str">
        <f t="shared" si="2"/>
        <v>MOB-PHL-IP13-1L-2022</v>
      </c>
      <c r="J27" s="2">
        <f t="shared" si="3"/>
        <v>20</v>
      </c>
      <c r="K27" s="2" t="str">
        <f t="shared" si="4"/>
        <v>MOB</v>
      </c>
      <c r="L27" s="2" t="str">
        <f t="shared" si="5"/>
        <v>PHL</v>
      </c>
      <c r="M27" s="2" t="str">
        <f t="shared" si="6"/>
        <v>IP13</v>
      </c>
      <c r="N27" s="2" t="str">
        <f t="shared" si="7"/>
        <v>1L</v>
      </c>
      <c r="O27" s="2" t="str">
        <f t="shared" si="8"/>
        <v>2022</v>
      </c>
      <c r="P27" s="2" t="str">
        <f t="shared" si="9"/>
        <v>Phl Ip13 1L-PHL IP13 advanced features with sleek design-MOB-PHL-IP13-1L-2022-20-MOB-PHL</v>
      </c>
      <c r="Q27" s="2" t="str">
        <f t="shared" si="10"/>
        <v>Phl Ip13 1L-Kitchen</v>
      </c>
    </row>
    <row r="28" spans="1:17" x14ac:dyDescent="0.3">
      <c r="A28" s="2">
        <v>127</v>
      </c>
      <c r="B28" s="2" t="s">
        <v>88</v>
      </c>
      <c r="C28" s="2" t="s">
        <v>89</v>
      </c>
      <c r="D28" s="2" t="s">
        <v>8</v>
      </c>
      <c r="E28" s="2">
        <v>80871</v>
      </c>
      <c r="F28" s="2" t="s">
        <v>90</v>
      </c>
      <c r="G28" s="2" t="str">
        <f t="shared" si="0"/>
        <v>Prt Wac 20L</v>
      </c>
      <c r="H28" s="2" t="str">
        <f t="shared" si="1"/>
        <v>PRT WAC energy efficient and compact design</v>
      </c>
      <c r="I28" s="2" t="str">
        <f t="shared" si="2"/>
        <v>KTC-PRT-WAC-20L-PM</v>
      </c>
      <c r="J28" s="2">
        <f t="shared" si="3"/>
        <v>18</v>
      </c>
      <c r="K28" s="2" t="str">
        <f t="shared" si="4"/>
        <v>KTC</v>
      </c>
      <c r="L28" s="2" t="str">
        <f t="shared" si="5"/>
        <v>PRT</v>
      </c>
      <c r="M28" s="2" t="str">
        <f t="shared" si="6"/>
        <v>WAC</v>
      </c>
      <c r="N28" s="2" t="str">
        <f t="shared" si="7"/>
        <v>20L</v>
      </c>
      <c r="O28" s="2" t="str">
        <f t="shared" si="8"/>
        <v>PM</v>
      </c>
      <c r="P28" s="2" t="str">
        <f t="shared" si="9"/>
        <v>Prt Wac 20L-PRT WAC energy efficient and compact design-KTC-PRT-WAC-20L-PM-18-KTC-PRT</v>
      </c>
      <c r="Q28" s="2" t="str">
        <f t="shared" si="10"/>
        <v>Prt Wac 20L-Home Appliance</v>
      </c>
    </row>
    <row r="29" spans="1:17" x14ac:dyDescent="0.3">
      <c r="A29" s="2">
        <v>128</v>
      </c>
      <c r="B29" s="2" t="s">
        <v>91</v>
      </c>
      <c r="C29" s="2" t="s">
        <v>92</v>
      </c>
      <c r="D29" s="2" t="s">
        <v>8</v>
      </c>
      <c r="E29" s="2">
        <v>60633</v>
      </c>
      <c r="F29" s="2" t="s">
        <v>93</v>
      </c>
      <c r="G29" s="2" t="str">
        <f t="shared" si="0"/>
        <v>Bjr Y55 I5</v>
      </c>
      <c r="H29" s="2" t="str">
        <f t="shared" si="1"/>
        <v>BJR Y55 lightweight and easy to carry</v>
      </c>
      <c r="I29" s="2" t="str">
        <f t="shared" si="2"/>
        <v>KTC-BJR-Y55-i5-PM</v>
      </c>
      <c r="J29" s="2">
        <f t="shared" si="3"/>
        <v>17</v>
      </c>
      <c r="K29" s="2" t="str">
        <f t="shared" si="4"/>
        <v>KTC</v>
      </c>
      <c r="L29" s="2" t="str">
        <f t="shared" si="5"/>
        <v>BJR</v>
      </c>
      <c r="M29" s="2" t="str">
        <f t="shared" si="6"/>
        <v>Y55</v>
      </c>
      <c r="N29" s="2" t="str">
        <f t="shared" si="7"/>
        <v>i5</v>
      </c>
      <c r="O29" s="2" t="str">
        <f t="shared" si="8"/>
        <v>PM</v>
      </c>
      <c r="P29" s="2" t="str">
        <f t="shared" si="9"/>
        <v>Bjr Y55 I5-BJR Y55 lightweight and easy to carry-KTC-BJR-Y55-i5-PM-17-KTC-BJR</v>
      </c>
      <c r="Q29" s="2" t="str">
        <f t="shared" si="10"/>
        <v>Bjr Y55 I5-Home Appliance</v>
      </c>
    </row>
    <row r="30" spans="1:17" x14ac:dyDescent="0.3">
      <c r="A30" s="2">
        <v>129</v>
      </c>
      <c r="B30" s="2" t="s">
        <v>94</v>
      </c>
      <c r="C30" s="2" t="s">
        <v>95</v>
      </c>
      <c r="D30" s="2" t="s">
        <v>8</v>
      </c>
      <c r="E30" s="2">
        <v>80653</v>
      </c>
      <c r="F30" s="2" t="s">
        <v>96</v>
      </c>
      <c r="G30" s="2" t="str">
        <f t="shared" si="0"/>
        <v>Dll Cof 1L</v>
      </c>
      <c r="H30" s="2" t="str">
        <f t="shared" si="1"/>
        <v>DLL COF powerful performance with great speed</v>
      </c>
      <c r="I30" s="2" t="str">
        <f t="shared" si="2"/>
        <v>MOB-DLL-COF-1L-MM</v>
      </c>
      <c r="J30" s="2">
        <f t="shared" si="3"/>
        <v>17</v>
      </c>
      <c r="K30" s="2" t="str">
        <f t="shared" si="4"/>
        <v>MOB</v>
      </c>
      <c r="L30" s="2" t="str">
        <f t="shared" si="5"/>
        <v>DLL</v>
      </c>
      <c r="M30" s="2" t="str">
        <f t="shared" si="6"/>
        <v>COF</v>
      </c>
      <c r="N30" s="2" t="str">
        <f t="shared" si="7"/>
        <v>1L</v>
      </c>
      <c r="O30" s="2" t="str">
        <f t="shared" si="8"/>
        <v>MM</v>
      </c>
      <c r="P30" s="2" t="str">
        <f t="shared" si="9"/>
        <v>Dll Cof 1L-DLL COF powerful performance with great speed-MOB-DLL-COF-1L-MM-17-MOB-DLL</v>
      </c>
      <c r="Q30" s="2" t="str">
        <f t="shared" si="10"/>
        <v>Dll Cof 1L-Home Appliance</v>
      </c>
    </row>
    <row r="31" spans="1:17" x14ac:dyDescent="0.3">
      <c r="A31" s="2">
        <v>130</v>
      </c>
      <c r="B31" s="2" t="s">
        <v>97</v>
      </c>
      <c r="C31" s="2" t="s">
        <v>98</v>
      </c>
      <c r="D31" s="2" t="s">
        <v>15</v>
      </c>
      <c r="E31" s="2">
        <v>90690</v>
      </c>
      <c r="F31" s="2" t="s">
        <v>99</v>
      </c>
      <c r="G31" s="2" t="str">
        <f t="shared" si="0"/>
        <v>Dll Y55 64</v>
      </c>
      <c r="H31" s="2" t="str">
        <f t="shared" si="1"/>
        <v>DLL Y55 latest model with high performance</v>
      </c>
      <c r="I31" s="2" t="str">
        <f t="shared" si="2"/>
        <v>HOM-DLL-Y55-64-BT</v>
      </c>
      <c r="J31" s="2">
        <f t="shared" si="3"/>
        <v>17</v>
      </c>
      <c r="K31" s="2" t="str">
        <f t="shared" si="4"/>
        <v>HOM</v>
      </c>
      <c r="L31" s="2" t="str">
        <f t="shared" si="5"/>
        <v>DLL</v>
      </c>
      <c r="M31" s="2" t="str">
        <f t="shared" si="6"/>
        <v>Y55</v>
      </c>
      <c r="N31" s="2" t="str">
        <f t="shared" si="7"/>
        <v>64</v>
      </c>
      <c r="O31" s="2" t="str">
        <f t="shared" si="8"/>
        <v>BT</v>
      </c>
      <c r="P31" s="2" t="str">
        <f t="shared" si="9"/>
        <v>Dll Y55 64-DLL Y55 latest model with high performance-HOM-DLL-Y55-64-BT-17-HOM-DLL</v>
      </c>
      <c r="Q31" s="2" t="str">
        <f t="shared" si="10"/>
        <v>Dll Y55 64-Electronics</v>
      </c>
    </row>
    <row r="32" spans="1:17" x14ac:dyDescent="0.3">
      <c r="A32" s="2">
        <v>131</v>
      </c>
      <c r="B32" s="2" t="s">
        <v>100</v>
      </c>
      <c r="C32" s="2" t="s">
        <v>101</v>
      </c>
      <c r="D32" s="2" t="s">
        <v>15</v>
      </c>
      <c r="E32" s="2">
        <v>106554</v>
      </c>
      <c r="F32" s="2" t="s">
        <v>102</v>
      </c>
      <c r="G32" s="2" t="str">
        <f t="shared" si="0"/>
        <v>Rmi A24 20L</v>
      </c>
      <c r="H32" s="2" t="str">
        <f t="shared" si="1"/>
        <v>RMI A24 energy efficient and compact design</v>
      </c>
      <c r="I32" s="2" t="str">
        <f t="shared" si="2"/>
        <v>MOB-RMI-A24-20L-2023</v>
      </c>
      <c r="J32" s="2">
        <f t="shared" si="3"/>
        <v>20</v>
      </c>
      <c r="K32" s="2" t="str">
        <f t="shared" si="4"/>
        <v>MOB</v>
      </c>
      <c r="L32" s="2" t="str">
        <f t="shared" si="5"/>
        <v>RMI</v>
      </c>
      <c r="M32" s="2" t="str">
        <f t="shared" si="6"/>
        <v>A24</v>
      </c>
      <c r="N32" s="2" t="str">
        <f t="shared" si="7"/>
        <v>20L</v>
      </c>
      <c r="O32" s="2" t="str">
        <f t="shared" si="8"/>
        <v>2023</v>
      </c>
      <c r="P32" s="2" t="str">
        <f t="shared" si="9"/>
        <v>Rmi A24 20L-RMI A24 energy efficient and compact design-MOB-RMI-A24-20L-2023-20-MOB-RMI</v>
      </c>
      <c r="Q32" s="2" t="str">
        <f t="shared" si="10"/>
        <v>Rmi A24 20L-Electronics</v>
      </c>
    </row>
    <row r="33" spans="1:17" x14ac:dyDescent="0.3">
      <c r="A33" s="2">
        <v>132</v>
      </c>
      <c r="B33" s="2" t="s">
        <v>103</v>
      </c>
      <c r="C33" s="2" t="s">
        <v>104</v>
      </c>
      <c r="D33" s="2" t="s">
        <v>8</v>
      </c>
      <c r="E33" s="2">
        <v>76497</v>
      </c>
      <c r="F33" s="2" t="s">
        <v>105</v>
      </c>
      <c r="G33" s="2" t="str">
        <f t="shared" si="0"/>
        <v>Apl Spk 128</v>
      </c>
      <c r="H33" s="2" t="str">
        <f t="shared" si="1"/>
        <v>APL SPK premium material and smooth finish</v>
      </c>
      <c r="I33" s="2" t="str">
        <f t="shared" si="2"/>
        <v>MOB-APL-SPK-128-BT</v>
      </c>
      <c r="J33" s="2">
        <f t="shared" si="3"/>
        <v>18</v>
      </c>
      <c r="K33" s="2" t="str">
        <f t="shared" si="4"/>
        <v>MOB</v>
      </c>
      <c r="L33" s="2" t="str">
        <f t="shared" si="5"/>
        <v>APL</v>
      </c>
      <c r="M33" s="2" t="str">
        <f t="shared" si="6"/>
        <v>SPK</v>
      </c>
      <c r="N33" s="2" t="str">
        <f t="shared" si="7"/>
        <v>128</v>
      </c>
      <c r="O33" s="2" t="str">
        <f t="shared" si="8"/>
        <v>BT</v>
      </c>
      <c r="P33" s="2" t="str">
        <f t="shared" si="9"/>
        <v>Apl Spk 128-APL SPK premium material and smooth finish-MOB-APL-SPK-128-BT-18-MOB-APL</v>
      </c>
      <c r="Q33" s="2" t="str">
        <f t="shared" si="10"/>
        <v>Apl Spk 128-Home Appliance</v>
      </c>
    </row>
    <row r="34" spans="1:17" x14ac:dyDescent="0.3">
      <c r="A34" s="2">
        <v>133</v>
      </c>
      <c r="B34" s="2" t="s">
        <v>106</v>
      </c>
      <c r="C34" s="2" t="s">
        <v>107</v>
      </c>
      <c r="D34" s="2" t="s">
        <v>15</v>
      </c>
      <c r="E34" s="2">
        <v>18327</v>
      </c>
      <c r="F34" s="2" t="s">
        <v>108</v>
      </c>
      <c r="G34" s="2" t="str">
        <f t="shared" si="0"/>
        <v>Gln Jce 32</v>
      </c>
      <c r="H34" s="2" t="str">
        <f t="shared" si="1"/>
        <v>GLN JCE powerful performance with great speed</v>
      </c>
      <c r="I34" s="2" t="str">
        <f t="shared" si="2"/>
        <v>ELC-GLN-JCE-32-G11</v>
      </c>
      <c r="J34" s="2">
        <f t="shared" si="3"/>
        <v>18</v>
      </c>
      <c r="K34" s="2" t="str">
        <f t="shared" si="4"/>
        <v>ELC</v>
      </c>
      <c r="L34" s="2" t="str">
        <f t="shared" si="5"/>
        <v>GLN</v>
      </c>
      <c r="M34" s="2" t="str">
        <f t="shared" si="6"/>
        <v>JCE</v>
      </c>
      <c r="N34" s="2" t="str">
        <f t="shared" si="7"/>
        <v>32</v>
      </c>
      <c r="O34" s="2" t="str">
        <f t="shared" si="8"/>
        <v>G11</v>
      </c>
      <c r="P34" s="2" t="str">
        <f t="shared" si="9"/>
        <v>Gln Jce 32-GLN JCE powerful performance with great speed-ELC-GLN-JCE-32-G11-18-ELC-GLN</v>
      </c>
      <c r="Q34" s="2" t="str">
        <f t="shared" si="10"/>
        <v>Gln Jce 32-Electronics</v>
      </c>
    </row>
    <row r="35" spans="1:17" x14ac:dyDescent="0.3">
      <c r="A35" s="2">
        <v>134</v>
      </c>
      <c r="B35" s="2" t="s">
        <v>109</v>
      </c>
      <c r="C35" s="2" t="s">
        <v>110</v>
      </c>
      <c r="D35" s="2" t="s">
        <v>15</v>
      </c>
      <c r="E35" s="2">
        <v>28544</v>
      </c>
      <c r="F35" s="2" t="s">
        <v>111</v>
      </c>
      <c r="G35" s="2" t="str">
        <f t="shared" si="0"/>
        <v>Xmi Mix 64</v>
      </c>
      <c r="H35" s="2" t="str">
        <f t="shared" si="1"/>
        <v>XMI MIX stylish and durable build</v>
      </c>
      <c r="I35" s="2" t="str">
        <f t="shared" si="2"/>
        <v>ELC-XMI-MIX-64-MM</v>
      </c>
      <c r="J35" s="2">
        <f t="shared" si="3"/>
        <v>17</v>
      </c>
      <c r="K35" s="2" t="str">
        <f t="shared" si="4"/>
        <v>ELC</v>
      </c>
      <c r="L35" s="2" t="str">
        <f t="shared" si="5"/>
        <v>XMI</v>
      </c>
      <c r="M35" s="2" t="str">
        <f t="shared" si="6"/>
        <v>MIX</v>
      </c>
      <c r="N35" s="2" t="str">
        <f t="shared" si="7"/>
        <v>64</v>
      </c>
      <c r="O35" s="2" t="str">
        <f t="shared" si="8"/>
        <v>MM</v>
      </c>
      <c r="P35" s="2" t="str">
        <f t="shared" si="9"/>
        <v>Xmi Mix 64-XMI MIX stylish and durable build-ELC-XMI-MIX-64-MM-17-ELC-XMI</v>
      </c>
      <c r="Q35" s="2" t="str">
        <f t="shared" si="10"/>
        <v>Xmi Mix 64-Electronics</v>
      </c>
    </row>
    <row r="36" spans="1:17" x14ac:dyDescent="0.3">
      <c r="A36" s="2">
        <v>135</v>
      </c>
      <c r="B36" s="2" t="s">
        <v>112</v>
      </c>
      <c r="C36" s="2" t="s">
        <v>113</v>
      </c>
      <c r="D36" s="2" t="s">
        <v>15</v>
      </c>
      <c r="E36" s="2">
        <v>69571</v>
      </c>
      <c r="F36" s="2" t="s">
        <v>114</v>
      </c>
      <c r="G36" s="2" t="str">
        <f t="shared" si="0"/>
        <v>Opp Jce 2200</v>
      </c>
      <c r="H36" s="2" t="str">
        <f t="shared" si="1"/>
        <v>OPP JCE lightweight and easy to carry</v>
      </c>
      <c r="I36" s="2" t="str">
        <f t="shared" si="2"/>
        <v>MOB-OPP-JCE-2200-BT</v>
      </c>
      <c r="J36" s="2">
        <f t="shared" si="3"/>
        <v>19</v>
      </c>
      <c r="K36" s="2" t="str">
        <f t="shared" si="4"/>
        <v>MOB</v>
      </c>
      <c r="L36" s="2" t="str">
        <f t="shared" si="5"/>
        <v>OPP</v>
      </c>
      <c r="M36" s="2" t="str">
        <f t="shared" si="6"/>
        <v>JCE</v>
      </c>
      <c r="N36" s="2" t="str">
        <f t="shared" si="7"/>
        <v>2200</v>
      </c>
      <c r="O36" s="2" t="str">
        <f t="shared" si="8"/>
        <v>BT</v>
      </c>
      <c r="P36" s="2" t="str">
        <f t="shared" si="9"/>
        <v>Opp Jce 2200-OPP JCE lightweight and easy to carry-MOB-OPP-JCE-2200-BT-19-MOB-OPP</v>
      </c>
      <c r="Q36" s="2" t="str">
        <f t="shared" si="10"/>
        <v>Opp Jce 2200-Electronics</v>
      </c>
    </row>
    <row r="37" spans="1:17" x14ac:dyDescent="0.3">
      <c r="A37" s="2">
        <v>136</v>
      </c>
      <c r="B37" s="2" t="s">
        <v>115</v>
      </c>
      <c r="C37" s="2" t="s">
        <v>116</v>
      </c>
      <c r="D37" s="2" t="s">
        <v>56</v>
      </c>
      <c r="E37" s="2">
        <v>24671</v>
      </c>
      <c r="F37" s="2" t="s">
        <v>117</v>
      </c>
      <c r="G37" s="2" t="str">
        <f t="shared" si="0"/>
        <v>Opp Y55 750</v>
      </c>
      <c r="H37" s="2" t="str">
        <f t="shared" si="1"/>
        <v>OPP Y55 stylish and durable build</v>
      </c>
      <c r="I37" s="2" t="str">
        <f t="shared" si="2"/>
        <v>HOM-OPP-Y55-750-BT</v>
      </c>
      <c r="J37" s="2">
        <f t="shared" si="3"/>
        <v>18</v>
      </c>
      <c r="K37" s="2" t="str">
        <f t="shared" si="4"/>
        <v>HOM</v>
      </c>
      <c r="L37" s="2" t="str">
        <f t="shared" si="5"/>
        <v>OPP</v>
      </c>
      <c r="M37" s="2" t="str">
        <f t="shared" si="6"/>
        <v>Y55</v>
      </c>
      <c r="N37" s="2" t="str">
        <f t="shared" si="7"/>
        <v>750</v>
      </c>
      <c r="O37" s="2" t="str">
        <f t="shared" si="8"/>
        <v>BT</v>
      </c>
      <c r="P37" s="2" t="str">
        <f t="shared" si="9"/>
        <v>Opp Y55 750-OPP Y55 stylish and durable build-HOM-OPP-Y55-750-BT-18-HOM-OPP</v>
      </c>
      <c r="Q37" s="2" t="str">
        <f t="shared" si="10"/>
        <v>Opp Y55 750-Mobile</v>
      </c>
    </row>
    <row r="38" spans="1:17" x14ac:dyDescent="0.3">
      <c r="A38" s="2">
        <v>137</v>
      </c>
      <c r="B38" s="2" t="s">
        <v>118</v>
      </c>
      <c r="C38" s="2" t="s">
        <v>119</v>
      </c>
      <c r="D38" s="2" t="s">
        <v>25</v>
      </c>
      <c r="E38" s="2">
        <v>64161</v>
      </c>
      <c r="F38" s="2" t="s">
        <v>120</v>
      </c>
      <c r="G38" s="2" t="str">
        <f t="shared" si="0"/>
        <v>Whl Irn Ry5</v>
      </c>
      <c r="H38" s="2" t="str">
        <f t="shared" si="1"/>
        <v>WHL IRN stylish and durable build</v>
      </c>
      <c r="I38" s="2" t="str">
        <f t="shared" si="2"/>
        <v>KTC-WHL-IRN-Ry5-W</v>
      </c>
      <c r="J38" s="2">
        <f t="shared" si="3"/>
        <v>17</v>
      </c>
      <c r="K38" s="2" t="str">
        <f t="shared" si="4"/>
        <v>KTC</v>
      </c>
      <c r="L38" s="2" t="str">
        <f t="shared" si="5"/>
        <v>WHL</v>
      </c>
      <c r="M38" s="2" t="str">
        <f t="shared" si="6"/>
        <v>IRN</v>
      </c>
      <c r="N38" s="2" t="str">
        <f t="shared" si="7"/>
        <v>Ry5</v>
      </c>
      <c r="O38" s="2" t="str">
        <f t="shared" si="8"/>
        <v>W</v>
      </c>
      <c r="P38" s="2" t="str">
        <f t="shared" si="9"/>
        <v>Whl Irn Ry5-WHL IRN stylish and durable build-KTC-WHL-IRN-Ry5-W-17-KTC-WHL</v>
      </c>
      <c r="Q38" s="2" t="str">
        <f t="shared" si="10"/>
        <v>Whl Irn Ry5-Kitchen</v>
      </c>
    </row>
    <row r="39" spans="1:17" x14ac:dyDescent="0.3">
      <c r="A39" s="2">
        <v>138</v>
      </c>
      <c r="B39" s="2" t="s">
        <v>121</v>
      </c>
      <c r="C39" s="2" t="s">
        <v>122</v>
      </c>
      <c r="D39" s="2" t="s">
        <v>25</v>
      </c>
      <c r="E39" s="2">
        <v>46997</v>
      </c>
      <c r="F39" s="2" t="s">
        <v>123</v>
      </c>
      <c r="G39" s="2" t="str">
        <f t="shared" si="0"/>
        <v>Opp Irn I5</v>
      </c>
      <c r="H39" s="2" t="str">
        <f t="shared" si="1"/>
        <v>OPP IRN energy efficient and compact design</v>
      </c>
      <c r="I39" s="2" t="str">
        <f t="shared" si="2"/>
        <v>ELC-OPP-IRN-i5-PM</v>
      </c>
      <c r="J39" s="2">
        <f t="shared" si="3"/>
        <v>17</v>
      </c>
      <c r="K39" s="2" t="str">
        <f t="shared" si="4"/>
        <v>ELC</v>
      </c>
      <c r="L39" s="2" t="str">
        <f t="shared" si="5"/>
        <v>OPP</v>
      </c>
      <c r="M39" s="2" t="str">
        <f t="shared" si="6"/>
        <v>IRN</v>
      </c>
      <c r="N39" s="2" t="str">
        <f t="shared" si="7"/>
        <v>i5</v>
      </c>
      <c r="O39" s="2" t="str">
        <f t="shared" si="8"/>
        <v>PM</v>
      </c>
      <c r="P39" s="2" t="str">
        <f t="shared" si="9"/>
        <v>Opp Irn I5-OPP IRN energy efficient and compact design-ELC-OPP-IRN-i5-PM-17-ELC-OPP</v>
      </c>
      <c r="Q39" s="2" t="str">
        <f t="shared" si="10"/>
        <v>Opp Irn I5-Kitchen</v>
      </c>
    </row>
    <row r="40" spans="1:17" x14ac:dyDescent="0.3">
      <c r="A40" s="2">
        <v>139</v>
      </c>
      <c r="B40" s="2" t="s">
        <v>124</v>
      </c>
      <c r="C40" s="2" t="s">
        <v>125</v>
      </c>
      <c r="D40" s="2" t="s">
        <v>15</v>
      </c>
      <c r="E40" s="2">
        <v>79926</v>
      </c>
      <c r="F40" s="2" t="s">
        <v>126</v>
      </c>
      <c r="G40" s="2" t="str">
        <f t="shared" si="0"/>
        <v>Hp Mwo 512</v>
      </c>
      <c r="H40" s="2" t="str">
        <f t="shared" si="1"/>
        <v>HP MWO advanced features with sleek design</v>
      </c>
      <c r="I40" s="2" t="str">
        <f t="shared" si="2"/>
        <v>HOM-HP-MWO-512-G11</v>
      </c>
      <c r="J40" s="2">
        <f t="shared" si="3"/>
        <v>18</v>
      </c>
      <c r="K40" s="2" t="str">
        <f t="shared" si="4"/>
        <v>HOM</v>
      </c>
      <c r="L40" s="2" t="str">
        <f t="shared" si="5"/>
        <v>HP</v>
      </c>
      <c r="M40" s="2" t="str">
        <f t="shared" si="6"/>
        <v>MWO</v>
      </c>
      <c r="N40" s="2" t="str">
        <f t="shared" si="7"/>
        <v>512</v>
      </c>
      <c r="O40" s="2" t="str">
        <f t="shared" si="8"/>
        <v>G11</v>
      </c>
      <c r="P40" s="2" t="str">
        <f t="shared" si="9"/>
        <v>Hp Mwo 512-HP MWO advanced features with sleek design-HOM-HP-MWO-512-G11-18-HOM-HP</v>
      </c>
      <c r="Q40" s="2" t="str">
        <f t="shared" si="10"/>
        <v>Hp Mwo 512-Electronics</v>
      </c>
    </row>
    <row r="41" spans="1:17" x14ac:dyDescent="0.3">
      <c r="A41" s="2">
        <v>140</v>
      </c>
      <c r="B41" s="2" t="s">
        <v>127</v>
      </c>
      <c r="C41" s="2" t="s">
        <v>128</v>
      </c>
      <c r="D41" s="2" t="s">
        <v>56</v>
      </c>
      <c r="E41" s="2">
        <v>38261</v>
      </c>
      <c r="F41" s="2" t="s">
        <v>129</v>
      </c>
      <c r="G41" s="2" t="str">
        <f t="shared" si="0"/>
        <v>Hnd Jce I7</v>
      </c>
      <c r="H41" s="2" t="str">
        <f t="shared" si="1"/>
        <v>HND JCE powerful performance with great speed</v>
      </c>
      <c r="I41" s="2" t="str">
        <f t="shared" si="2"/>
        <v>ELC-HND-JCE-i7-PRO</v>
      </c>
      <c r="J41" s="2">
        <f t="shared" si="3"/>
        <v>18</v>
      </c>
      <c r="K41" s="2" t="str">
        <f t="shared" si="4"/>
        <v>ELC</v>
      </c>
      <c r="L41" s="2" t="str">
        <f t="shared" si="5"/>
        <v>HND</v>
      </c>
      <c r="M41" s="2" t="str">
        <f t="shared" si="6"/>
        <v>JCE</v>
      </c>
      <c r="N41" s="2" t="str">
        <f t="shared" si="7"/>
        <v>i7</v>
      </c>
      <c r="O41" s="2" t="str">
        <f t="shared" si="8"/>
        <v>PRO</v>
      </c>
      <c r="P41" s="2" t="str">
        <f t="shared" si="9"/>
        <v>Hnd Jce I7-HND JCE powerful performance with great speed-ELC-HND-JCE-i7-PRO-18-ELC-HND</v>
      </c>
      <c r="Q41" s="2" t="str">
        <f t="shared" si="10"/>
        <v>Hnd Jce I7-Mobile</v>
      </c>
    </row>
    <row r="42" spans="1:17" x14ac:dyDescent="0.3">
      <c r="A42" s="2">
        <v>141</v>
      </c>
      <c r="B42" s="2" t="s">
        <v>130</v>
      </c>
      <c r="C42" s="2" t="s">
        <v>131</v>
      </c>
      <c r="D42" s="2" t="s">
        <v>56</v>
      </c>
      <c r="E42" s="2">
        <v>64382</v>
      </c>
      <c r="F42" s="2" t="s">
        <v>132</v>
      </c>
      <c r="G42" s="2" t="str">
        <f t="shared" si="0"/>
        <v>Rmi Ip13 1800</v>
      </c>
      <c r="H42" s="2" t="str">
        <f t="shared" si="1"/>
        <v>RMI IP13 advanced features with sleek design</v>
      </c>
      <c r="I42" s="2" t="str">
        <f t="shared" si="2"/>
        <v>KTC-RMI-IP13-1800-G11</v>
      </c>
      <c r="J42" s="2">
        <f t="shared" si="3"/>
        <v>21</v>
      </c>
      <c r="K42" s="2" t="str">
        <f t="shared" si="4"/>
        <v>KTC</v>
      </c>
      <c r="L42" s="2" t="str">
        <f t="shared" si="5"/>
        <v>RMI</v>
      </c>
      <c r="M42" s="2" t="str">
        <f t="shared" si="6"/>
        <v>IP13</v>
      </c>
      <c r="N42" s="2" t="str">
        <f t="shared" si="7"/>
        <v>1800</v>
      </c>
      <c r="O42" s="2" t="str">
        <f t="shared" si="8"/>
        <v>G11</v>
      </c>
      <c r="P42" s="2" t="str">
        <f t="shared" si="9"/>
        <v>Rmi Ip13 1800-RMI IP13 advanced features with sleek design-KTC-RMI-IP13-1800-G11-21-KTC-RMI</v>
      </c>
      <c r="Q42" s="2" t="str">
        <f t="shared" si="10"/>
        <v>Rmi Ip13 1800-Mobile</v>
      </c>
    </row>
    <row r="43" spans="1:17" x14ac:dyDescent="0.3">
      <c r="A43" s="2">
        <v>142</v>
      </c>
      <c r="B43" s="2" t="s">
        <v>133</v>
      </c>
      <c r="C43" s="2" t="s">
        <v>134</v>
      </c>
      <c r="D43" s="2" t="s">
        <v>56</v>
      </c>
      <c r="E43" s="2">
        <v>57041</v>
      </c>
      <c r="F43" s="2" t="s">
        <v>135</v>
      </c>
      <c r="G43" s="2" t="str">
        <f t="shared" si="0"/>
        <v>Hnd Mwo I7</v>
      </c>
      <c r="H43" s="2" t="str">
        <f t="shared" si="1"/>
        <v>HND MWO powerful performance with great speed</v>
      </c>
      <c r="I43" s="2" t="str">
        <f t="shared" si="2"/>
        <v>HOM-HND-MWO-i7-PRO</v>
      </c>
      <c r="J43" s="2">
        <f t="shared" si="3"/>
        <v>18</v>
      </c>
      <c r="K43" s="2" t="str">
        <f t="shared" si="4"/>
        <v>HOM</v>
      </c>
      <c r="L43" s="2" t="str">
        <f t="shared" si="5"/>
        <v>HND</v>
      </c>
      <c r="M43" s="2" t="str">
        <f t="shared" si="6"/>
        <v>MWO</v>
      </c>
      <c r="N43" s="2" t="str">
        <f t="shared" si="7"/>
        <v>i7</v>
      </c>
      <c r="O43" s="2" t="str">
        <f t="shared" si="8"/>
        <v>PRO</v>
      </c>
      <c r="P43" s="2" t="str">
        <f t="shared" si="9"/>
        <v>Hnd Mwo I7-HND MWO powerful performance with great speed-HOM-HND-MWO-i7-PRO-18-HOM-HND</v>
      </c>
      <c r="Q43" s="2" t="str">
        <f t="shared" si="10"/>
        <v>Hnd Mwo I7-Mobile</v>
      </c>
    </row>
    <row r="44" spans="1:17" x14ac:dyDescent="0.3">
      <c r="A44" s="2">
        <v>143</v>
      </c>
      <c r="B44" s="2" t="s">
        <v>136</v>
      </c>
      <c r="C44" s="2" t="s">
        <v>137</v>
      </c>
      <c r="D44" s="2" t="s">
        <v>8</v>
      </c>
      <c r="E44" s="2">
        <v>118940</v>
      </c>
      <c r="F44" s="2" t="s">
        <v>138</v>
      </c>
      <c r="G44" s="2" t="str">
        <f t="shared" si="0"/>
        <v>Pgn Vac 1800</v>
      </c>
      <c r="H44" s="2" t="str">
        <f t="shared" si="1"/>
        <v>PGN VAC powerful performance with great speed</v>
      </c>
      <c r="I44" s="2" t="str">
        <f t="shared" si="2"/>
        <v>KTC-PGN-VAC-1800-PRO</v>
      </c>
      <c r="J44" s="2">
        <f t="shared" si="3"/>
        <v>20</v>
      </c>
      <c r="K44" s="2" t="str">
        <f t="shared" si="4"/>
        <v>KTC</v>
      </c>
      <c r="L44" s="2" t="str">
        <f t="shared" si="5"/>
        <v>PGN</v>
      </c>
      <c r="M44" s="2" t="str">
        <f t="shared" si="6"/>
        <v>VAC</v>
      </c>
      <c r="N44" s="2" t="str">
        <f t="shared" si="7"/>
        <v>1800</v>
      </c>
      <c r="O44" s="2" t="str">
        <f t="shared" si="8"/>
        <v>PRO</v>
      </c>
      <c r="P44" s="2" t="str">
        <f t="shared" si="9"/>
        <v>Pgn Vac 1800-PGN VAC powerful performance with great speed-KTC-PGN-VAC-1800-PRO-20-KTC-PGN</v>
      </c>
      <c r="Q44" s="2" t="str">
        <f t="shared" si="10"/>
        <v>Pgn Vac 1800-Home Appliance</v>
      </c>
    </row>
    <row r="45" spans="1:17" x14ac:dyDescent="0.3">
      <c r="A45" s="2">
        <v>144</v>
      </c>
      <c r="B45" s="2" t="s">
        <v>139</v>
      </c>
      <c r="C45" s="2" t="s">
        <v>140</v>
      </c>
      <c r="D45" s="2" t="s">
        <v>56</v>
      </c>
      <c r="E45" s="2">
        <v>35654</v>
      </c>
      <c r="F45" s="2" t="s">
        <v>141</v>
      </c>
      <c r="G45" s="2" t="str">
        <f t="shared" si="0"/>
        <v>Gln Mwo 20L</v>
      </c>
      <c r="H45" s="2" t="str">
        <f t="shared" si="1"/>
        <v>GLN MWO stylish and durable build</v>
      </c>
      <c r="I45" s="2" t="str">
        <f t="shared" si="2"/>
        <v>HOM-GLN-MWO-20L-G11</v>
      </c>
      <c r="J45" s="2">
        <f t="shared" si="3"/>
        <v>19</v>
      </c>
      <c r="K45" s="2" t="str">
        <f t="shared" si="4"/>
        <v>HOM</v>
      </c>
      <c r="L45" s="2" t="str">
        <f t="shared" si="5"/>
        <v>GLN</v>
      </c>
      <c r="M45" s="2" t="str">
        <f t="shared" si="6"/>
        <v>MWO</v>
      </c>
      <c r="N45" s="2" t="str">
        <f t="shared" si="7"/>
        <v>20L</v>
      </c>
      <c r="O45" s="2" t="str">
        <f t="shared" si="8"/>
        <v>G11</v>
      </c>
      <c r="P45" s="2" t="str">
        <f t="shared" si="9"/>
        <v>Gln Mwo 20L-GLN MWO stylish and durable build-HOM-GLN-MWO-20L-G11-19-HOM-GLN</v>
      </c>
      <c r="Q45" s="2" t="str">
        <f t="shared" si="10"/>
        <v>Gln Mwo 20L-Mobile</v>
      </c>
    </row>
    <row r="46" spans="1:17" x14ac:dyDescent="0.3">
      <c r="A46" s="2">
        <v>145</v>
      </c>
      <c r="B46" s="2" t="s">
        <v>142</v>
      </c>
      <c r="C46" s="2" t="s">
        <v>143</v>
      </c>
      <c r="D46" s="2" t="s">
        <v>56</v>
      </c>
      <c r="E46" s="2">
        <v>36493</v>
      </c>
      <c r="F46" s="2" t="s">
        <v>144</v>
      </c>
      <c r="G46" s="2" t="str">
        <f t="shared" si="0"/>
        <v>Prt Mcr 20L</v>
      </c>
      <c r="H46" s="2" t="str">
        <f t="shared" si="1"/>
        <v>PRT MCR premium material and smooth finish</v>
      </c>
      <c r="I46" s="2" t="str">
        <f t="shared" si="2"/>
        <v>HOM-PRT-MCR-20L-MM</v>
      </c>
      <c r="J46" s="2">
        <f t="shared" si="3"/>
        <v>18</v>
      </c>
      <c r="K46" s="2" t="str">
        <f t="shared" si="4"/>
        <v>HOM</v>
      </c>
      <c r="L46" s="2" t="str">
        <f t="shared" si="5"/>
        <v>PRT</v>
      </c>
      <c r="M46" s="2" t="str">
        <f t="shared" si="6"/>
        <v>MCR</v>
      </c>
      <c r="N46" s="2" t="str">
        <f t="shared" si="7"/>
        <v>20L</v>
      </c>
      <c r="O46" s="2" t="str">
        <f t="shared" si="8"/>
        <v>MM</v>
      </c>
      <c r="P46" s="2" t="str">
        <f t="shared" si="9"/>
        <v>Prt Mcr 20L-PRT MCR premium material and smooth finish-HOM-PRT-MCR-20L-MM-18-HOM-PRT</v>
      </c>
      <c r="Q46" s="2" t="str">
        <f t="shared" si="10"/>
        <v>Prt Mcr 20L-Mobile</v>
      </c>
    </row>
    <row r="47" spans="1:17" x14ac:dyDescent="0.3">
      <c r="A47" s="2">
        <v>146</v>
      </c>
      <c r="B47" s="2" t="s">
        <v>145</v>
      </c>
      <c r="C47" s="2" t="s">
        <v>146</v>
      </c>
      <c r="D47" s="2" t="s">
        <v>56</v>
      </c>
      <c r="E47" s="2">
        <v>55562</v>
      </c>
      <c r="F47" s="2" t="s">
        <v>147</v>
      </c>
      <c r="G47" s="2" t="str">
        <f t="shared" si="0"/>
        <v>Prt Ip13 750</v>
      </c>
      <c r="H47" s="2" t="str">
        <f t="shared" si="1"/>
        <v>PRT IP13 fast charging and reliable use</v>
      </c>
      <c r="I47" s="2" t="str">
        <f t="shared" si="2"/>
        <v>MOB-PRT-IP13-750-G11</v>
      </c>
      <c r="J47" s="2">
        <f t="shared" si="3"/>
        <v>20</v>
      </c>
      <c r="K47" s="2" t="str">
        <f t="shared" si="4"/>
        <v>MOB</v>
      </c>
      <c r="L47" s="2" t="str">
        <f t="shared" si="5"/>
        <v>PRT</v>
      </c>
      <c r="M47" s="2" t="str">
        <f t="shared" si="6"/>
        <v>IP13</v>
      </c>
      <c r="N47" s="2" t="str">
        <f t="shared" si="7"/>
        <v>750</v>
      </c>
      <c r="O47" s="2" t="str">
        <f t="shared" si="8"/>
        <v>G11</v>
      </c>
      <c r="P47" s="2" t="str">
        <f t="shared" si="9"/>
        <v>Prt Ip13 750-PRT IP13 fast charging and reliable use-MOB-PRT-IP13-750-G11-20-MOB-PRT</v>
      </c>
      <c r="Q47" s="2" t="str">
        <f t="shared" si="10"/>
        <v>Prt Ip13 750-Mobile</v>
      </c>
    </row>
    <row r="48" spans="1:17" x14ac:dyDescent="0.3">
      <c r="A48" s="2">
        <v>147</v>
      </c>
      <c r="B48" s="2" t="s">
        <v>148</v>
      </c>
      <c r="C48" s="2" t="s">
        <v>149</v>
      </c>
      <c r="D48" s="2" t="s">
        <v>25</v>
      </c>
      <c r="E48" s="2">
        <v>2840</v>
      </c>
      <c r="F48" s="2" t="s">
        <v>150</v>
      </c>
      <c r="G48" s="2" t="str">
        <f t="shared" si="0"/>
        <v>Bjr Tv 2200</v>
      </c>
      <c r="H48" s="2" t="str">
        <f t="shared" si="1"/>
        <v>BJR TV lightweight and easy to carry</v>
      </c>
      <c r="I48" s="2" t="str">
        <f t="shared" si="2"/>
        <v>ELC-BJR-TV-2200-BT</v>
      </c>
      <c r="J48" s="2">
        <f t="shared" si="3"/>
        <v>18</v>
      </c>
      <c r="K48" s="2" t="str">
        <f t="shared" si="4"/>
        <v>ELC</v>
      </c>
      <c r="L48" s="2" t="str">
        <f t="shared" si="5"/>
        <v>BJR</v>
      </c>
      <c r="M48" s="2" t="str">
        <f t="shared" si="6"/>
        <v>TV</v>
      </c>
      <c r="N48" s="2" t="str">
        <f t="shared" si="7"/>
        <v>2200</v>
      </c>
      <c r="O48" s="2" t="str">
        <f t="shared" si="8"/>
        <v>BT</v>
      </c>
      <c r="P48" s="2" t="str">
        <f t="shared" si="9"/>
        <v>Bjr Tv 2200-BJR TV lightweight and easy to carry-ELC-BJR-TV-2200-BT-18-ELC-BJR</v>
      </c>
      <c r="Q48" s="2" t="str">
        <f t="shared" si="10"/>
        <v>Bjr Tv 2200-Kitchen</v>
      </c>
    </row>
    <row r="49" spans="1:17" x14ac:dyDescent="0.3">
      <c r="A49" s="2">
        <v>148</v>
      </c>
      <c r="B49" s="2" t="s">
        <v>151</v>
      </c>
      <c r="C49" s="2" t="s">
        <v>152</v>
      </c>
      <c r="D49" s="2" t="s">
        <v>8</v>
      </c>
      <c r="E49" s="2">
        <v>32633</v>
      </c>
      <c r="F49" s="2" t="s">
        <v>153</v>
      </c>
      <c r="G49" s="2" t="str">
        <f t="shared" si="0"/>
        <v>Prt Spk 1800</v>
      </c>
      <c r="H49" s="2" t="str">
        <f t="shared" si="1"/>
        <v>PRT SPK latest model with high performance</v>
      </c>
      <c r="I49" s="2" t="str">
        <f t="shared" si="2"/>
        <v>HOM-PRT-SPK-1800-G11</v>
      </c>
      <c r="J49" s="2">
        <f t="shared" si="3"/>
        <v>20</v>
      </c>
      <c r="K49" s="2" t="str">
        <f t="shared" si="4"/>
        <v>HOM</v>
      </c>
      <c r="L49" s="2" t="str">
        <f t="shared" si="5"/>
        <v>PRT</v>
      </c>
      <c r="M49" s="2" t="str">
        <f t="shared" si="6"/>
        <v>SPK</v>
      </c>
      <c r="N49" s="2" t="str">
        <f t="shared" si="7"/>
        <v>1800</v>
      </c>
      <c r="O49" s="2" t="str">
        <f t="shared" si="8"/>
        <v>G11</v>
      </c>
      <c r="P49" s="2" t="str">
        <f t="shared" si="9"/>
        <v>Prt Spk 1800-PRT SPK latest model with high performance-HOM-PRT-SPK-1800-G11-20-HOM-PRT</v>
      </c>
      <c r="Q49" s="2" t="str">
        <f t="shared" si="10"/>
        <v>Prt Spk 1800-Home Appliance</v>
      </c>
    </row>
    <row r="50" spans="1:17" x14ac:dyDescent="0.3">
      <c r="A50" s="2">
        <v>149</v>
      </c>
      <c r="B50" s="2" t="s">
        <v>154</v>
      </c>
      <c r="C50" s="2" t="s">
        <v>155</v>
      </c>
      <c r="D50" s="2" t="s">
        <v>56</v>
      </c>
      <c r="E50" s="2">
        <v>83621</v>
      </c>
      <c r="F50" s="2" t="s">
        <v>156</v>
      </c>
      <c r="G50" s="2" t="str">
        <f t="shared" si="0"/>
        <v>Hnd Tv 2200</v>
      </c>
      <c r="H50" s="2" t="str">
        <f t="shared" si="1"/>
        <v>HND TV new generation product with enhanced quality</v>
      </c>
      <c r="I50" s="2" t="str">
        <f t="shared" si="2"/>
        <v>KTC-HND-TV-2200-PRO</v>
      </c>
      <c r="J50" s="2">
        <f t="shared" si="3"/>
        <v>19</v>
      </c>
      <c r="K50" s="2" t="str">
        <f t="shared" si="4"/>
        <v>KTC</v>
      </c>
      <c r="L50" s="2" t="str">
        <f t="shared" si="5"/>
        <v>HND</v>
      </c>
      <c r="M50" s="2" t="str">
        <f t="shared" si="6"/>
        <v>TV</v>
      </c>
      <c r="N50" s="2" t="str">
        <f t="shared" si="7"/>
        <v>2200</v>
      </c>
      <c r="O50" s="2" t="str">
        <f t="shared" si="8"/>
        <v>PRO</v>
      </c>
      <c r="P50" s="2" t="str">
        <f t="shared" si="9"/>
        <v>Hnd Tv 2200-HND TV new generation product with enhanced quality-KTC-HND-TV-2200-PRO-19-KTC-HND</v>
      </c>
      <c r="Q50" s="2" t="str">
        <f t="shared" si="10"/>
        <v>Hnd Tv 2200-Mobile</v>
      </c>
    </row>
    <row r="51" spans="1:17" x14ac:dyDescent="0.3">
      <c r="A51" s="2">
        <v>150</v>
      </c>
      <c r="B51" s="2" t="s">
        <v>157</v>
      </c>
      <c r="C51" s="2" t="s">
        <v>158</v>
      </c>
      <c r="D51" s="2" t="s">
        <v>25</v>
      </c>
      <c r="E51" s="2">
        <v>94412</v>
      </c>
      <c r="F51" s="2" t="s">
        <v>159</v>
      </c>
      <c r="G51" s="2" t="str">
        <f t="shared" si="0"/>
        <v>Whl Mwo 1L</v>
      </c>
      <c r="H51" s="2" t="str">
        <f t="shared" si="1"/>
        <v>WHL MWO stylish and durable build</v>
      </c>
      <c r="I51" s="2" t="str">
        <f t="shared" si="2"/>
        <v>KTC-WHL-MWO-1L-W</v>
      </c>
      <c r="J51" s="2">
        <f t="shared" si="3"/>
        <v>16</v>
      </c>
      <c r="K51" s="2" t="str">
        <f t="shared" si="4"/>
        <v>KTC</v>
      </c>
      <c r="L51" s="2" t="str">
        <f t="shared" si="5"/>
        <v>WHL</v>
      </c>
      <c r="M51" s="2" t="str">
        <f t="shared" si="6"/>
        <v>MWO</v>
      </c>
      <c r="N51" s="2" t="str">
        <f t="shared" si="7"/>
        <v>1L</v>
      </c>
      <c r="O51" s="2" t="str">
        <f t="shared" si="8"/>
        <v>W</v>
      </c>
      <c r="P51" s="2" t="str">
        <f t="shared" si="9"/>
        <v>Whl Mwo 1L-WHL MWO stylish and durable build-KTC-WHL-MWO-1L-W-16-KTC-WHL</v>
      </c>
      <c r="Q51" s="2" t="str">
        <f t="shared" si="10"/>
        <v>Whl Mwo 1L-Kitchen</v>
      </c>
    </row>
    <row r="52" spans="1:17" x14ac:dyDescent="0.3">
      <c r="A52" s="2">
        <v>151</v>
      </c>
      <c r="B52" s="2" t="s">
        <v>160</v>
      </c>
      <c r="C52" s="2" t="s">
        <v>161</v>
      </c>
      <c r="D52" s="2" t="s">
        <v>15</v>
      </c>
      <c r="E52" s="2">
        <v>34203</v>
      </c>
      <c r="F52" s="2" t="s">
        <v>162</v>
      </c>
      <c r="G52" s="2" t="str">
        <f t="shared" si="0"/>
        <v>Prt Mix 2023</v>
      </c>
      <c r="H52" s="2" t="str">
        <f t="shared" si="1"/>
        <v>PRT MIX advanced features with sleek design</v>
      </c>
      <c r="I52" s="2" t="str">
        <f t="shared" si="2"/>
        <v>ELC-PRT-MIX-2023-G11</v>
      </c>
      <c r="J52" s="2">
        <f t="shared" si="3"/>
        <v>20</v>
      </c>
      <c r="K52" s="2" t="str">
        <f t="shared" si="4"/>
        <v>ELC</v>
      </c>
      <c r="L52" s="2" t="str">
        <f t="shared" si="5"/>
        <v>PRT</v>
      </c>
      <c r="M52" s="2" t="str">
        <f t="shared" si="6"/>
        <v>MIX</v>
      </c>
      <c r="N52" s="2" t="str">
        <f t="shared" si="7"/>
        <v>2023</v>
      </c>
      <c r="O52" s="2" t="str">
        <f t="shared" si="8"/>
        <v>G11</v>
      </c>
      <c r="P52" s="2" t="str">
        <f t="shared" si="9"/>
        <v>Prt Mix 2023-PRT MIX advanced features with sleek design-ELC-PRT-MIX-2023-G11-20-ELC-PRT</v>
      </c>
      <c r="Q52" s="2" t="str">
        <f t="shared" si="10"/>
        <v>Prt Mix 2023-Electronics</v>
      </c>
    </row>
    <row r="53" spans="1:17" x14ac:dyDescent="0.3">
      <c r="A53" s="2">
        <v>152</v>
      </c>
      <c r="B53" s="2" t="s">
        <v>163</v>
      </c>
      <c r="C53" s="2" t="s">
        <v>164</v>
      </c>
      <c r="D53" s="2" t="s">
        <v>25</v>
      </c>
      <c r="E53" s="2">
        <v>101662</v>
      </c>
      <c r="F53" s="2" t="s">
        <v>165</v>
      </c>
      <c r="G53" s="2" t="str">
        <f t="shared" si="0"/>
        <v>Bjr Rn8 20L</v>
      </c>
      <c r="H53" s="2" t="str">
        <f t="shared" si="1"/>
        <v>BJR RN8 energy efficient and compact design</v>
      </c>
      <c r="I53" s="2" t="str">
        <f t="shared" si="2"/>
        <v>HOM-BJR-RN8-20L-PRO</v>
      </c>
      <c r="J53" s="2">
        <f t="shared" si="3"/>
        <v>19</v>
      </c>
      <c r="K53" s="2" t="str">
        <f t="shared" si="4"/>
        <v>HOM</v>
      </c>
      <c r="L53" s="2" t="str">
        <f t="shared" si="5"/>
        <v>BJR</v>
      </c>
      <c r="M53" s="2" t="str">
        <f t="shared" si="6"/>
        <v>RN8</v>
      </c>
      <c r="N53" s="2" t="str">
        <f t="shared" si="7"/>
        <v>20L</v>
      </c>
      <c r="O53" s="2" t="str">
        <f t="shared" si="8"/>
        <v>PRO</v>
      </c>
      <c r="P53" s="2" t="str">
        <f t="shared" si="9"/>
        <v>Bjr Rn8 20L-BJR RN8 energy efficient and compact design-HOM-BJR-RN8-20L-PRO-19-HOM-BJR</v>
      </c>
      <c r="Q53" s="2" t="str">
        <f t="shared" si="10"/>
        <v>Bjr Rn8 20L-Kitchen</v>
      </c>
    </row>
    <row r="54" spans="1:17" x14ac:dyDescent="0.3">
      <c r="A54" s="2">
        <v>153</v>
      </c>
      <c r="B54" s="2" t="s">
        <v>166</v>
      </c>
      <c r="C54" s="2" t="s">
        <v>167</v>
      </c>
      <c r="D54" s="2" t="s">
        <v>15</v>
      </c>
      <c r="E54" s="2">
        <v>3214</v>
      </c>
      <c r="F54" s="2" t="s">
        <v>168</v>
      </c>
      <c r="G54" s="2" t="str">
        <f t="shared" si="0"/>
        <v>Pgn Mix 128</v>
      </c>
      <c r="H54" s="2" t="str">
        <f t="shared" si="1"/>
        <v>PGN MIX stylish and durable build</v>
      </c>
      <c r="I54" s="2" t="str">
        <f t="shared" si="2"/>
        <v>KTC-PGN-MIX-128-MM</v>
      </c>
      <c r="J54" s="2">
        <f t="shared" si="3"/>
        <v>18</v>
      </c>
      <c r="K54" s="2" t="str">
        <f t="shared" si="4"/>
        <v>KTC</v>
      </c>
      <c r="L54" s="2" t="str">
        <f t="shared" si="5"/>
        <v>PGN</v>
      </c>
      <c r="M54" s="2" t="str">
        <f t="shared" si="6"/>
        <v>MIX</v>
      </c>
      <c r="N54" s="2" t="str">
        <f t="shared" si="7"/>
        <v>128</v>
      </c>
      <c r="O54" s="2" t="str">
        <f t="shared" si="8"/>
        <v>MM</v>
      </c>
      <c r="P54" s="2" t="str">
        <f t="shared" si="9"/>
        <v>Pgn Mix 128-PGN MIX stylish and durable build-KTC-PGN-MIX-128-MM-18-KTC-PGN</v>
      </c>
      <c r="Q54" s="2" t="str">
        <f t="shared" si="10"/>
        <v>Pgn Mix 128-Electronics</v>
      </c>
    </row>
    <row r="55" spans="1:17" x14ac:dyDescent="0.3">
      <c r="A55" s="2">
        <v>154</v>
      </c>
      <c r="B55" s="2" t="s">
        <v>169</v>
      </c>
      <c r="C55" s="2" t="s">
        <v>170</v>
      </c>
      <c r="D55" s="2" t="s">
        <v>15</v>
      </c>
      <c r="E55" s="2">
        <v>34534</v>
      </c>
      <c r="F55" s="2" t="s">
        <v>171</v>
      </c>
      <c r="G55" s="2" t="str">
        <f t="shared" si="0"/>
        <v>Whl Jce 32</v>
      </c>
      <c r="H55" s="2" t="str">
        <f t="shared" si="1"/>
        <v>WHL JCE powerful performance with great speed</v>
      </c>
      <c r="I55" s="2" t="str">
        <f t="shared" si="2"/>
        <v>MOB-WHL-JCE-32-MM</v>
      </c>
      <c r="J55" s="2">
        <f t="shared" si="3"/>
        <v>17</v>
      </c>
      <c r="K55" s="2" t="str">
        <f t="shared" si="4"/>
        <v>MOB</v>
      </c>
      <c r="L55" s="2" t="str">
        <f t="shared" si="5"/>
        <v>WHL</v>
      </c>
      <c r="M55" s="2" t="str">
        <f t="shared" si="6"/>
        <v>JCE</v>
      </c>
      <c r="N55" s="2" t="str">
        <f t="shared" si="7"/>
        <v>32</v>
      </c>
      <c r="O55" s="2" t="str">
        <f t="shared" si="8"/>
        <v>MM</v>
      </c>
      <c r="P55" s="2" t="str">
        <f t="shared" si="9"/>
        <v>Whl Jce 32-WHL JCE powerful performance with great speed-MOB-WHL-JCE-32-MM-17-MOB-WHL</v>
      </c>
      <c r="Q55" s="2" t="str">
        <f t="shared" si="10"/>
        <v>Whl Jce 32-Electronics</v>
      </c>
    </row>
    <row r="56" spans="1:17" x14ac:dyDescent="0.3">
      <c r="A56" s="2">
        <v>155</v>
      </c>
      <c r="B56" s="2" t="s">
        <v>172</v>
      </c>
      <c r="C56" s="2" t="s">
        <v>173</v>
      </c>
      <c r="D56" s="2" t="s">
        <v>8</v>
      </c>
      <c r="E56" s="2">
        <v>119716</v>
      </c>
      <c r="F56" s="2" t="s">
        <v>174</v>
      </c>
      <c r="G56" s="2" t="str">
        <f t="shared" si="0"/>
        <v>Apl Mix 128</v>
      </c>
      <c r="H56" s="2" t="str">
        <f t="shared" si="1"/>
        <v>APL MIX energy efficient and compact design</v>
      </c>
      <c r="I56" s="2" t="str">
        <f t="shared" si="2"/>
        <v>HOM-APL-MIX-128-2022</v>
      </c>
      <c r="J56" s="2">
        <f t="shared" si="3"/>
        <v>20</v>
      </c>
      <c r="K56" s="2" t="str">
        <f t="shared" si="4"/>
        <v>HOM</v>
      </c>
      <c r="L56" s="2" t="str">
        <f t="shared" si="5"/>
        <v>APL</v>
      </c>
      <c r="M56" s="2" t="str">
        <f t="shared" si="6"/>
        <v>MIX</v>
      </c>
      <c r="N56" s="2" t="str">
        <f t="shared" si="7"/>
        <v>128</v>
      </c>
      <c r="O56" s="2" t="str">
        <f t="shared" si="8"/>
        <v>2022</v>
      </c>
      <c r="P56" s="2" t="str">
        <f t="shared" si="9"/>
        <v>Apl Mix 128-APL MIX energy efficient and compact design-HOM-APL-MIX-128-2022-20-HOM-APL</v>
      </c>
      <c r="Q56" s="2" t="str">
        <f t="shared" si="10"/>
        <v>Apl Mix 128-Home Appliance</v>
      </c>
    </row>
    <row r="57" spans="1:17" x14ac:dyDescent="0.3">
      <c r="A57" s="2">
        <v>156</v>
      </c>
      <c r="B57" s="2" t="s">
        <v>175</v>
      </c>
      <c r="C57" s="2" t="s">
        <v>176</v>
      </c>
      <c r="D57" s="2" t="s">
        <v>56</v>
      </c>
      <c r="E57" s="2">
        <v>5054</v>
      </c>
      <c r="F57" s="2" t="s">
        <v>177</v>
      </c>
      <c r="G57" s="2" t="str">
        <f t="shared" si="0"/>
        <v>Gln 11R 1800</v>
      </c>
      <c r="H57" s="2" t="str">
        <f t="shared" si="1"/>
        <v>GLN 11R fast charging and reliable use</v>
      </c>
      <c r="I57" s="2" t="str">
        <f t="shared" si="2"/>
        <v>KTC-GLN-11R-1800-2023</v>
      </c>
      <c r="J57" s="2">
        <f t="shared" si="3"/>
        <v>21</v>
      </c>
      <c r="K57" s="2" t="str">
        <f t="shared" si="4"/>
        <v>KTC</v>
      </c>
      <c r="L57" s="2" t="str">
        <f t="shared" si="5"/>
        <v>GLN</v>
      </c>
      <c r="M57" s="2" t="str">
        <f t="shared" si="6"/>
        <v>11R</v>
      </c>
      <c r="N57" s="2" t="str">
        <f t="shared" si="7"/>
        <v>1800</v>
      </c>
      <c r="O57" s="2" t="str">
        <f t="shared" si="8"/>
        <v>2023</v>
      </c>
      <c r="P57" s="2" t="str">
        <f t="shared" si="9"/>
        <v>Gln 11R 1800-GLN 11R fast charging and reliable use-KTC-GLN-11R-1800-2023-21-KTC-GLN</v>
      </c>
      <c r="Q57" s="2" t="str">
        <f t="shared" si="10"/>
        <v>Gln 11R 1800-Mobile</v>
      </c>
    </row>
    <row r="58" spans="1:17" x14ac:dyDescent="0.3">
      <c r="A58" s="2">
        <v>157</v>
      </c>
      <c r="B58" s="2" t="s">
        <v>178</v>
      </c>
      <c r="C58" s="2" t="s">
        <v>179</v>
      </c>
      <c r="D58" s="2" t="s">
        <v>15</v>
      </c>
      <c r="E58" s="2">
        <v>115861</v>
      </c>
      <c r="F58" s="2" t="s">
        <v>180</v>
      </c>
      <c r="G58" s="2" t="str">
        <f t="shared" si="0"/>
        <v>Rmi Jce Ry5</v>
      </c>
      <c r="H58" s="2" t="str">
        <f t="shared" si="1"/>
        <v>RMI JCE stylish and durable build</v>
      </c>
      <c r="I58" s="2" t="str">
        <f t="shared" si="2"/>
        <v>KTC-RMI-JCE-Ry5-2022</v>
      </c>
      <c r="J58" s="2">
        <f t="shared" si="3"/>
        <v>20</v>
      </c>
      <c r="K58" s="2" t="str">
        <f t="shared" si="4"/>
        <v>KTC</v>
      </c>
      <c r="L58" s="2" t="str">
        <f t="shared" si="5"/>
        <v>RMI</v>
      </c>
      <c r="M58" s="2" t="str">
        <f t="shared" si="6"/>
        <v>JCE</v>
      </c>
      <c r="N58" s="2" t="str">
        <f t="shared" si="7"/>
        <v>Ry5</v>
      </c>
      <c r="O58" s="2" t="str">
        <f t="shared" si="8"/>
        <v>2022</v>
      </c>
      <c r="P58" s="2" t="str">
        <f t="shared" si="9"/>
        <v>Rmi Jce Ry5-RMI JCE stylish and durable build-KTC-RMI-JCE-Ry5-2022-20-KTC-RMI</v>
      </c>
      <c r="Q58" s="2" t="str">
        <f t="shared" si="10"/>
        <v>Rmi Jce Ry5-Electronics</v>
      </c>
    </row>
    <row r="59" spans="1:17" x14ac:dyDescent="0.3">
      <c r="A59" s="2">
        <v>158</v>
      </c>
      <c r="B59" s="2" t="s">
        <v>181</v>
      </c>
      <c r="C59" s="2" t="s">
        <v>182</v>
      </c>
      <c r="D59" s="2" t="s">
        <v>25</v>
      </c>
      <c r="E59" s="2">
        <v>87974</v>
      </c>
      <c r="F59" s="2" t="s">
        <v>183</v>
      </c>
      <c r="G59" s="2" t="str">
        <f t="shared" si="0"/>
        <v>Bjr Wmx 1800</v>
      </c>
      <c r="H59" s="2" t="str">
        <f t="shared" si="1"/>
        <v>BJR WMX eco-friendly and cost effective</v>
      </c>
      <c r="I59" s="2" t="str">
        <f t="shared" si="2"/>
        <v>MOB-BJR-WMX-1800-W</v>
      </c>
      <c r="J59" s="2">
        <f t="shared" si="3"/>
        <v>18</v>
      </c>
      <c r="K59" s="2" t="str">
        <f t="shared" si="4"/>
        <v>MOB</v>
      </c>
      <c r="L59" s="2" t="str">
        <f t="shared" si="5"/>
        <v>BJR</v>
      </c>
      <c r="M59" s="2" t="str">
        <f t="shared" si="6"/>
        <v>WMX</v>
      </c>
      <c r="N59" s="2" t="str">
        <f t="shared" si="7"/>
        <v>1800</v>
      </c>
      <c r="O59" s="2" t="str">
        <f t="shared" si="8"/>
        <v>W</v>
      </c>
      <c r="P59" s="2" t="str">
        <f t="shared" si="9"/>
        <v>Bjr Wmx 1800-BJR WMX eco-friendly and cost effective-MOB-BJR-WMX-1800-W-18-MOB-BJR</v>
      </c>
      <c r="Q59" s="2" t="str">
        <f t="shared" si="10"/>
        <v>Bjr Wmx 1800-Kitchen</v>
      </c>
    </row>
    <row r="60" spans="1:17" x14ac:dyDescent="0.3">
      <c r="A60" s="2">
        <v>159</v>
      </c>
      <c r="B60" s="2" t="s">
        <v>184</v>
      </c>
      <c r="C60" s="2" t="s">
        <v>185</v>
      </c>
      <c r="D60" s="2" t="s">
        <v>8</v>
      </c>
      <c r="E60" s="2">
        <v>33545</v>
      </c>
      <c r="F60" s="2" t="s">
        <v>186</v>
      </c>
      <c r="G60" s="2" t="str">
        <f t="shared" si="0"/>
        <v>Pgn Y55 2200</v>
      </c>
      <c r="H60" s="2" t="str">
        <f t="shared" si="1"/>
        <v>PGN Y55 energy efficient and compact design</v>
      </c>
      <c r="I60" s="2" t="str">
        <f t="shared" si="2"/>
        <v>MOB-PGN-Y55-2200-MM</v>
      </c>
      <c r="J60" s="2">
        <f t="shared" si="3"/>
        <v>19</v>
      </c>
      <c r="K60" s="2" t="str">
        <f t="shared" si="4"/>
        <v>MOB</v>
      </c>
      <c r="L60" s="2" t="str">
        <f t="shared" si="5"/>
        <v>PGN</v>
      </c>
      <c r="M60" s="2" t="str">
        <f t="shared" si="6"/>
        <v>Y55</v>
      </c>
      <c r="N60" s="2" t="str">
        <f t="shared" si="7"/>
        <v>2200</v>
      </c>
      <c r="O60" s="2" t="str">
        <f t="shared" si="8"/>
        <v>MM</v>
      </c>
      <c r="P60" s="2" t="str">
        <f t="shared" si="9"/>
        <v>Pgn Y55 2200-PGN Y55 energy efficient and compact design-MOB-PGN-Y55-2200-MM-19-MOB-PGN</v>
      </c>
      <c r="Q60" s="2" t="str">
        <f t="shared" si="10"/>
        <v>Pgn Y55 2200-Home Appliance</v>
      </c>
    </row>
    <row r="61" spans="1:17" x14ac:dyDescent="0.3">
      <c r="A61" s="2">
        <v>160</v>
      </c>
      <c r="B61" s="2" t="s">
        <v>187</v>
      </c>
      <c r="C61" s="2" t="s">
        <v>188</v>
      </c>
      <c r="D61" s="2" t="s">
        <v>56</v>
      </c>
      <c r="E61" s="2">
        <v>45762</v>
      </c>
      <c r="F61" s="2" t="s">
        <v>189</v>
      </c>
      <c r="G61" s="2" t="str">
        <f t="shared" si="0"/>
        <v>Bjr Spk Ry5</v>
      </c>
      <c r="H61" s="2" t="str">
        <f t="shared" si="1"/>
        <v>BJR SPK advanced features with sleek design</v>
      </c>
      <c r="I61" s="2" t="str">
        <f t="shared" si="2"/>
        <v>MOB-BJR-SPK-Ry5-G11</v>
      </c>
      <c r="J61" s="2">
        <f t="shared" si="3"/>
        <v>19</v>
      </c>
      <c r="K61" s="2" t="str">
        <f t="shared" si="4"/>
        <v>MOB</v>
      </c>
      <c r="L61" s="2" t="str">
        <f t="shared" si="5"/>
        <v>BJR</v>
      </c>
      <c r="M61" s="2" t="str">
        <f t="shared" si="6"/>
        <v>SPK</v>
      </c>
      <c r="N61" s="2" t="str">
        <f t="shared" si="7"/>
        <v>Ry5</v>
      </c>
      <c r="O61" s="2" t="str">
        <f t="shared" si="8"/>
        <v>G11</v>
      </c>
      <c r="P61" s="2" t="str">
        <f t="shared" si="9"/>
        <v>Bjr Spk Ry5-BJR SPK advanced features with sleek design-MOB-BJR-SPK-Ry5-G11-19-MOB-BJR</v>
      </c>
      <c r="Q61" s="2" t="str">
        <f t="shared" si="10"/>
        <v>Bjr Spk Ry5-Mobile</v>
      </c>
    </row>
    <row r="62" spans="1:17" x14ac:dyDescent="0.3">
      <c r="A62" s="2">
        <v>161</v>
      </c>
      <c r="B62" s="2" t="s">
        <v>190</v>
      </c>
      <c r="C62" s="2" t="s">
        <v>191</v>
      </c>
      <c r="D62" s="2" t="s">
        <v>56</v>
      </c>
      <c r="E62" s="2">
        <v>27999</v>
      </c>
      <c r="F62" s="2" t="s">
        <v>192</v>
      </c>
      <c r="G62" s="2" t="str">
        <f t="shared" si="0"/>
        <v>Phl Ry5 2023</v>
      </c>
      <c r="H62" s="2" t="str">
        <f t="shared" si="1"/>
        <v>PHL Ry5 lightweight and easy to carry</v>
      </c>
      <c r="I62" s="2" t="str">
        <f t="shared" si="2"/>
        <v>HOM-PHL-Ry5-2023-MM</v>
      </c>
      <c r="J62" s="2">
        <f t="shared" si="3"/>
        <v>19</v>
      </c>
      <c r="K62" s="2" t="str">
        <f t="shared" si="4"/>
        <v>HOM</v>
      </c>
      <c r="L62" s="2" t="str">
        <f t="shared" si="5"/>
        <v>PHL</v>
      </c>
      <c r="M62" s="2" t="str">
        <f t="shared" si="6"/>
        <v>Ry5</v>
      </c>
      <c r="N62" s="2" t="str">
        <f t="shared" si="7"/>
        <v>2023</v>
      </c>
      <c r="O62" s="2" t="str">
        <f t="shared" si="8"/>
        <v>MM</v>
      </c>
      <c r="P62" s="2" t="str">
        <f t="shared" si="9"/>
        <v>Phl Ry5 2023-PHL Ry5 lightweight and easy to carry-HOM-PHL-Ry5-2023-MM-19-HOM-PHL</v>
      </c>
      <c r="Q62" s="2" t="str">
        <f t="shared" si="10"/>
        <v>Phl Ry5 2023-Mobile</v>
      </c>
    </row>
    <row r="63" spans="1:17" x14ac:dyDescent="0.3">
      <c r="A63" s="2">
        <v>162</v>
      </c>
      <c r="B63" s="2" t="s">
        <v>193</v>
      </c>
      <c r="C63" s="2" t="s">
        <v>194</v>
      </c>
      <c r="D63" s="2" t="s">
        <v>15</v>
      </c>
      <c r="E63" s="2">
        <v>117189</v>
      </c>
      <c r="F63" s="2" t="s">
        <v>195</v>
      </c>
      <c r="G63" s="2" t="str">
        <f t="shared" si="0"/>
        <v>Lnv Y55 512</v>
      </c>
      <c r="H63" s="2" t="str">
        <f t="shared" si="1"/>
        <v>LNV Y55 premium material and smooth finish</v>
      </c>
      <c r="I63" s="2" t="str">
        <f t="shared" si="2"/>
        <v>ELC-LNV-Y55-512-2023</v>
      </c>
      <c r="J63" s="2">
        <f t="shared" si="3"/>
        <v>20</v>
      </c>
      <c r="K63" s="2" t="str">
        <f t="shared" si="4"/>
        <v>ELC</v>
      </c>
      <c r="L63" s="2" t="str">
        <f t="shared" si="5"/>
        <v>LNV</v>
      </c>
      <c r="M63" s="2" t="str">
        <f t="shared" si="6"/>
        <v>Y55</v>
      </c>
      <c r="N63" s="2" t="str">
        <f t="shared" si="7"/>
        <v>512</v>
      </c>
      <c r="O63" s="2" t="str">
        <f t="shared" si="8"/>
        <v>2023</v>
      </c>
      <c r="P63" s="2" t="str">
        <f t="shared" si="9"/>
        <v>Lnv Y55 512-LNV Y55 premium material and smooth finish-ELC-LNV-Y55-512-2023-20-ELC-LNV</v>
      </c>
      <c r="Q63" s="2" t="str">
        <f t="shared" si="10"/>
        <v>Lnv Y55 512-Electronics</v>
      </c>
    </row>
    <row r="64" spans="1:17" x14ac:dyDescent="0.3">
      <c r="A64" s="2">
        <v>163</v>
      </c>
      <c r="B64" s="2" t="s">
        <v>196</v>
      </c>
      <c r="C64" s="2" t="s">
        <v>197</v>
      </c>
      <c r="D64" s="2" t="s">
        <v>8</v>
      </c>
      <c r="E64" s="2">
        <v>107425</v>
      </c>
      <c r="F64" s="2" t="s">
        <v>198</v>
      </c>
      <c r="G64" s="2" t="str">
        <f t="shared" si="0"/>
        <v>Bjr Cof 256</v>
      </c>
      <c r="H64" s="2" t="str">
        <f t="shared" si="1"/>
        <v>BJR COF stylish and durable build</v>
      </c>
      <c r="I64" s="2" t="str">
        <f t="shared" si="2"/>
        <v>KTC-BJR-COF-256-G11</v>
      </c>
      <c r="J64" s="2">
        <f t="shared" si="3"/>
        <v>19</v>
      </c>
      <c r="K64" s="2" t="str">
        <f t="shared" si="4"/>
        <v>KTC</v>
      </c>
      <c r="L64" s="2" t="str">
        <f t="shared" si="5"/>
        <v>BJR</v>
      </c>
      <c r="M64" s="2" t="str">
        <f t="shared" si="6"/>
        <v>COF</v>
      </c>
      <c r="N64" s="2" t="str">
        <f t="shared" si="7"/>
        <v>256</v>
      </c>
      <c r="O64" s="2" t="str">
        <f t="shared" si="8"/>
        <v>G11</v>
      </c>
      <c r="P64" s="2" t="str">
        <f t="shared" si="9"/>
        <v>Bjr Cof 256-BJR COF stylish and durable build-KTC-BJR-COF-256-G11-19-KTC-BJR</v>
      </c>
      <c r="Q64" s="2" t="str">
        <f t="shared" si="10"/>
        <v>Bjr Cof 256-Home Appliance</v>
      </c>
    </row>
    <row r="65" spans="1:17" x14ac:dyDescent="0.3">
      <c r="A65" s="2">
        <v>164</v>
      </c>
      <c r="B65" s="2" t="s">
        <v>199</v>
      </c>
      <c r="C65" s="2" t="s">
        <v>200</v>
      </c>
      <c r="D65" s="2" t="s">
        <v>15</v>
      </c>
      <c r="E65" s="2">
        <v>101178</v>
      </c>
      <c r="F65" s="2" t="s">
        <v>201</v>
      </c>
      <c r="G65" s="2" t="str">
        <f t="shared" si="0"/>
        <v>Son Tv 64</v>
      </c>
      <c r="H65" s="2" t="str">
        <f t="shared" si="1"/>
        <v>SON TV fast charging and reliable use</v>
      </c>
      <c r="I65" s="2" t="str">
        <f t="shared" si="2"/>
        <v>KTC-SON-TV-64-PRO</v>
      </c>
      <c r="J65" s="2">
        <f t="shared" si="3"/>
        <v>17</v>
      </c>
      <c r="K65" s="2" t="str">
        <f t="shared" si="4"/>
        <v>KTC</v>
      </c>
      <c r="L65" s="2" t="str">
        <f t="shared" si="5"/>
        <v>SON</v>
      </c>
      <c r="M65" s="2" t="str">
        <f t="shared" si="6"/>
        <v>TV</v>
      </c>
      <c r="N65" s="2" t="str">
        <f t="shared" si="7"/>
        <v>64</v>
      </c>
      <c r="O65" s="2" t="str">
        <f t="shared" si="8"/>
        <v>PRO</v>
      </c>
      <c r="P65" s="2" t="str">
        <f t="shared" si="9"/>
        <v>Son Tv 64-SON TV fast charging and reliable use-KTC-SON-TV-64-PRO-17-KTC-SON</v>
      </c>
      <c r="Q65" s="2" t="str">
        <f t="shared" si="10"/>
        <v>Son Tv 64-Electronics</v>
      </c>
    </row>
    <row r="66" spans="1:17" x14ac:dyDescent="0.3">
      <c r="A66" s="2">
        <v>165</v>
      </c>
      <c r="B66" s="2" t="s">
        <v>202</v>
      </c>
      <c r="C66" s="2" t="s">
        <v>203</v>
      </c>
      <c r="D66" s="2" t="s">
        <v>56</v>
      </c>
      <c r="E66" s="2">
        <v>10779</v>
      </c>
      <c r="F66" s="2" t="s">
        <v>204</v>
      </c>
      <c r="G66" s="2" t="str">
        <f t="shared" si="0"/>
        <v>Pgn Ry5 32</v>
      </c>
      <c r="H66" s="2" t="str">
        <f t="shared" si="1"/>
        <v>PGN Ry5 fast charging and reliable use</v>
      </c>
      <c r="I66" s="2" t="str">
        <f t="shared" si="2"/>
        <v>ELC-PGN-Ry5-32-2022</v>
      </c>
      <c r="J66" s="2">
        <f t="shared" si="3"/>
        <v>19</v>
      </c>
      <c r="K66" s="2" t="str">
        <f t="shared" si="4"/>
        <v>ELC</v>
      </c>
      <c r="L66" s="2" t="str">
        <f t="shared" si="5"/>
        <v>PGN</v>
      </c>
      <c r="M66" s="2" t="str">
        <f t="shared" si="6"/>
        <v>Ry5</v>
      </c>
      <c r="N66" s="2" t="str">
        <f t="shared" si="7"/>
        <v>32</v>
      </c>
      <c r="O66" s="2" t="str">
        <f t="shared" si="8"/>
        <v>2022</v>
      </c>
      <c r="P66" s="2" t="str">
        <f t="shared" si="9"/>
        <v>Pgn Ry5 32-PGN Ry5 fast charging and reliable use-ELC-PGN-Ry5-32-2022-19-ELC-PGN</v>
      </c>
      <c r="Q66" s="2" t="str">
        <f t="shared" si="10"/>
        <v>Pgn Ry5 32-Mobile</v>
      </c>
    </row>
    <row r="67" spans="1:17" x14ac:dyDescent="0.3">
      <c r="A67" s="2">
        <v>166</v>
      </c>
      <c r="B67" s="2" t="s">
        <v>205</v>
      </c>
      <c r="C67" s="2" t="s">
        <v>206</v>
      </c>
      <c r="D67" s="2" t="s">
        <v>15</v>
      </c>
      <c r="E67" s="2">
        <v>116369</v>
      </c>
      <c r="F67" s="2" t="s">
        <v>207</v>
      </c>
      <c r="G67" s="2" t="str">
        <f t="shared" ref="G67:G101" si="11">PROPER(TRIM(CLEAN(C67)))</f>
        <v>Prt Jce 2200</v>
      </c>
      <c r="H67" s="2" t="str">
        <f t="shared" ref="H67:H101" si="12">TRIM(CLEAN(F67))</f>
        <v>PRT JCE premium material and smooth finish</v>
      </c>
      <c r="I67" s="2" t="str">
        <f t="shared" ref="I67:I101" si="13">SUBSTITUTE(SUBSTITUTE(B67,"#","-"),"@","-")</f>
        <v>KTC-PRT-JCE-2200-PM</v>
      </c>
      <c r="J67" s="2">
        <f t="shared" ref="J67:J101" si="14">LEN(I67)</f>
        <v>19</v>
      </c>
      <c r="K67" s="2" t="str">
        <f t="shared" ref="K67:K101" si="15">LEFT(I67,FIND("-",I67,1)-1)</f>
        <v>KTC</v>
      </c>
      <c r="L67" s="2" t="str">
        <f t="shared" ref="L67:L101" si="16">MID(I67,FIND("-",I67)+1,FIND("-",I67,FIND("-",I67)+1)-FIND("-",I67)-1)</f>
        <v>PRT</v>
      </c>
      <c r="M67" s="2" t="str">
        <f t="shared" ref="M67:M101" si="17">MID(B67,FIND("-",B67,FIND("-",B67)+1)+1,FIND("#",B67)-FIND("-",B67,FIND("-",B67)+1)-1)</f>
        <v>JCE</v>
      </c>
      <c r="N67" s="2" t="str">
        <f t="shared" ref="N67:N101" si="18">MID(B67,FIND("#",B67)+1,FIND("@",B67)-FIND("#",B67)-1)</f>
        <v>2200</v>
      </c>
      <c r="O67" s="2" t="str">
        <f t="shared" ref="O67:O101" si="19">RIGHT(B67,LEN(B67)-FIND("@",B67))</f>
        <v>PM</v>
      </c>
      <c r="P67" s="2" t="str">
        <f t="shared" ref="P67:P101" si="20">G67&amp;"-"&amp;H67&amp;"-"&amp;I67&amp;"-"&amp;J67&amp;"-"&amp;K67&amp;"-"&amp;L67</f>
        <v>Prt Jce 2200-PRT JCE premium material and smooth finish-KTC-PRT-JCE-2200-PM-19-KTC-PRT</v>
      </c>
      <c r="Q67" s="2" t="str">
        <f t="shared" ref="Q67:Q101" si="21">G67&amp;"-"&amp;D67</f>
        <v>Prt Jce 2200-Electronics</v>
      </c>
    </row>
    <row r="68" spans="1:17" x14ac:dyDescent="0.3">
      <c r="A68" s="2">
        <v>167</v>
      </c>
      <c r="B68" s="2" t="s">
        <v>208</v>
      </c>
      <c r="C68" s="2" t="s">
        <v>209</v>
      </c>
      <c r="D68" s="2" t="s">
        <v>25</v>
      </c>
      <c r="E68" s="2">
        <v>77540</v>
      </c>
      <c r="F68" s="2" t="s">
        <v>210</v>
      </c>
      <c r="G68" s="2" t="str">
        <f t="shared" si="11"/>
        <v>Mrp Lp 1800</v>
      </c>
      <c r="H68" s="2" t="str">
        <f t="shared" si="12"/>
        <v>MRP LP premium material and smooth finish</v>
      </c>
      <c r="I68" s="2" t="str">
        <f t="shared" si="13"/>
        <v>KTC-MRP-LP-1800-W</v>
      </c>
      <c r="J68" s="2">
        <f t="shared" si="14"/>
        <v>17</v>
      </c>
      <c r="K68" s="2" t="str">
        <f t="shared" si="15"/>
        <v>KTC</v>
      </c>
      <c r="L68" s="2" t="str">
        <f t="shared" si="16"/>
        <v>MRP</v>
      </c>
      <c r="M68" s="2" t="str">
        <f t="shared" si="17"/>
        <v>LP</v>
      </c>
      <c r="N68" s="2" t="str">
        <f t="shared" si="18"/>
        <v>1800</v>
      </c>
      <c r="O68" s="2" t="str">
        <f t="shared" si="19"/>
        <v>W</v>
      </c>
      <c r="P68" s="2" t="str">
        <f t="shared" si="20"/>
        <v>Mrp Lp 1800-MRP LP premium material and smooth finish-KTC-MRP-LP-1800-W-17-KTC-MRP</v>
      </c>
      <c r="Q68" s="2" t="str">
        <f t="shared" si="21"/>
        <v>Mrp Lp 1800-Kitchen</v>
      </c>
    </row>
    <row r="69" spans="1:17" x14ac:dyDescent="0.3">
      <c r="A69" s="2">
        <v>168</v>
      </c>
      <c r="B69" s="2" t="s">
        <v>211</v>
      </c>
      <c r="C69" s="2" t="s">
        <v>212</v>
      </c>
      <c r="D69" s="2" t="s">
        <v>56</v>
      </c>
      <c r="E69" s="2">
        <v>89402</v>
      </c>
      <c r="F69" s="2" t="s">
        <v>213</v>
      </c>
      <c r="G69" s="2" t="str">
        <f t="shared" si="11"/>
        <v>Mrp Jce 256</v>
      </c>
      <c r="H69" s="2" t="str">
        <f t="shared" si="12"/>
        <v>MRP JCE powerful performance with great speed</v>
      </c>
      <c r="I69" s="2" t="str">
        <f t="shared" si="13"/>
        <v>ELC-MRP-JCE-256-PM</v>
      </c>
      <c r="J69" s="2">
        <f t="shared" si="14"/>
        <v>18</v>
      </c>
      <c r="K69" s="2" t="str">
        <f t="shared" si="15"/>
        <v>ELC</v>
      </c>
      <c r="L69" s="2" t="str">
        <f t="shared" si="16"/>
        <v>MRP</v>
      </c>
      <c r="M69" s="2" t="str">
        <f t="shared" si="17"/>
        <v>JCE</v>
      </c>
      <c r="N69" s="2" t="str">
        <f t="shared" si="18"/>
        <v>256</v>
      </c>
      <c r="O69" s="2" t="str">
        <f t="shared" si="19"/>
        <v>PM</v>
      </c>
      <c r="P69" s="2" t="str">
        <f t="shared" si="20"/>
        <v>Mrp Jce 256-MRP JCE powerful performance with great speed-ELC-MRP-JCE-256-PM-18-ELC-MRP</v>
      </c>
      <c r="Q69" s="2" t="str">
        <f t="shared" si="21"/>
        <v>Mrp Jce 256-Mobile</v>
      </c>
    </row>
    <row r="70" spans="1:17" x14ac:dyDescent="0.3">
      <c r="A70" s="2">
        <v>169</v>
      </c>
      <c r="B70" s="2" t="s">
        <v>214</v>
      </c>
      <c r="C70" s="2" t="s">
        <v>215</v>
      </c>
      <c r="D70" s="2" t="s">
        <v>15</v>
      </c>
      <c r="E70" s="2">
        <v>96941</v>
      </c>
      <c r="F70" s="2" t="s">
        <v>216</v>
      </c>
      <c r="G70" s="2" t="str">
        <f t="shared" si="11"/>
        <v>Rmi Ry5 2200</v>
      </c>
      <c r="H70" s="2" t="str">
        <f t="shared" si="12"/>
        <v>RMI Ry5 new generation product with enhanced quality</v>
      </c>
      <c r="I70" s="2" t="str">
        <f t="shared" si="13"/>
        <v>HOM-RMI-Ry5-2200-2023</v>
      </c>
      <c r="J70" s="2">
        <f t="shared" si="14"/>
        <v>21</v>
      </c>
      <c r="K70" s="2" t="str">
        <f t="shared" si="15"/>
        <v>HOM</v>
      </c>
      <c r="L70" s="2" t="str">
        <f t="shared" si="16"/>
        <v>RMI</v>
      </c>
      <c r="M70" s="2" t="str">
        <f t="shared" si="17"/>
        <v>Ry5</v>
      </c>
      <c r="N70" s="2" t="str">
        <f t="shared" si="18"/>
        <v>2200</v>
      </c>
      <c r="O70" s="2" t="str">
        <f t="shared" si="19"/>
        <v>2023</v>
      </c>
      <c r="P70" s="2" t="str">
        <f t="shared" si="20"/>
        <v>Rmi Ry5 2200-RMI Ry5 new generation product with enhanced quality-HOM-RMI-Ry5-2200-2023-21-HOM-RMI</v>
      </c>
      <c r="Q70" s="2" t="str">
        <f t="shared" si="21"/>
        <v>Rmi Ry5 2200-Electronics</v>
      </c>
    </row>
    <row r="71" spans="1:17" x14ac:dyDescent="0.3">
      <c r="A71" s="2">
        <v>170</v>
      </c>
      <c r="B71" s="2" t="s">
        <v>217</v>
      </c>
      <c r="C71" s="2" t="s">
        <v>218</v>
      </c>
      <c r="D71" s="2" t="s">
        <v>8</v>
      </c>
      <c r="E71" s="2">
        <v>105892</v>
      </c>
      <c r="F71" s="2" t="s">
        <v>219</v>
      </c>
      <c r="G71" s="2" t="str">
        <f t="shared" si="11"/>
        <v>Rmi Bln 128</v>
      </c>
      <c r="H71" s="2" t="str">
        <f t="shared" si="12"/>
        <v>RMI BLN powerful performance with great speed</v>
      </c>
      <c r="I71" s="2" t="str">
        <f t="shared" si="13"/>
        <v>KTC-RMI-BLN-128-MM</v>
      </c>
      <c r="J71" s="2">
        <f t="shared" si="14"/>
        <v>18</v>
      </c>
      <c r="K71" s="2" t="str">
        <f t="shared" si="15"/>
        <v>KTC</v>
      </c>
      <c r="L71" s="2" t="str">
        <f t="shared" si="16"/>
        <v>RMI</v>
      </c>
      <c r="M71" s="2" t="str">
        <f t="shared" si="17"/>
        <v>BLN</v>
      </c>
      <c r="N71" s="2" t="str">
        <f t="shared" si="18"/>
        <v>128</v>
      </c>
      <c r="O71" s="2" t="str">
        <f t="shared" si="19"/>
        <v>MM</v>
      </c>
      <c r="P71" s="2" t="str">
        <f t="shared" si="20"/>
        <v>Rmi Bln 128-RMI BLN powerful performance with great speed-KTC-RMI-BLN-128-MM-18-KTC-RMI</v>
      </c>
      <c r="Q71" s="2" t="str">
        <f t="shared" si="21"/>
        <v>Rmi Bln 128-Home Appliance</v>
      </c>
    </row>
    <row r="72" spans="1:17" x14ac:dyDescent="0.3">
      <c r="A72" s="2">
        <v>171</v>
      </c>
      <c r="B72" s="2" t="s">
        <v>220</v>
      </c>
      <c r="C72" s="2" t="s">
        <v>221</v>
      </c>
      <c r="D72" s="2" t="s">
        <v>56</v>
      </c>
      <c r="E72" s="2">
        <v>30878</v>
      </c>
      <c r="F72" s="2" t="s">
        <v>222</v>
      </c>
      <c r="G72" s="2" t="str">
        <f t="shared" si="11"/>
        <v>Gln Mwo 512</v>
      </c>
      <c r="H72" s="2" t="str">
        <f t="shared" si="12"/>
        <v>GLN MWO new generation product with enhanced quality</v>
      </c>
      <c r="I72" s="2" t="str">
        <f t="shared" si="13"/>
        <v>MOB-GLN-MWO-512-PRO</v>
      </c>
      <c r="J72" s="2">
        <f t="shared" si="14"/>
        <v>19</v>
      </c>
      <c r="K72" s="2" t="str">
        <f t="shared" si="15"/>
        <v>MOB</v>
      </c>
      <c r="L72" s="2" t="str">
        <f t="shared" si="16"/>
        <v>GLN</v>
      </c>
      <c r="M72" s="2" t="str">
        <f t="shared" si="17"/>
        <v>MWO</v>
      </c>
      <c r="N72" s="2" t="str">
        <f t="shared" si="18"/>
        <v>512</v>
      </c>
      <c r="O72" s="2" t="str">
        <f t="shared" si="19"/>
        <v>PRO</v>
      </c>
      <c r="P72" s="2" t="str">
        <f t="shared" si="20"/>
        <v>Gln Mwo 512-GLN MWO new generation product with enhanced quality-MOB-GLN-MWO-512-PRO-19-MOB-GLN</v>
      </c>
      <c r="Q72" s="2" t="str">
        <f t="shared" si="21"/>
        <v>Gln Mwo 512-Mobile</v>
      </c>
    </row>
    <row r="73" spans="1:17" x14ac:dyDescent="0.3">
      <c r="A73" s="2">
        <v>172</v>
      </c>
      <c r="B73" s="2" t="s">
        <v>223</v>
      </c>
      <c r="C73" s="2" t="s">
        <v>224</v>
      </c>
      <c r="D73" s="2" t="s">
        <v>8</v>
      </c>
      <c r="E73" s="2">
        <v>21032</v>
      </c>
      <c r="F73" s="2" t="s">
        <v>225</v>
      </c>
      <c r="G73" s="2" t="str">
        <f t="shared" si="11"/>
        <v>Phl Mcr 64</v>
      </c>
      <c r="H73" s="2" t="str">
        <f t="shared" si="12"/>
        <v>PHL MCR fast charging and reliable use</v>
      </c>
      <c r="I73" s="2" t="str">
        <f t="shared" si="13"/>
        <v>MOB-PHL-MCR-64-BT</v>
      </c>
      <c r="J73" s="2">
        <f t="shared" si="14"/>
        <v>17</v>
      </c>
      <c r="K73" s="2" t="str">
        <f t="shared" si="15"/>
        <v>MOB</v>
      </c>
      <c r="L73" s="2" t="str">
        <f t="shared" si="16"/>
        <v>PHL</v>
      </c>
      <c r="M73" s="2" t="str">
        <f t="shared" si="17"/>
        <v>MCR</v>
      </c>
      <c r="N73" s="2" t="str">
        <f t="shared" si="18"/>
        <v>64</v>
      </c>
      <c r="O73" s="2" t="str">
        <f t="shared" si="19"/>
        <v>BT</v>
      </c>
      <c r="P73" s="2" t="str">
        <f t="shared" si="20"/>
        <v>Phl Mcr 64-PHL MCR fast charging and reliable use-MOB-PHL-MCR-64-BT-17-MOB-PHL</v>
      </c>
      <c r="Q73" s="2" t="str">
        <f t="shared" si="21"/>
        <v>Phl Mcr 64-Home Appliance</v>
      </c>
    </row>
    <row r="74" spans="1:17" x14ac:dyDescent="0.3">
      <c r="A74" s="2">
        <v>173</v>
      </c>
      <c r="B74" s="2" t="s">
        <v>226</v>
      </c>
      <c r="C74" s="2" t="s">
        <v>227</v>
      </c>
      <c r="D74" s="2" t="s">
        <v>25</v>
      </c>
      <c r="E74" s="2">
        <v>56457</v>
      </c>
      <c r="F74" s="2" t="s">
        <v>228</v>
      </c>
      <c r="G74" s="2" t="str">
        <f t="shared" si="11"/>
        <v>Dll Ip13 1800</v>
      </c>
      <c r="H74" s="2" t="str">
        <f t="shared" si="12"/>
        <v>DLL IP13 new generation product with enhanced quality</v>
      </c>
      <c r="I74" s="2" t="str">
        <f t="shared" si="13"/>
        <v>HOM-DLL-IP13-1800-PRO</v>
      </c>
      <c r="J74" s="2">
        <f t="shared" si="14"/>
        <v>21</v>
      </c>
      <c r="K74" s="2" t="str">
        <f t="shared" si="15"/>
        <v>HOM</v>
      </c>
      <c r="L74" s="2" t="str">
        <f t="shared" si="16"/>
        <v>DLL</v>
      </c>
      <c r="M74" s="2" t="str">
        <f t="shared" si="17"/>
        <v>IP13</v>
      </c>
      <c r="N74" s="2" t="str">
        <f t="shared" si="18"/>
        <v>1800</v>
      </c>
      <c r="O74" s="2" t="str">
        <f t="shared" si="19"/>
        <v>PRO</v>
      </c>
      <c r="P74" s="2" t="str">
        <f t="shared" si="20"/>
        <v>Dll Ip13 1800-DLL IP13 new generation product with enhanced quality-HOM-DLL-IP13-1800-PRO-21-HOM-DLL</v>
      </c>
      <c r="Q74" s="2" t="str">
        <f t="shared" si="21"/>
        <v>Dll Ip13 1800-Kitchen</v>
      </c>
    </row>
    <row r="75" spans="1:17" x14ac:dyDescent="0.3">
      <c r="A75" s="2">
        <v>174</v>
      </c>
      <c r="B75" s="2" t="s">
        <v>229</v>
      </c>
      <c r="C75" s="2" t="s">
        <v>230</v>
      </c>
      <c r="D75" s="2" t="s">
        <v>15</v>
      </c>
      <c r="E75" s="2">
        <v>72170</v>
      </c>
      <c r="F75" s="2" t="s">
        <v>231</v>
      </c>
      <c r="G75" s="2" t="str">
        <f t="shared" si="11"/>
        <v>Whl Wac 2200</v>
      </c>
      <c r="H75" s="2" t="str">
        <f t="shared" si="12"/>
        <v>WHL WAC fast charging and reliable use</v>
      </c>
      <c r="I75" s="2" t="str">
        <f t="shared" si="13"/>
        <v>HOM-WHL-WAC-2200-2022</v>
      </c>
      <c r="J75" s="2">
        <f t="shared" si="14"/>
        <v>21</v>
      </c>
      <c r="K75" s="2" t="str">
        <f t="shared" si="15"/>
        <v>HOM</v>
      </c>
      <c r="L75" s="2" t="str">
        <f t="shared" si="16"/>
        <v>WHL</v>
      </c>
      <c r="M75" s="2" t="str">
        <f t="shared" si="17"/>
        <v>WAC</v>
      </c>
      <c r="N75" s="2" t="str">
        <f t="shared" si="18"/>
        <v>2200</v>
      </c>
      <c r="O75" s="2" t="str">
        <f t="shared" si="19"/>
        <v>2022</v>
      </c>
      <c r="P75" s="2" t="str">
        <f t="shared" si="20"/>
        <v>Whl Wac 2200-WHL WAC fast charging and reliable use-HOM-WHL-WAC-2200-2022-21-HOM-WHL</v>
      </c>
      <c r="Q75" s="2" t="str">
        <f t="shared" si="21"/>
        <v>Whl Wac 2200-Electronics</v>
      </c>
    </row>
    <row r="76" spans="1:17" x14ac:dyDescent="0.3">
      <c r="A76" s="2">
        <v>175</v>
      </c>
      <c r="B76" s="2" t="s">
        <v>232</v>
      </c>
      <c r="C76" s="2" t="s">
        <v>233</v>
      </c>
      <c r="D76" s="2" t="s">
        <v>56</v>
      </c>
      <c r="E76" s="2">
        <v>65889</v>
      </c>
      <c r="F76" s="2" t="s">
        <v>84</v>
      </c>
      <c r="G76" s="2" t="str">
        <f t="shared" si="11"/>
        <v>Whl Jce 512</v>
      </c>
      <c r="H76" s="2" t="str">
        <f t="shared" si="12"/>
        <v>WHL JCE stylish and durable build</v>
      </c>
      <c r="I76" s="2" t="str">
        <f t="shared" si="13"/>
        <v>ELC-WHL-JCE-512-2022</v>
      </c>
      <c r="J76" s="2">
        <f t="shared" si="14"/>
        <v>20</v>
      </c>
      <c r="K76" s="2" t="str">
        <f t="shared" si="15"/>
        <v>ELC</v>
      </c>
      <c r="L76" s="2" t="str">
        <f t="shared" si="16"/>
        <v>WHL</v>
      </c>
      <c r="M76" s="2" t="str">
        <f t="shared" si="17"/>
        <v>JCE</v>
      </c>
      <c r="N76" s="2" t="str">
        <f t="shared" si="18"/>
        <v>512</v>
      </c>
      <c r="O76" s="2" t="str">
        <f t="shared" si="19"/>
        <v>2022</v>
      </c>
      <c r="P76" s="2" t="str">
        <f t="shared" si="20"/>
        <v>Whl Jce 512-WHL JCE stylish and durable build-ELC-WHL-JCE-512-2022-20-ELC-WHL</v>
      </c>
      <c r="Q76" s="2" t="str">
        <f t="shared" si="21"/>
        <v>Whl Jce 512-Mobile</v>
      </c>
    </row>
    <row r="77" spans="1:17" x14ac:dyDescent="0.3">
      <c r="A77" s="2">
        <v>176</v>
      </c>
      <c r="B77" s="2" t="s">
        <v>234</v>
      </c>
      <c r="C77" s="2" t="s">
        <v>235</v>
      </c>
      <c r="D77" s="2" t="s">
        <v>8</v>
      </c>
      <c r="E77" s="2">
        <v>31147</v>
      </c>
      <c r="F77" s="2" t="s">
        <v>236</v>
      </c>
      <c r="G77" s="2" t="str">
        <f t="shared" si="11"/>
        <v>One Jce 32</v>
      </c>
      <c r="H77" s="2" t="str">
        <f t="shared" si="12"/>
        <v>ONE JCE latest model with high performance</v>
      </c>
      <c r="I77" s="2" t="str">
        <f t="shared" si="13"/>
        <v>HOM-ONE-JCE-32-2023</v>
      </c>
      <c r="J77" s="2">
        <f t="shared" si="14"/>
        <v>19</v>
      </c>
      <c r="K77" s="2" t="str">
        <f t="shared" si="15"/>
        <v>HOM</v>
      </c>
      <c r="L77" s="2" t="str">
        <f t="shared" si="16"/>
        <v>ONE</v>
      </c>
      <c r="M77" s="2" t="str">
        <f t="shared" si="17"/>
        <v>JCE</v>
      </c>
      <c r="N77" s="2" t="str">
        <f t="shared" si="18"/>
        <v>32</v>
      </c>
      <c r="O77" s="2" t="str">
        <f t="shared" si="19"/>
        <v>2023</v>
      </c>
      <c r="P77" s="2" t="str">
        <f t="shared" si="20"/>
        <v>One Jce 32-ONE JCE latest model with high performance-HOM-ONE-JCE-32-2023-19-HOM-ONE</v>
      </c>
      <c r="Q77" s="2" t="str">
        <f t="shared" si="21"/>
        <v>One Jce 32-Home Appliance</v>
      </c>
    </row>
    <row r="78" spans="1:17" x14ac:dyDescent="0.3">
      <c r="A78" s="2">
        <v>177</v>
      </c>
      <c r="B78" s="2" t="s">
        <v>237</v>
      </c>
      <c r="C78" s="2" t="s">
        <v>238</v>
      </c>
      <c r="D78" s="2" t="s">
        <v>56</v>
      </c>
      <c r="E78" s="2">
        <v>106900</v>
      </c>
      <c r="F78" s="2" t="s">
        <v>239</v>
      </c>
      <c r="G78" s="2" t="str">
        <f t="shared" si="11"/>
        <v>Whl Cof I5</v>
      </c>
      <c r="H78" s="2" t="str">
        <f t="shared" si="12"/>
        <v>WHL COF stylish and durable build</v>
      </c>
      <c r="I78" s="2" t="str">
        <f t="shared" si="13"/>
        <v>KTC-WHL-COF-i5-PRO</v>
      </c>
      <c r="J78" s="2">
        <f t="shared" si="14"/>
        <v>18</v>
      </c>
      <c r="K78" s="2" t="str">
        <f t="shared" si="15"/>
        <v>KTC</v>
      </c>
      <c r="L78" s="2" t="str">
        <f t="shared" si="16"/>
        <v>WHL</v>
      </c>
      <c r="M78" s="2" t="str">
        <f t="shared" si="17"/>
        <v>COF</v>
      </c>
      <c r="N78" s="2" t="str">
        <f t="shared" si="18"/>
        <v>i5</v>
      </c>
      <c r="O78" s="2" t="str">
        <f t="shared" si="19"/>
        <v>PRO</v>
      </c>
      <c r="P78" s="2" t="str">
        <f t="shared" si="20"/>
        <v>Whl Cof I5-WHL COF stylish and durable build-KTC-WHL-COF-i5-PRO-18-KTC-WHL</v>
      </c>
      <c r="Q78" s="2" t="str">
        <f t="shared" si="21"/>
        <v>Whl Cof I5-Mobile</v>
      </c>
    </row>
    <row r="79" spans="1:17" x14ac:dyDescent="0.3">
      <c r="A79" s="2">
        <v>178</v>
      </c>
      <c r="B79" s="2" t="s">
        <v>240</v>
      </c>
      <c r="C79" s="2" t="s">
        <v>241</v>
      </c>
      <c r="D79" s="2" t="s">
        <v>8</v>
      </c>
      <c r="E79" s="2">
        <v>40015</v>
      </c>
      <c r="F79" s="2" t="s">
        <v>242</v>
      </c>
      <c r="G79" s="2" t="str">
        <f t="shared" si="11"/>
        <v>Phl 11R I5</v>
      </c>
      <c r="H79" s="2" t="str">
        <f t="shared" si="12"/>
        <v>PHL 11R lightweight and easy to carry</v>
      </c>
      <c r="I79" s="2" t="str">
        <f t="shared" si="13"/>
        <v>ELC-PHL-11R-i5-2022</v>
      </c>
      <c r="J79" s="2">
        <f t="shared" si="14"/>
        <v>19</v>
      </c>
      <c r="K79" s="2" t="str">
        <f t="shared" si="15"/>
        <v>ELC</v>
      </c>
      <c r="L79" s="2" t="str">
        <f t="shared" si="16"/>
        <v>PHL</v>
      </c>
      <c r="M79" s="2" t="str">
        <f t="shared" si="17"/>
        <v>11R</v>
      </c>
      <c r="N79" s="2" t="str">
        <f t="shared" si="18"/>
        <v>i5</v>
      </c>
      <c r="O79" s="2" t="str">
        <f t="shared" si="19"/>
        <v>2022</v>
      </c>
      <c r="P79" s="2" t="str">
        <f t="shared" si="20"/>
        <v>Phl 11R I5-PHL 11R lightweight and easy to carry-ELC-PHL-11R-i5-2022-19-ELC-PHL</v>
      </c>
      <c r="Q79" s="2" t="str">
        <f t="shared" si="21"/>
        <v>Phl 11R I5-Home Appliance</v>
      </c>
    </row>
    <row r="80" spans="1:17" x14ac:dyDescent="0.3">
      <c r="A80" s="2">
        <v>179</v>
      </c>
      <c r="B80" s="2" t="s">
        <v>243</v>
      </c>
      <c r="C80" s="2" t="s">
        <v>244</v>
      </c>
      <c r="D80" s="2" t="s">
        <v>25</v>
      </c>
      <c r="E80" s="2">
        <v>117825</v>
      </c>
      <c r="F80" s="2" t="s">
        <v>245</v>
      </c>
      <c r="G80" s="2" t="str">
        <f t="shared" si="11"/>
        <v>Prt Ry5 750</v>
      </c>
      <c r="H80" s="2" t="str">
        <f t="shared" si="12"/>
        <v>PRT Ry5 eco-friendly and cost effective</v>
      </c>
      <c r="I80" s="2" t="str">
        <f t="shared" si="13"/>
        <v>KTC-PRT-Ry5-750-BT</v>
      </c>
      <c r="J80" s="2">
        <f t="shared" si="14"/>
        <v>18</v>
      </c>
      <c r="K80" s="2" t="str">
        <f t="shared" si="15"/>
        <v>KTC</v>
      </c>
      <c r="L80" s="2" t="str">
        <f t="shared" si="16"/>
        <v>PRT</v>
      </c>
      <c r="M80" s="2" t="str">
        <f t="shared" si="17"/>
        <v>Ry5</v>
      </c>
      <c r="N80" s="2" t="str">
        <f t="shared" si="18"/>
        <v>750</v>
      </c>
      <c r="O80" s="2" t="str">
        <f t="shared" si="19"/>
        <v>BT</v>
      </c>
      <c r="P80" s="2" t="str">
        <f t="shared" si="20"/>
        <v>Prt Ry5 750-PRT Ry5 eco-friendly and cost effective-KTC-PRT-Ry5-750-BT-18-KTC-PRT</v>
      </c>
      <c r="Q80" s="2" t="str">
        <f t="shared" si="21"/>
        <v>Prt Ry5 750-Kitchen</v>
      </c>
    </row>
    <row r="81" spans="1:17" x14ac:dyDescent="0.3">
      <c r="A81" s="2">
        <v>180</v>
      </c>
      <c r="B81" s="2" t="s">
        <v>246</v>
      </c>
      <c r="C81" s="2" t="s">
        <v>247</v>
      </c>
      <c r="D81" s="2" t="s">
        <v>56</v>
      </c>
      <c r="E81" s="2">
        <v>48297</v>
      </c>
      <c r="F81" s="2" t="s">
        <v>248</v>
      </c>
      <c r="G81" s="2" t="str">
        <f t="shared" si="11"/>
        <v>Gln Ip13 64</v>
      </c>
      <c r="H81" s="2" t="str">
        <f t="shared" si="12"/>
        <v>GLN IP13 eco-friendly and cost effective</v>
      </c>
      <c r="I81" s="2" t="str">
        <f t="shared" si="13"/>
        <v>MOB-GLN-IP13-64-BT</v>
      </c>
      <c r="J81" s="2">
        <f t="shared" si="14"/>
        <v>18</v>
      </c>
      <c r="K81" s="2" t="str">
        <f t="shared" si="15"/>
        <v>MOB</v>
      </c>
      <c r="L81" s="2" t="str">
        <f t="shared" si="16"/>
        <v>GLN</v>
      </c>
      <c r="M81" s="2" t="str">
        <f t="shared" si="17"/>
        <v>IP13</v>
      </c>
      <c r="N81" s="2" t="str">
        <f t="shared" si="18"/>
        <v>64</v>
      </c>
      <c r="O81" s="2" t="str">
        <f t="shared" si="19"/>
        <v>BT</v>
      </c>
      <c r="P81" s="2" t="str">
        <f t="shared" si="20"/>
        <v>Gln Ip13 64-GLN IP13 eco-friendly and cost effective-MOB-GLN-IP13-64-BT-18-MOB-GLN</v>
      </c>
      <c r="Q81" s="2" t="str">
        <f t="shared" si="21"/>
        <v>Gln Ip13 64-Mobile</v>
      </c>
    </row>
    <row r="82" spans="1:17" x14ac:dyDescent="0.3">
      <c r="A82" s="2">
        <v>181</v>
      </c>
      <c r="B82" s="2" t="s">
        <v>249</v>
      </c>
      <c r="C82" s="2" t="s">
        <v>250</v>
      </c>
      <c r="D82" s="2" t="s">
        <v>8</v>
      </c>
      <c r="E82" s="2">
        <v>67761</v>
      </c>
      <c r="F82" s="2" t="s">
        <v>251</v>
      </c>
      <c r="G82" s="2" t="str">
        <f t="shared" si="11"/>
        <v>Dll Ip13 32</v>
      </c>
      <c r="H82" s="2" t="str">
        <f t="shared" si="12"/>
        <v>DLL IP13 premium material and smooth finish</v>
      </c>
      <c r="I82" s="2" t="str">
        <f t="shared" si="13"/>
        <v>HOM-DLL-IP13-32-W</v>
      </c>
      <c r="J82" s="2">
        <f t="shared" si="14"/>
        <v>17</v>
      </c>
      <c r="K82" s="2" t="str">
        <f t="shared" si="15"/>
        <v>HOM</v>
      </c>
      <c r="L82" s="2" t="str">
        <f t="shared" si="16"/>
        <v>DLL</v>
      </c>
      <c r="M82" s="2" t="str">
        <f t="shared" si="17"/>
        <v>IP13</v>
      </c>
      <c r="N82" s="2" t="str">
        <f t="shared" si="18"/>
        <v>32</v>
      </c>
      <c r="O82" s="2" t="str">
        <f t="shared" si="19"/>
        <v>W</v>
      </c>
      <c r="P82" s="2" t="str">
        <f t="shared" si="20"/>
        <v>Dll Ip13 32-DLL IP13 premium material and smooth finish-HOM-DLL-IP13-32-W-17-HOM-DLL</v>
      </c>
      <c r="Q82" s="2" t="str">
        <f t="shared" si="21"/>
        <v>Dll Ip13 32-Home Appliance</v>
      </c>
    </row>
    <row r="83" spans="1:17" x14ac:dyDescent="0.3">
      <c r="A83" s="2">
        <v>182</v>
      </c>
      <c r="B83" s="2" t="s">
        <v>252</v>
      </c>
      <c r="C83" s="2" t="s">
        <v>253</v>
      </c>
      <c r="D83" s="2" t="s">
        <v>8</v>
      </c>
      <c r="E83" s="2">
        <v>74975</v>
      </c>
      <c r="F83" s="2" t="s">
        <v>254</v>
      </c>
      <c r="G83" s="2" t="str">
        <f t="shared" si="11"/>
        <v>Opp Ry5 I5</v>
      </c>
      <c r="H83" s="2" t="str">
        <f t="shared" si="12"/>
        <v>OPP Ry5 lightweight and easy to carry</v>
      </c>
      <c r="I83" s="2" t="str">
        <f t="shared" si="13"/>
        <v>KTC-OPP-Ry5-i5-MM</v>
      </c>
      <c r="J83" s="2">
        <f t="shared" si="14"/>
        <v>17</v>
      </c>
      <c r="K83" s="2" t="str">
        <f t="shared" si="15"/>
        <v>KTC</v>
      </c>
      <c r="L83" s="2" t="str">
        <f t="shared" si="16"/>
        <v>OPP</v>
      </c>
      <c r="M83" s="2" t="str">
        <f t="shared" si="17"/>
        <v>Ry5</v>
      </c>
      <c r="N83" s="2" t="str">
        <f t="shared" si="18"/>
        <v>i5</v>
      </c>
      <c r="O83" s="2" t="str">
        <f t="shared" si="19"/>
        <v>MM</v>
      </c>
      <c r="P83" s="2" t="str">
        <f t="shared" si="20"/>
        <v>Opp Ry5 I5-OPP Ry5 lightweight and easy to carry-KTC-OPP-Ry5-i5-MM-17-KTC-OPP</v>
      </c>
      <c r="Q83" s="2" t="str">
        <f t="shared" si="21"/>
        <v>Opp Ry5 I5-Home Appliance</v>
      </c>
    </row>
    <row r="84" spans="1:17" x14ac:dyDescent="0.3">
      <c r="A84" s="2">
        <v>183</v>
      </c>
      <c r="B84" s="2" t="s">
        <v>255</v>
      </c>
      <c r="C84" s="2" t="s">
        <v>256</v>
      </c>
      <c r="D84" s="2" t="s">
        <v>25</v>
      </c>
      <c r="E84" s="2">
        <v>44578</v>
      </c>
      <c r="F84" s="2" t="s">
        <v>257</v>
      </c>
      <c r="G84" s="2" t="str">
        <f t="shared" si="11"/>
        <v>Hvl Vac 1L</v>
      </c>
      <c r="H84" s="2" t="str">
        <f t="shared" si="12"/>
        <v>HVL VAC new generation product with enhanced quality</v>
      </c>
      <c r="I84" s="2" t="str">
        <f t="shared" si="13"/>
        <v>HOM-HVL-VAC-1L-2023</v>
      </c>
      <c r="J84" s="2">
        <f t="shared" si="14"/>
        <v>19</v>
      </c>
      <c r="K84" s="2" t="str">
        <f t="shared" si="15"/>
        <v>HOM</v>
      </c>
      <c r="L84" s="2" t="str">
        <f t="shared" si="16"/>
        <v>HVL</v>
      </c>
      <c r="M84" s="2" t="str">
        <f t="shared" si="17"/>
        <v>VAC</v>
      </c>
      <c r="N84" s="2" t="str">
        <f t="shared" si="18"/>
        <v>1L</v>
      </c>
      <c r="O84" s="2" t="str">
        <f t="shared" si="19"/>
        <v>2023</v>
      </c>
      <c r="P84" s="2" t="str">
        <f t="shared" si="20"/>
        <v>Hvl Vac 1L-HVL VAC new generation product with enhanced quality-HOM-HVL-VAC-1L-2023-19-HOM-HVL</v>
      </c>
      <c r="Q84" s="2" t="str">
        <f t="shared" si="21"/>
        <v>Hvl Vac 1L-Kitchen</v>
      </c>
    </row>
    <row r="85" spans="1:17" x14ac:dyDescent="0.3">
      <c r="A85" s="2">
        <v>184</v>
      </c>
      <c r="B85" s="2" t="s">
        <v>258</v>
      </c>
      <c r="C85" s="2" t="s">
        <v>259</v>
      </c>
      <c r="D85" s="2" t="s">
        <v>25</v>
      </c>
      <c r="E85" s="2">
        <v>107839</v>
      </c>
      <c r="F85" s="2" t="s">
        <v>260</v>
      </c>
      <c r="G85" s="2" t="str">
        <f t="shared" si="11"/>
        <v>Whl Lp 20L</v>
      </c>
      <c r="H85" s="2" t="str">
        <f t="shared" si="12"/>
        <v>WHL LP advanced features with sleek design</v>
      </c>
      <c r="I85" s="2" t="str">
        <f t="shared" si="13"/>
        <v>ELC-WHL-LP-20L-2022</v>
      </c>
      <c r="J85" s="2">
        <f t="shared" si="14"/>
        <v>19</v>
      </c>
      <c r="K85" s="2" t="str">
        <f t="shared" si="15"/>
        <v>ELC</v>
      </c>
      <c r="L85" s="2" t="str">
        <f t="shared" si="16"/>
        <v>WHL</v>
      </c>
      <c r="M85" s="2" t="str">
        <f t="shared" si="17"/>
        <v>LP</v>
      </c>
      <c r="N85" s="2" t="str">
        <f t="shared" si="18"/>
        <v>20L</v>
      </c>
      <c r="O85" s="2" t="str">
        <f t="shared" si="19"/>
        <v>2022</v>
      </c>
      <c r="P85" s="2" t="str">
        <f t="shared" si="20"/>
        <v>Whl Lp 20L-WHL LP advanced features with sleek design-ELC-WHL-LP-20L-2022-19-ELC-WHL</v>
      </c>
      <c r="Q85" s="2" t="str">
        <f t="shared" si="21"/>
        <v>Whl Lp 20L-Kitchen</v>
      </c>
    </row>
    <row r="86" spans="1:17" x14ac:dyDescent="0.3">
      <c r="A86" s="2">
        <v>185</v>
      </c>
      <c r="B86" s="2" t="s">
        <v>261</v>
      </c>
      <c r="C86" s="2" t="s">
        <v>262</v>
      </c>
      <c r="D86" s="2" t="s">
        <v>15</v>
      </c>
      <c r="E86" s="2">
        <v>63571</v>
      </c>
      <c r="F86" s="2" t="s">
        <v>263</v>
      </c>
      <c r="G86" s="2" t="str">
        <f t="shared" si="11"/>
        <v>One Vac 2023</v>
      </c>
      <c r="H86" s="2" t="str">
        <f t="shared" si="12"/>
        <v>ONE VAC premium material and smooth finish</v>
      </c>
      <c r="I86" s="2" t="str">
        <f t="shared" si="13"/>
        <v>MOB-ONE-VAC-2023-BT</v>
      </c>
      <c r="J86" s="2">
        <f t="shared" si="14"/>
        <v>19</v>
      </c>
      <c r="K86" s="2" t="str">
        <f t="shared" si="15"/>
        <v>MOB</v>
      </c>
      <c r="L86" s="2" t="str">
        <f t="shared" si="16"/>
        <v>ONE</v>
      </c>
      <c r="M86" s="2" t="str">
        <f t="shared" si="17"/>
        <v>VAC</v>
      </c>
      <c r="N86" s="2" t="str">
        <f t="shared" si="18"/>
        <v>2023</v>
      </c>
      <c r="O86" s="2" t="str">
        <f t="shared" si="19"/>
        <v>BT</v>
      </c>
      <c r="P86" s="2" t="str">
        <f t="shared" si="20"/>
        <v>One Vac 2023-ONE VAC premium material and smooth finish-MOB-ONE-VAC-2023-BT-19-MOB-ONE</v>
      </c>
      <c r="Q86" s="2" t="str">
        <f t="shared" si="21"/>
        <v>One Vac 2023-Electronics</v>
      </c>
    </row>
    <row r="87" spans="1:17" x14ac:dyDescent="0.3">
      <c r="A87" s="2">
        <v>186</v>
      </c>
      <c r="B87" s="2" t="s">
        <v>264</v>
      </c>
      <c r="C87" s="2" t="s">
        <v>265</v>
      </c>
      <c r="D87" s="2" t="s">
        <v>15</v>
      </c>
      <c r="E87" s="2">
        <v>55493</v>
      </c>
      <c r="F87" s="2" t="s">
        <v>266</v>
      </c>
      <c r="G87" s="2" t="str">
        <f t="shared" si="11"/>
        <v>Lnv A24 750</v>
      </c>
      <c r="H87" s="2" t="str">
        <f t="shared" si="12"/>
        <v>LNV A24 latest model with high performance</v>
      </c>
      <c r="I87" s="2" t="str">
        <f t="shared" si="13"/>
        <v>ELC-LNV-A24-750-2023</v>
      </c>
      <c r="J87" s="2">
        <f t="shared" si="14"/>
        <v>20</v>
      </c>
      <c r="K87" s="2" t="str">
        <f t="shared" si="15"/>
        <v>ELC</v>
      </c>
      <c r="L87" s="2" t="str">
        <f t="shared" si="16"/>
        <v>LNV</v>
      </c>
      <c r="M87" s="2" t="str">
        <f t="shared" si="17"/>
        <v>A24</v>
      </c>
      <c r="N87" s="2" t="str">
        <f t="shared" si="18"/>
        <v>750</v>
      </c>
      <c r="O87" s="2" t="str">
        <f t="shared" si="19"/>
        <v>2023</v>
      </c>
      <c r="P87" s="2" t="str">
        <f t="shared" si="20"/>
        <v>Lnv A24 750-LNV A24 latest model with high performance-ELC-LNV-A24-750-2023-20-ELC-LNV</v>
      </c>
      <c r="Q87" s="2" t="str">
        <f t="shared" si="21"/>
        <v>Lnv A24 750-Electronics</v>
      </c>
    </row>
    <row r="88" spans="1:17" x14ac:dyDescent="0.3">
      <c r="A88" s="2">
        <v>187</v>
      </c>
      <c r="B88" s="2" t="s">
        <v>267</v>
      </c>
      <c r="C88" s="2" t="s">
        <v>268</v>
      </c>
      <c r="D88" s="2" t="s">
        <v>56</v>
      </c>
      <c r="E88" s="2">
        <v>15647</v>
      </c>
      <c r="F88" s="2" t="s">
        <v>269</v>
      </c>
      <c r="G88" s="2" t="str">
        <f t="shared" si="11"/>
        <v>Lnv Jce Ry5</v>
      </c>
      <c r="H88" s="2" t="str">
        <f t="shared" si="12"/>
        <v>LNV JCE fast charging and reliable use</v>
      </c>
      <c r="I88" s="2" t="str">
        <f t="shared" si="13"/>
        <v>ELC-LNV-JCE-Ry5-2022</v>
      </c>
      <c r="J88" s="2">
        <f t="shared" si="14"/>
        <v>20</v>
      </c>
      <c r="K88" s="2" t="str">
        <f t="shared" si="15"/>
        <v>ELC</v>
      </c>
      <c r="L88" s="2" t="str">
        <f t="shared" si="16"/>
        <v>LNV</v>
      </c>
      <c r="M88" s="2" t="str">
        <f t="shared" si="17"/>
        <v>JCE</v>
      </c>
      <c r="N88" s="2" t="str">
        <f t="shared" si="18"/>
        <v>Ry5</v>
      </c>
      <c r="O88" s="2" t="str">
        <f t="shared" si="19"/>
        <v>2022</v>
      </c>
      <c r="P88" s="2" t="str">
        <f t="shared" si="20"/>
        <v>Lnv Jce Ry5-LNV JCE fast charging and reliable use-ELC-LNV-JCE-Ry5-2022-20-ELC-LNV</v>
      </c>
      <c r="Q88" s="2" t="str">
        <f t="shared" si="21"/>
        <v>Lnv Jce Ry5-Mobile</v>
      </c>
    </row>
    <row r="89" spans="1:17" x14ac:dyDescent="0.3">
      <c r="A89" s="2">
        <v>188</v>
      </c>
      <c r="B89" s="2" t="s">
        <v>270</v>
      </c>
      <c r="C89" s="2" t="s">
        <v>271</v>
      </c>
      <c r="D89" s="2" t="s">
        <v>8</v>
      </c>
      <c r="E89" s="2">
        <v>118762</v>
      </c>
      <c r="F89" s="2" t="s">
        <v>272</v>
      </c>
      <c r="G89" s="2" t="str">
        <f t="shared" si="11"/>
        <v>Lnv Vac 2200</v>
      </c>
      <c r="H89" s="2" t="str">
        <f t="shared" si="12"/>
        <v>LNV VAC premium material and smooth finish</v>
      </c>
      <c r="I89" s="2" t="str">
        <f t="shared" si="13"/>
        <v>ELC-LNV-VAC-2200-BT</v>
      </c>
      <c r="J89" s="2">
        <f t="shared" si="14"/>
        <v>19</v>
      </c>
      <c r="K89" s="2" t="str">
        <f t="shared" si="15"/>
        <v>ELC</v>
      </c>
      <c r="L89" s="2" t="str">
        <f t="shared" si="16"/>
        <v>LNV</v>
      </c>
      <c r="M89" s="2" t="str">
        <f t="shared" si="17"/>
        <v>VAC</v>
      </c>
      <c r="N89" s="2" t="str">
        <f t="shared" si="18"/>
        <v>2200</v>
      </c>
      <c r="O89" s="2" t="str">
        <f t="shared" si="19"/>
        <v>BT</v>
      </c>
      <c r="P89" s="2" t="str">
        <f t="shared" si="20"/>
        <v>Lnv Vac 2200-LNV VAC premium material and smooth finish-ELC-LNV-VAC-2200-BT-19-ELC-LNV</v>
      </c>
      <c r="Q89" s="2" t="str">
        <f t="shared" si="21"/>
        <v>Lnv Vac 2200-Home Appliance</v>
      </c>
    </row>
    <row r="90" spans="1:17" x14ac:dyDescent="0.3">
      <c r="A90" s="2">
        <v>189</v>
      </c>
      <c r="B90" s="2" t="s">
        <v>273</v>
      </c>
      <c r="C90" s="2" t="s">
        <v>274</v>
      </c>
      <c r="D90" s="2" t="s">
        <v>25</v>
      </c>
      <c r="E90" s="2">
        <v>52676</v>
      </c>
      <c r="F90" s="2" t="s">
        <v>275</v>
      </c>
      <c r="G90" s="2" t="str">
        <f t="shared" si="11"/>
        <v>Dll Wac 512</v>
      </c>
      <c r="H90" s="2" t="str">
        <f t="shared" si="12"/>
        <v>DLL WAC new generation product with enhanced quality</v>
      </c>
      <c r="I90" s="2" t="str">
        <f t="shared" si="13"/>
        <v>ELC-DLL-WAC-512-2022</v>
      </c>
      <c r="J90" s="2">
        <f t="shared" si="14"/>
        <v>20</v>
      </c>
      <c r="K90" s="2" t="str">
        <f t="shared" si="15"/>
        <v>ELC</v>
      </c>
      <c r="L90" s="2" t="str">
        <f t="shared" si="16"/>
        <v>DLL</v>
      </c>
      <c r="M90" s="2" t="str">
        <f t="shared" si="17"/>
        <v>WAC</v>
      </c>
      <c r="N90" s="2" t="str">
        <f t="shared" si="18"/>
        <v>512</v>
      </c>
      <c r="O90" s="2" t="str">
        <f t="shared" si="19"/>
        <v>2022</v>
      </c>
      <c r="P90" s="2" t="str">
        <f t="shared" si="20"/>
        <v>Dll Wac 512-DLL WAC new generation product with enhanced quality-ELC-DLL-WAC-512-2022-20-ELC-DLL</v>
      </c>
      <c r="Q90" s="2" t="str">
        <f t="shared" si="21"/>
        <v>Dll Wac 512-Kitchen</v>
      </c>
    </row>
    <row r="91" spans="1:17" x14ac:dyDescent="0.3">
      <c r="A91" s="2">
        <v>190</v>
      </c>
      <c r="B91" s="2" t="s">
        <v>276</v>
      </c>
      <c r="C91" s="2" t="s">
        <v>277</v>
      </c>
      <c r="D91" s="2" t="s">
        <v>25</v>
      </c>
      <c r="E91" s="2">
        <v>14600</v>
      </c>
      <c r="F91" s="2" t="s">
        <v>278</v>
      </c>
      <c r="G91" s="2" t="str">
        <f t="shared" si="11"/>
        <v>Bjr Y55 20L</v>
      </c>
      <c r="H91" s="2" t="str">
        <f t="shared" si="12"/>
        <v>BJR Y55 eco-friendly and cost effective</v>
      </c>
      <c r="I91" s="2" t="str">
        <f t="shared" si="13"/>
        <v>HOM-BJR-Y55-20L-BT</v>
      </c>
      <c r="J91" s="2">
        <f t="shared" si="14"/>
        <v>18</v>
      </c>
      <c r="K91" s="2" t="str">
        <f t="shared" si="15"/>
        <v>HOM</v>
      </c>
      <c r="L91" s="2" t="str">
        <f t="shared" si="16"/>
        <v>BJR</v>
      </c>
      <c r="M91" s="2" t="str">
        <f t="shared" si="17"/>
        <v>Y55</v>
      </c>
      <c r="N91" s="2" t="str">
        <f t="shared" si="18"/>
        <v>20L</v>
      </c>
      <c r="O91" s="2" t="str">
        <f t="shared" si="19"/>
        <v>BT</v>
      </c>
      <c r="P91" s="2" t="str">
        <f t="shared" si="20"/>
        <v>Bjr Y55 20L-BJR Y55 eco-friendly and cost effective-HOM-BJR-Y55-20L-BT-18-HOM-BJR</v>
      </c>
      <c r="Q91" s="2" t="str">
        <f t="shared" si="21"/>
        <v>Bjr Y55 20L-Kitchen</v>
      </c>
    </row>
    <row r="92" spans="1:17" x14ac:dyDescent="0.3">
      <c r="A92" s="2">
        <v>191</v>
      </c>
      <c r="B92" s="2" t="s">
        <v>279</v>
      </c>
      <c r="C92" s="2" t="s">
        <v>280</v>
      </c>
      <c r="D92" s="2" t="s">
        <v>56</v>
      </c>
      <c r="E92" s="2">
        <v>91566</v>
      </c>
      <c r="F92" s="2" t="s">
        <v>281</v>
      </c>
      <c r="G92" s="2" t="str">
        <f t="shared" si="11"/>
        <v>Hvl Mcr Ry5</v>
      </c>
      <c r="H92" s="2" t="str">
        <f t="shared" si="12"/>
        <v>HVL MCR lightweight and easy to carry</v>
      </c>
      <c r="I92" s="2" t="str">
        <f t="shared" si="13"/>
        <v>MOB-HVL-MCR-Ry5-PM</v>
      </c>
      <c r="J92" s="2">
        <f t="shared" si="14"/>
        <v>18</v>
      </c>
      <c r="K92" s="2" t="str">
        <f t="shared" si="15"/>
        <v>MOB</v>
      </c>
      <c r="L92" s="2" t="str">
        <f t="shared" si="16"/>
        <v>HVL</v>
      </c>
      <c r="M92" s="2" t="str">
        <f t="shared" si="17"/>
        <v>MCR</v>
      </c>
      <c r="N92" s="2" t="str">
        <f t="shared" si="18"/>
        <v>Ry5</v>
      </c>
      <c r="O92" s="2" t="str">
        <f t="shared" si="19"/>
        <v>PM</v>
      </c>
      <c r="P92" s="2" t="str">
        <f t="shared" si="20"/>
        <v>Hvl Mcr Ry5-HVL MCR lightweight and easy to carry-MOB-HVL-MCR-Ry5-PM-18-MOB-HVL</v>
      </c>
      <c r="Q92" s="2" t="str">
        <f t="shared" si="21"/>
        <v>Hvl Mcr Ry5-Mobile</v>
      </c>
    </row>
    <row r="93" spans="1:17" x14ac:dyDescent="0.3">
      <c r="A93" s="2">
        <v>192</v>
      </c>
      <c r="B93" s="2" t="s">
        <v>282</v>
      </c>
      <c r="C93" s="2" t="s">
        <v>283</v>
      </c>
      <c r="D93" s="2" t="s">
        <v>56</v>
      </c>
      <c r="E93" s="2">
        <v>78628</v>
      </c>
      <c r="F93" s="2" t="s">
        <v>284</v>
      </c>
      <c r="G93" s="2" t="str">
        <f t="shared" si="11"/>
        <v>Vvo Tv 750</v>
      </c>
      <c r="H93" s="2" t="str">
        <f t="shared" si="12"/>
        <v>VVO TV fast charging and reliable use</v>
      </c>
      <c r="I93" s="2" t="str">
        <f t="shared" si="13"/>
        <v>HOM-VVO-TV-750-2022</v>
      </c>
      <c r="J93" s="2">
        <f t="shared" si="14"/>
        <v>19</v>
      </c>
      <c r="K93" s="2" t="str">
        <f t="shared" si="15"/>
        <v>HOM</v>
      </c>
      <c r="L93" s="2" t="str">
        <f t="shared" si="16"/>
        <v>VVO</v>
      </c>
      <c r="M93" s="2" t="str">
        <f t="shared" si="17"/>
        <v>TV</v>
      </c>
      <c r="N93" s="2" t="str">
        <f t="shared" si="18"/>
        <v>750</v>
      </c>
      <c r="O93" s="2" t="str">
        <f t="shared" si="19"/>
        <v>2022</v>
      </c>
      <c r="P93" s="2" t="str">
        <f t="shared" si="20"/>
        <v>Vvo Tv 750-VVO TV fast charging and reliable use-HOM-VVO-TV-750-2022-19-HOM-VVO</v>
      </c>
      <c r="Q93" s="2" t="str">
        <f t="shared" si="21"/>
        <v>Vvo Tv 750-Mobile</v>
      </c>
    </row>
    <row r="94" spans="1:17" x14ac:dyDescent="0.3">
      <c r="A94" s="2">
        <v>193</v>
      </c>
      <c r="B94" s="2" t="s">
        <v>285</v>
      </c>
      <c r="C94" s="2" t="s">
        <v>286</v>
      </c>
      <c r="D94" s="2" t="s">
        <v>25</v>
      </c>
      <c r="E94" s="2">
        <v>111122</v>
      </c>
      <c r="F94" s="2" t="s">
        <v>287</v>
      </c>
      <c r="G94" s="2" t="str">
        <f t="shared" si="11"/>
        <v>Son Vac 32</v>
      </c>
      <c r="H94" s="2" t="str">
        <f t="shared" si="12"/>
        <v>SON VAC lightweight and easy to carry</v>
      </c>
      <c r="I94" s="2" t="str">
        <f t="shared" si="13"/>
        <v>ELC-SON-VAC-32-MM</v>
      </c>
      <c r="J94" s="2">
        <f t="shared" si="14"/>
        <v>17</v>
      </c>
      <c r="K94" s="2" t="str">
        <f t="shared" si="15"/>
        <v>ELC</v>
      </c>
      <c r="L94" s="2" t="str">
        <f t="shared" si="16"/>
        <v>SON</v>
      </c>
      <c r="M94" s="2" t="str">
        <f t="shared" si="17"/>
        <v>VAC</v>
      </c>
      <c r="N94" s="2" t="str">
        <f t="shared" si="18"/>
        <v>32</v>
      </c>
      <c r="O94" s="2" t="str">
        <f t="shared" si="19"/>
        <v>MM</v>
      </c>
      <c r="P94" s="2" t="str">
        <f t="shared" si="20"/>
        <v>Son Vac 32-SON VAC lightweight and easy to carry-ELC-SON-VAC-32-MM-17-ELC-SON</v>
      </c>
      <c r="Q94" s="2" t="str">
        <f t="shared" si="21"/>
        <v>Son Vac 32-Kitchen</v>
      </c>
    </row>
    <row r="95" spans="1:17" x14ac:dyDescent="0.3">
      <c r="A95" s="2">
        <v>194</v>
      </c>
      <c r="B95" s="2" t="s">
        <v>288</v>
      </c>
      <c r="C95" s="2" t="s">
        <v>289</v>
      </c>
      <c r="D95" s="2" t="s">
        <v>25</v>
      </c>
      <c r="E95" s="2">
        <v>65483</v>
      </c>
      <c r="F95" s="2" t="s">
        <v>290</v>
      </c>
      <c r="G95" s="2" t="str">
        <f t="shared" si="11"/>
        <v>Hvl Wac 750</v>
      </c>
      <c r="H95" s="2" t="str">
        <f t="shared" si="12"/>
        <v>HVL WAC stylish and durable build</v>
      </c>
      <c r="I95" s="2" t="str">
        <f t="shared" si="13"/>
        <v>MOB-HVL-WAC-750-PM</v>
      </c>
      <c r="J95" s="2">
        <f t="shared" si="14"/>
        <v>18</v>
      </c>
      <c r="K95" s="2" t="str">
        <f t="shared" si="15"/>
        <v>MOB</v>
      </c>
      <c r="L95" s="2" t="str">
        <f t="shared" si="16"/>
        <v>HVL</v>
      </c>
      <c r="M95" s="2" t="str">
        <f t="shared" si="17"/>
        <v>WAC</v>
      </c>
      <c r="N95" s="2" t="str">
        <f t="shared" si="18"/>
        <v>750</v>
      </c>
      <c r="O95" s="2" t="str">
        <f t="shared" si="19"/>
        <v>PM</v>
      </c>
      <c r="P95" s="2" t="str">
        <f t="shared" si="20"/>
        <v>Hvl Wac 750-HVL WAC stylish and durable build-MOB-HVL-WAC-750-PM-18-MOB-HVL</v>
      </c>
      <c r="Q95" s="2" t="str">
        <f t="shared" si="21"/>
        <v>Hvl Wac 750-Kitchen</v>
      </c>
    </row>
    <row r="96" spans="1:17" x14ac:dyDescent="0.3">
      <c r="A96" s="2">
        <v>195</v>
      </c>
      <c r="B96" s="2" t="s">
        <v>291</v>
      </c>
      <c r="C96" s="2" t="s">
        <v>292</v>
      </c>
      <c r="D96" s="2" t="s">
        <v>56</v>
      </c>
      <c r="E96" s="2">
        <v>35780</v>
      </c>
      <c r="F96" s="2" t="s">
        <v>293</v>
      </c>
      <c r="G96" s="2" t="str">
        <f t="shared" si="11"/>
        <v>Hp Fan 512</v>
      </c>
      <c r="H96" s="2" t="str">
        <f t="shared" si="12"/>
        <v>HP FAN fast charging and reliable use</v>
      </c>
      <c r="I96" s="2" t="str">
        <f t="shared" si="13"/>
        <v>KTC-HP-FAN-512-PRO</v>
      </c>
      <c r="J96" s="2">
        <f t="shared" si="14"/>
        <v>18</v>
      </c>
      <c r="K96" s="2" t="str">
        <f t="shared" si="15"/>
        <v>KTC</v>
      </c>
      <c r="L96" s="2" t="str">
        <f t="shared" si="16"/>
        <v>HP</v>
      </c>
      <c r="M96" s="2" t="str">
        <f t="shared" si="17"/>
        <v>FAN</v>
      </c>
      <c r="N96" s="2" t="str">
        <f t="shared" si="18"/>
        <v>512</v>
      </c>
      <c r="O96" s="2" t="str">
        <f t="shared" si="19"/>
        <v>PRO</v>
      </c>
      <c r="P96" s="2" t="str">
        <f t="shared" si="20"/>
        <v>Hp Fan 512-HP FAN fast charging and reliable use-KTC-HP-FAN-512-PRO-18-KTC-HP</v>
      </c>
      <c r="Q96" s="2" t="str">
        <f t="shared" si="21"/>
        <v>Hp Fan 512-Mobile</v>
      </c>
    </row>
    <row r="97" spans="1:17" x14ac:dyDescent="0.3">
      <c r="A97" s="2">
        <v>196</v>
      </c>
      <c r="B97" s="2" t="s">
        <v>294</v>
      </c>
      <c r="C97" s="2" t="s">
        <v>295</v>
      </c>
      <c r="D97" s="2" t="s">
        <v>56</v>
      </c>
      <c r="E97" s="2">
        <v>89573</v>
      </c>
      <c r="F97" s="2" t="s">
        <v>296</v>
      </c>
      <c r="G97" s="2" t="str">
        <f t="shared" si="11"/>
        <v>Phl Ip13 512</v>
      </c>
      <c r="H97" s="2" t="str">
        <f t="shared" si="12"/>
        <v>PHL IP13 fast charging and reliable use</v>
      </c>
      <c r="I97" s="2" t="str">
        <f t="shared" si="13"/>
        <v>KTC-PHL-IP13-512-2022</v>
      </c>
      <c r="J97" s="2">
        <f t="shared" si="14"/>
        <v>21</v>
      </c>
      <c r="K97" s="2" t="str">
        <f t="shared" si="15"/>
        <v>KTC</v>
      </c>
      <c r="L97" s="2" t="str">
        <f t="shared" si="16"/>
        <v>PHL</v>
      </c>
      <c r="M97" s="2" t="str">
        <f t="shared" si="17"/>
        <v>IP13</v>
      </c>
      <c r="N97" s="2" t="str">
        <f t="shared" si="18"/>
        <v>512</v>
      </c>
      <c r="O97" s="2" t="str">
        <f t="shared" si="19"/>
        <v>2022</v>
      </c>
      <c r="P97" s="2" t="str">
        <f t="shared" si="20"/>
        <v>Phl Ip13 512-PHL IP13 fast charging and reliable use-KTC-PHL-IP13-512-2022-21-KTC-PHL</v>
      </c>
      <c r="Q97" s="2" t="str">
        <f t="shared" si="21"/>
        <v>Phl Ip13 512-Mobile</v>
      </c>
    </row>
    <row r="98" spans="1:17" x14ac:dyDescent="0.3">
      <c r="A98" s="2">
        <v>197</v>
      </c>
      <c r="B98" s="2" t="s">
        <v>297</v>
      </c>
      <c r="C98" s="2" t="s">
        <v>298</v>
      </c>
      <c r="D98" s="2" t="s">
        <v>8</v>
      </c>
      <c r="E98" s="2">
        <v>57878</v>
      </c>
      <c r="F98" s="2" t="s">
        <v>299</v>
      </c>
      <c r="G98" s="2" t="str">
        <f t="shared" si="11"/>
        <v>Bjr Mix 64</v>
      </c>
      <c r="H98" s="2" t="str">
        <f t="shared" si="12"/>
        <v>BJR MIX eco-friendly and cost effective</v>
      </c>
      <c r="I98" s="2" t="str">
        <f t="shared" si="13"/>
        <v>KTC-BJR-MIX-64-BT</v>
      </c>
      <c r="J98" s="2">
        <f t="shared" si="14"/>
        <v>17</v>
      </c>
      <c r="K98" s="2" t="str">
        <f t="shared" si="15"/>
        <v>KTC</v>
      </c>
      <c r="L98" s="2" t="str">
        <f t="shared" si="16"/>
        <v>BJR</v>
      </c>
      <c r="M98" s="2" t="str">
        <f t="shared" si="17"/>
        <v>MIX</v>
      </c>
      <c r="N98" s="2" t="str">
        <f t="shared" si="18"/>
        <v>64</v>
      </c>
      <c r="O98" s="2" t="str">
        <f t="shared" si="19"/>
        <v>BT</v>
      </c>
      <c r="P98" s="2" t="str">
        <f t="shared" si="20"/>
        <v>Bjr Mix 64-BJR MIX eco-friendly and cost effective-KTC-BJR-MIX-64-BT-17-KTC-BJR</v>
      </c>
      <c r="Q98" s="2" t="str">
        <f t="shared" si="21"/>
        <v>Bjr Mix 64-Home Appliance</v>
      </c>
    </row>
    <row r="99" spans="1:17" x14ac:dyDescent="0.3">
      <c r="A99" s="2">
        <v>198</v>
      </c>
      <c r="B99" s="2" t="s">
        <v>300</v>
      </c>
      <c r="C99" s="2" t="s">
        <v>301</v>
      </c>
      <c r="D99" s="2" t="s">
        <v>56</v>
      </c>
      <c r="E99" s="2">
        <v>105000</v>
      </c>
      <c r="F99" s="2" t="s">
        <v>302</v>
      </c>
      <c r="G99" s="2" t="str">
        <f t="shared" si="11"/>
        <v>Opp Jce I5</v>
      </c>
      <c r="H99" s="2" t="str">
        <f t="shared" si="12"/>
        <v>OPP JCE fast charging and reliable use</v>
      </c>
      <c r="I99" s="2" t="str">
        <f t="shared" si="13"/>
        <v>KTC-OPP-JCE-i5-W</v>
      </c>
      <c r="J99" s="2">
        <f t="shared" si="14"/>
        <v>16</v>
      </c>
      <c r="K99" s="2" t="str">
        <f t="shared" si="15"/>
        <v>KTC</v>
      </c>
      <c r="L99" s="2" t="str">
        <f t="shared" si="16"/>
        <v>OPP</v>
      </c>
      <c r="M99" s="2" t="str">
        <f t="shared" si="17"/>
        <v>JCE</v>
      </c>
      <c r="N99" s="2" t="str">
        <f t="shared" si="18"/>
        <v>i5</v>
      </c>
      <c r="O99" s="2" t="str">
        <f t="shared" si="19"/>
        <v>W</v>
      </c>
      <c r="P99" s="2" t="str">
        <f t="shared" si="20"/>
        <v>Opp Jce I5-OPP JCE fast charging and reliable use-KTC-OPP-JCE-i5-W-16-KTC-OPP</v>
      </c>
      <c r="Q99" s="2" t="str">
        <f t="shared" si="21"/>
        <v>Opp Jce I5-Mobile</v>
      </c>
    </row>
    <row r="100" spans="1:17" x14ac:dyDescent="0.3">
      <c r="A100" s="2">
        <v>199</v>
      </c>
      <c r="B100" s="2" t="s">
        <v>303</v>
      </c>
      <c r="C100" s="2" t="s">
        <v>304</v>
      </c>
      <c r="D100" s="2" t="s">
        <v>56</v>
      </c>
      <c r="E100" s="2">
        <v>37479</v>
      </c>
      <c r="F100" s="2" t="s">
        <v>305</v>
      </c>
      <c r="G100" s="2" t="str">
        <f t="shared" si="11"/>
        <v>Opp 11R I5</v>
      </c>
      <c r="H100" s="2" t="str">
        <f t="shared" si="12"/>
        <v>OPP 11R energy efficient and compact design</v>
      </c>
      <c r="I100" s="2" t="str">
        <f t="shared" si="13"/>
        <v>ELC-OPP-11R-i5-W</v>
      </c>
      <c r="J100" s="2">
        <f t="shared" si="14"/>
        <v>16</v>
      </c>
      <c r="K100" s="2" t="str">
        <f t="shared" si="15"/>
        <v>ELC</v>
      </c>
      <c r="L100" s="2" t="str">
        <f t="shared" si="16"/>
        <v>OPP</v>
      </c>
      <c r="M100" s="2" t="str">
        <f t="shared" si="17"/>
        <v>11R</v>
      </c>
      <c r="N100" s="2" t="str">
        <f t="shared" si="18"/>
        <v>i5</v>
      </c>
      <c r="O100" s="2" t="str">
        <f t="shared" si="19"/>
        <v>W</v>
      </c>
      <c r="P100" s="2" t="str">
        <f t="shared" si="20"/>
        <v>Opp 11R I5-OPP 11R energy efficient and compact design-ELC-OPP-11R-i5-W-16-ELC-OPP</v>
      </c>
      <c r="Q100" s="2" t="str">
        <f t="shared" si="21"/>
        <v>Opp 11R I5-Mobile</v>
      </c>
    </row>
    <row r="101" spans="1:17" x14ac:dyDescent="0.3">
      <c r="A101" s="2">
        <v>200</v>
      </c>
      <c r="B101" s="2" t="s">
        <v>306</v>
      </c>
      <c r="C101" s="2" t="s">
        <v>307</v>
      </c>
      <c r="D101" s="2" t="s">
        <v>25</v>
      </c>
      <c r="E101" s="2">
        <v>44486</v>
      </c>
      <c r="F101" s="2" t="s">
        <v>308</v>
      </c>
      <c r="G101" s="2" t="str">
        <f t="shared" si="11"/>
        <v>Mrp Ip13 Ry5</v>
      </c>
      <c r="H101" s="2" t="str">
        <f t="shared" si="12"/>
        <v>MRP IP13 advanced features with sleek design</v>
      </c>
      <c r="I101" s="2" t="str">
        <f t="shared" si="13"/>
        <v>MOB-MRP-IP13-Ry5-MM</v>
      </c>
      <c r="J101" s="2">
        <f t="shared" si="14"/>
        <v>19</v>
      </c>
      <c r="K101" s="2" t="str">
        <f t="shared" si="15"/>
        <v>MOB</v>
      </c>
      <c r="L101" s="2" t="str">
        <f t="shared" si="16"/>
        <v>MRP</v>
      </c>
      <c r="M101" s="2" t="str">
        <f t="shared" si="17"/>
        <v>IP13</v>
      </c>
      <c r="N101" s="2" t="str">
        <f t="shared" si="18"/>
        <v>Ry5</v>
      </c>
      <c r="O101" s="2" t="str">
        <f t="shared" si="19"/>
        <v>MM</v>
      </c>
      <c r="P101" s="2" t="str">
        <f t="shared" si="20"/>
        <v>Mrp Ip13 Ry5-MRP IP13 advanced features with sleek design-MOB-MRP-IP13-Ry5-MM-19-MOB-MRP</v>
      </c>
      <c r="Q101" s="2" t="str">
        <f t="shared" si="21"/>
        <v>Mrp Ip13 Ry5-Kitchen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- Product DCleaning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saurabh sonawane</cp:lastModifiedBy>
  <dcterms:created xsi:type="dcterms:W3CDTF">2015-06-05T18:17:20Z</dcterms:created>
  <dcterms:modified xsi:type="dcterms:W3CDTF">2025-10-29T11:10:54Z</dcterms:modified>
</cp:coreProperties>
</file>