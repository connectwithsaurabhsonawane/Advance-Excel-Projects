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D:\PW DataAnalyticsFinalNotes\1 - Excel Final\Excel Projects\2) Excel Text Functions &amp; Data Cleaning Projects\"/>
    </mc:Choice>
  </mc:AlternateContent>
  <xr:revisionPtr revIDLastSave="0" documentId="13_ncr:1_{F58F5E39-739E-4546-B10F-E05FB993AF9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set - MobileNumber Cleaning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3" i="1" l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2" i="1"/>
  <c r="F101" i="1"/>
  <c r="F100" i="1"/>
  <c r="F99" i="1"/>
  <c r="F98" i="1"/>
  <c r="F97" i="1"/>
  <c r="F96" i="1"/>
  <c r="F95" i="1"/>
  <c r="F94" i="1"/>
  <c r="F93" i="1"/>
  <c r="F92" i="1"/>
  <c r="F91" i="1"/>
  <c r="F90" i="1"/>
  <c r="F89" i="1"/>
  <c r="F88" i="1"/>
  <c r="F87" i="1"/>
  <c r="F86" i="1"/>
  <c r="F85" i="1"/>
  <c r="F84" i="1"/>
  <c r="F83" i="1"/>
  <c r="F82" i="1"/>
  <c r="F81" i="1"/>
  <c r="F80" i="1"/>
  <c r="F79" i="1"/>
  <c r="F78" i="1"/>
  <c r="F77" i="1"/>
  <c r="F76" i="1"/>
  <c r="F75" i="1"/>
  <c r="F74" i="1"/>
  <c r="F73" i="1"/>
  <c r="F72" i="1"/>
  <c r="F71" i="1"/>
  <c r="F70" i="1"/>
  <c r="F69" i="1"/>
  <c r="F68" i="1"/>
  <c r="F67" i="1"/>
  <c r="F66" i="1"/>
  <c r="F65" i="1"/>
  <c r="F64" i="1"/>
  <c r="F63" i="1"/>
  <c r="F62" i="1"/>
  <c r="F61" i="1"/>
  <c r="F60" i="1"/>
  <c r="F59" i="1"/>
  <c r="F58" i="1"/>
  <c r="F57" i="1"/>
  <c r="F56" i="1"/>
  <c r="F55" i="1"/>
  <c r="F54" i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F2" i="1"/>
</calcChain>
</file>

<file path=xl/sharedStrings.xml><?xml version="1.0" encoding="utf-8"?>
<sst xmlns="http://schemas.openxmlformats.org/spreadsheetml/2006/main" count="410" uniqueCount="216">
  <si>
    <t>Customer_ID</t>
  </si>
  <si>
    <t>Customer_Name</t>
  </si>
  <si>
    <t>City</t>
  </si>
  <si>
    <t>Raw_Phone_Number</t>
  </si>
  <si>
    <t>Email</t>
  </si>
  <si>
    <t>Reyansh</t>
  </si>
  <si>
    <t>Hyderabad</t>
  </si>
  <si>
    <t>08268515087</t>
  </si>
  <si>
    <t>reyansh54@gmail.com</t>
  </si>
  <si>
    <t>Aadhya</t>
  </si>
  <si>
    <t>08454472247</t>
  </si>
  <si>
    <t>aadhya47@gmail.com</t>
  </si>
  <si>
    <t>Delhi</t>
  </si>
  <si>
    <t>91-8955239995</t>
  </si>
  <si>
    <t>reyansh37@gmail.com</t>
  </si>
  <si>
    <t>Aditya</t>
  </si>
  <si>
    <t>Kolkata</t>
  </si>
  <si>
    <t>91 77852 11248</t>
  </si>
  <si>
    <t>aditya13@gmail.com</t>
  </si>
  <si>
    <t>Arjun</t>
  </si>
  <si>
    <t>Jaipur</t>
  </si>
  <si>
    <t>71362 12669</t>
  </si>
  <si>
    <t>arjun51@gmail.com</t>
  </si>
  <si>
    <t>Saanvi</t>
  </si>
  <si>
    <t>Bangalore</t>
  </si>
  <si>
    <t>987.654.3210</t>
  </si>
  <si>
    <t>saanvi40@gmail.com</t>
  </si>
  <si>
    <t>Ira</t>
  </si>
  <si>
    <t>(+91)7985787537</t>
  </si>
  <si>
    <t>ira2@gmail.com</t>
  </si>
  <si>
    <t>Aarav</t>
  </si>
  <si>
    <t>Surat</t>
  </si>
  <si>
    <t>91-9594119615</t>
  </si>
  <si>
    <t>aarav91@gmail.com</t>
  </si>
  <si>
    <t>91-9785385932</t>
  </si>
  <si>
    <t>ira12@gmail.com</t>
  </si>
  <si>
    <t>Vivaan</t>
  </si>
  <si>
    <t>Nagpur</t>
  </si>
  <si>
    <t>0091-7162830124</t>
  </si>
  <si>
    <t>vivaan20@gmail.com</t>
  </si>
  <si>
    <t>Chennai</t>
  </si>
  <si>
    <t>08498978385</t>
  </si>
  <si>
    <t>vivaan89@gmail.com</t>
  </si>
  <si>
    <t>Rohan</t>
  </si>
  <si>
    <t>Mumbai</t>
  </si>
  <si>
    <t>08620296800</t>
  </si>
  <si>
    <t>rohan3@gmail.com</t>
  </si>
  <si>
    <t>91-9690425499</t>
  </si>
  <si>
    <t>ira23@gmail.com</t>
  </si>
  <si>
    <t>Vihaan</t>
  </si>
  <si>
    <t>09732958768</t>
  </si>
  <si>
    <t>vihaan69@gmail.com</t>
  </si>
  <si>
    <t>Ananya</t>
  </si>
  <si>
    <t>0091-7165156784</t>
  </si>
  <si>
    <t>ananya30@gmail.com</t>
  </si>
  <si>
    <t>Krishna</t>
  </si>
  <si>
    <t>8385647389</t>
  </si>
  <si>
    <t>krishna53@gmail.com</t>
  </si>
  <si>
    <t>Myra</t>
  </si>
  <si>
    <t>(+91)9322839168</t>
  </si>
  <si>
    <t>myra70@gmail.com</t>
  </si>
  <si>
    <t>91-7258378583</t>
  </si>
  <si>
    <t>vihaan86@gmail.com</t>
  </si>
  <si>
    <t>krishna87@gmail.com</t>
  </si>
  <si>
    <t>Sai</t>
  </si>
  <si>
    <t>91 88522 97294</t>
  </si>
  <si>
    <t>sai64@gmail.com</t>
  </si>
  <si>
    <t>Sara</t>
  </si>
  <si>
    <t>sara46@gmail.com</t>
  </si>
  <si>
    <t>Pune</t>
  </si>
  <si>
    <t>08629490746</t>
  </si>
  <si>
    <t>ira24@gmail.com</t>
  </si>
  <si>
    <t>Pari</t>
  </si>
  <si>
    <t>0091-9131334731</t>
  </si>
  <si>
    <t>pari58@gmail.com</t>
  </si>
  <si>
    <t>0091-9724926520</t>
  </si>
  <si>
    <t>sai35@gmail.com</t>
  </si>
  <si>
    <t>Ishaan</t>
  </si>
  <si>
    <t>91-8092556503</t>
  </si>
  <si>
    <t>ishaan10@gmail.com</t>
  </si>
  <si>
    <t>07653224022</t>
  </si>
  <si>
    <t>myra25@gmail.com</t>
  </si>
  <si>
    <t>7443096281</t>
  </si>
  <si>
    <t>myra28@gmail.com</t>
  </si>
  <si>
    <t>+91 7259817877</t>
  </si>
  <si>
    <t>Mira</t>
  </si>
  <si>
    <t>76590 23497</t>
  </si>
  <si>
    <t>mira93@gmail.com</t>
  </si>
  <si>
    <t>9349289106</t>
  </si>
  <si>
    <t>sai36@gmail.com</t>
  </si>
  <si>
    <t>Aanya</t>
  </si>
  <si>
    <t>(+91)9702676504</t>
  </si>
  <si>
    <t>aanya9@gmail.com</t>
  </si>
  <si>
    <t>08635957827</t>
  </si>
  <si>
    <t>krishna62@gmail.com</t>
  </si>
  <si>
    <t>9876-543-210</t>
  </si>
  <si>
    <t>mira70@gmail.com</t>
  </si>
  <si>
    <t>reyansh39@gmail.com</t>
  </si>
  <si>
    <t>Diya</t>
  </si>
  <si>
    <t>91 92556 92916</t>
  </si>
  <si>
    <t>diya27@gmail.com</t>
  </si>
  <si>
    <t>(+91)9185413110</t>
  </si>
  <si>
    <t>myra18@gmail.com</t>
  </si>
  <si>
    <t>aditya61@gmail.com</t>
  </si>
  <si>
    <t>9798295437</t>
  </si>
  <si>
    <t>rohan96@gmail.com</t>
  </si>
  <si>
    <t>91-9746078747</t>
  </si>
  <si>
    <t>aanya79@gmail.com</t>
  </si>
  <si>
    <t>91 83415 12420</t>
  </si>
  <si>
    <t>rohan28@gmail.com</t>
  </si>
  <si>
    <t>7874375622</t>
  </si>
  <si>
    <t>pari99@gmail.com</t>
  </si>
  <si>
    <t>sara28@gmail.com</t>
  </si>
  <si>
    <t>aanya78@gmail.com</t>
  </si>
  <si>
    <t>(+91)8712484692</t>
  </si>
  <si>
    <t>ishaan64@gmail.com</t>
  </si>
  <si>
    <t>0091-8251494380</t>
  </si>
  <si>
    <t>diya16@gmail.com</t>
  </si>
  <si>
    <t>(+91)7622415985</t>
  </si>
  <si>
    <t>+91 7181363638</t>
  </si>
  <si>
    <t>aanya91@gmail.com</t>
  </si>
  <si>
    <t>7264794168</t>
  </si>
  <si>
    <t>ananya7@gmail.com</t>
  </si>
  <si>
    <t>09355074380</t>
  </si>
  <si>
    <t>reyansh60@gmail.com</t>
  </si>
  <si>
    <t>07423285496</t>
  </si>
  <si>
    <t>vivaan12@gmail.com</t>
  </si>
  <si>
    <t>0091-9370785948</t>
  </si>
  <si>
    <t>pari94@gmail.com</t>
  </si>
  <si>
    <t>91 76014 16063</t>
  </si>
  <si>
    <t>vivaan37@gmail.com</t>
  </si>
  <si>
    <t>9287298729</t>
  </si>
  <si>
    <t>aarav46@gmail.com</t>
  </si>
  <si>
    <t>+91 7883744159</t>
  </si>
  <si>
    <t>diya3@gmail.com</t>
  </si>
  <si>
    <t>70883 48843</t>
  </si>
  <si>
    <t>reyansh67@gmail.com</t>
  </si>
  <si>
    <t>07932424169</t>
  </si>
  <si>
    <t>krishna33@gmail.com</t>
  </si>
  <si>
    <t>+91 9551643283</t>
  </si>
  <si>
    <t>pari73@gmail.com</t>
  </si>
  <si>
    <t>0091-9596164327</t>
  </si>
  <si>
    <t>sara75@gmail.com</t>
  </si>
  <si>
    <t>(+91)9848478315</t>
  </si>
  <si>
    <t>aadhya71@gmail.com</t>
  </si>
  <si>
    <t>(+91)7511437094</t>
  </si>
  <si>
    <t>rohan13@gmail.com</t>
  </si>
  <si>
    <t>(+91)8919467425</t>
  </si>
  <si>
    <t>rohan9@gmail.com</t>
  </si>
  <si>
    <t>94676 27969</t>
  </si>
  <si>
    <t>reyansh47@gmail.com</t>
  </si>
  <si>
    <t>(+91)8852354055</t>
  </si>
  <si>
    <t>07790551747</t>
  </si>
  <si>
    <t>aditya53@gmail.com</t>
  </si>
  <si>
    <t>0091-7451912556</t>
  </si>
  <si>
    <t>ananya59@gmail.com</t>
  </si>
  <si>
    <t>0091-7297994463</t>
  </si>
  <si>
    <t>vivaan94@gmail.com</t>
  </si>
  <si>
    <t>(+91)7588888948</t>
  </si>
  <si>
    <t>aanya60@gmail.com</t>
  </si>
  <si>
    <t>+91 7574950813</t>
  </si>
  <si>
    <t>reyansh13@gmail.com</t>
  </si>
  <si>
    <t>0091-9638159031</t>
  </si>
  <si>
    <t>krishna63@gmail.com</t>
  </si>
  <si>
    <t>08282630180</t>
  </si>
  <si>
    <t>mira24@gmail.com</t>
  </si>
  <si>
    <t>9775340866</t>
  </si>
  <si>
    <t>saanvi33@gmail.com</t>
  </si>
  <si>
    <t>aditya65@gmail.com</t>
  </si>
  <si>
    <t>ananya70@gmail.com</t>
  </si>
  <si>
    <t>79443 92378</t>
  </si>
  <si>
    <t>ira58@gmail.com</t>
  </si>
  <si>
    <t>91 71668 63667</t>
  </si>
  <si>
    <t>krishna59@gmail.com</t>
  </si>
  <si>
    <t>87395 95423</t>
  </si>
  <si>
    <t>ira62@gmail.com</t>
  </si>
  <si>
    <t>78324 35966</t>
  </si>
  <si>
    <t>vihaan96@gmail.com</t>
  </si>
  <si>
    <t>arjun57@gmail.com</t>
  </si>
  <si>
    <t>91 94108 58570</t>
  </si>
  <si>
    <t>rohan8@gmail.com</t>
  </si>
  <si>
    <t>9432875159</t>
  </si>
  <si>
    <t>aarav95@gmail.com</t>
  </si>
  <si>
    <t>vihaan51@gmail.com</t>
  </si>
  <si>
    <t>(+91)9225865924</t>
  </si>
  <si>
    <t>aditya28@gmail.com</t>
  </si>
  <si>
    <t>91-7344657009</t>
  </si>
  <si>
    <t>aanya27@gmail.com</t>
  </si>
  <si>
    <t>+91 7256570781</t>
  </si>
  <si>
    <t>sara98@gmail.com</t>
  </si>
  <si>
    <t>ananya98@gmail.com</t>
  </si>
  <si>
    <t>08622662118</t>
  </si>
  <si>
    <t>saanvi34@gmail.com</t>
  </si>
  <si>
    <t>09511244545</t>
  </si>
  <si>
    <t>aanya28@gmail.com</t>
  </si>
  <si>
    <t>(+91)9370518929</t>
  </si>
  <si>
    <t>pari47@gmail.com</t>
  </si>
  <si>
    <t>91 97836 87951</t>
  </si>
  <si>
    <t>vihaan85@gmail.com</t>
  </si>
  <si>
    <t>88130 90321</t>
  </si>
  <si>
    <t>ananya18@gmail.com</t>
  </si>
  <si>
    <t>(+91)9102497047</t>
  </si>
  <si>
    <t>aadhya38@gmail.com</t>
  </si>
  <si>
    <t>ananya84@gmail.com</t>
  </si>
  <si>
    <t>09352142802</t>
  </si>
  <si>
    <t>vivaan95@gmail.com</t>
  </si>
  <si>
    <t>reyansh75@gmail.com</t>
  </si>
  <si>
    <t>aditya42@gmail.com</t>
  </si>
  <si>
    <t>mira89@gmail.com</t>
  </si>
  <si>
    <t>0091-9895549847</t>
  </si>
  <si>
    <t>rohan20@gmail.com</t>
  </si>
  <si>
    <t>Phone Number Cleaning</t>
  </si>
  <si>
    <t>10 Digit</t>
  </si>
  <si>
    <t>Valid/Invalid</t>
  </si>
  <si>
    <t>Country code</t>
  </si>
  <si>
    <t>len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</si>
</sst>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Fill="1" applyBorder="1" applyAlignment="1">
      <alignment horizontal="center" vertical="top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1"/>
  <sheetViews>
    <sheetView tabSelected="1" workbookViewId="0">
      <selection activeCell="M16" sqref="M16"/>
    </sheetView>
  </sheetViews>
  <sheetFormatPr defaultRowHeight="14.4" x14ac:dyDescent="0.3"/>
  <cols>
    <col min="1" max="1" width="11.88671875" bestFit="1" customWidth="1"/>
    <col min="2" max="2" width="15.21875" bestFit="1" customWidth="1"/>
    <col min="3" max="3" width="9.77734375" bestFit="1" customWidth="1"/>
    <col min="4" max="4" width="19.109375" bestFit="1" customWidth="1"/>
    <col min="5" max="5" width="19.77734375" bestFit="1" customWidth="1"/>
    <col min="6" max="6" width="21.77734375" bestFit="1" customWidth="1"/>
    <col min="7" max="7" width="15.21875" bestFit="1" customWidth="1"/>
    <col min="8" max="8" width="11" bestFit="1" customWidth="1"/>
    <col min="9" max="9" width="11.77734375" bestFit="1" customWidth="1"/>
    <col min="10" max="10" width="14.5546875" bestFit="1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211</v>
      </c>
      <c r="G1" s="3">
        <v>0</v>
      </c>
      <c r="H1" s="2" t="s">
        <v>212</v>
      </c>
      <c r="I1" s="2" t="s">
        <v>213</v>
      </c>
      <c r="J1" s="2" t="s">
        <v>214</v>
      </c>
      <c r="K1" s="2" t="s">
        <v>215</v>
      </c>
    </row>
    <row r="2" spans="1:11" x14ac:dyDescent="0.3">
      <c r="A2" s="3">
        <v>1</v>
      </c>
      <c r="B2" s="3" t="s">
        <v>5</v>
      </c>
      <c r="C2" s="3" t="s">
        <v>6</v>
      </c>
      <c r="D2" s="3" t="s">
        <v>7</v>
      </c>
      <c r="E2" s="3" t="s">
        <v>8</v>
      </c>
      <c r="F2" s="3" t="str">
        <f>SUBSTITUTE(SUBSTITUTE(SUBSTITUTE(SUBSTITUTE(SUBSTITUTE(SUBSTITUTE(SUBSTITUTE(SUBSTITUTE(SUBSTITUTE(TRIM(CLEAN(D2))," ",""),".",""),"-",""),"(",""),")",""),"00",""),"0","",1),"+91",""),"91","")</f>
        <v>8268515087</v>
      </c>
      <c r="G2" s="3" t="str">
        <f>IF(LEFT(D2,1)="0",RIGHT(D2,LEN(D2)-1),D2)</f>
        <v>8268515087</v>
      </c>
      <c r="H2" s="3">
        <f>VALUE(RIGHT(F2,10))</f>
        <v>8268515087</v>
      </c>
      <c r="I2" s="3" t="str">
        <f>IF(ISNUMBER(H2),"Valid","Invalid")</f>
        <v>Valid</v>
      </c>
      <c r="J2" s="3" t="str">
        <f>"+91"&amp;" "&amp;H2</f>
        <v>+91 8268515087</v>
      </c>
      <c r="K2" s="3">
        <f>LEN(J2)</f>
        <v>14</v>
      </c>
    </row>
    <row r="3" spans="1:11" x14ac:dyDescent="0.3">
      <c r="A3" s="3">
        <v>2</v>
      </c>
      <c r="B3" s="3" t="s">
        <v>9</v>
      </c>
      <c r="C3" s="3" t="s">
        <v>6</v>
      </c>
      <c r="D3" s="3" t="s">
        <v>10</v>
      </c>
      <c r="E3" s="3" t="s">
        <v>11</v>
      </c>
      <c r="F3" s="3" t="str">
        <f t="shared" ref="F3:F66" si="0">SUBSTITUTE(SUBSTITUTE(SUBSTITUTE(SUBSTITUTE(SUBSTITUTE(SUBSTITUTE(SUBSTITUTE(SUBSTITUTE(SUBSTITUTE(TRIM(CLEAN(D3))," ",""),".",""),"-",""),"(",""),")",""),"00",""),"0","",1),"+91",""),"91","")</f>
        <v>8454472247</v>
      </c>
      <c r="G3" s="3" t="str">
        <f t="shared" ref="G3:G66" si="1">IF(LEFT(D3,1)="0",RIGHT(D3,LEN(D3)-1),D3)</f>
        <v>8454472247</v>
      </c>
      <c r="H3" s="3">
        <f t="shared" ref="H3:H66" si="2">VALUE(RIGHT(F3,10))</f>
        <v>8454472247</v>
      </c>
      <c r="I3" s="3" t="str">
        <f t="shared" ref="I3:I66" si="3">IF(ISNUMBER(H3),"Valid","Invalid")</f>
        <v>Valid</v>
      </c>
      <c r="J3" s="3" t="str">
        <f t="shared" ref="J3:J66" si="4">"+91"&amp;" "&amp;H3</f>
        <v>+91 8454472247</v>
      </c>
      <c r="K3" s="3">
        <f t="shared" ref="K3:K66" si="5">LEN(J3)</f>
        <v>14</v>
      </c>
    </row>
    <row r="4" spans="1:11" x14ac:dyDescent="0.3">
      <c r="A4" s="3">
        <v>3</v>
      </c>
      <c r="B4" s="3" t="s">
        <v>5</v>
      </c>
      <c r="C4" s="3" t="s">
        <v>12</v>
      </c>
      <c r="D4" s="3" t="s">
        <v>13</v>
      </c>
      <c r="E4" s="3" t="s">
        <v>14</v>
      </c>
      <c r="F4" s="3" t="str">
        <f t="shared" si="0"/>
        <v>8955239995</v>
      </c>
      <c r="G4" s="3" t="str">
        <f t="shared" si="1"/>
        <v>91-8955239995</v>
      </c>
      <c r="H4" s="3">
        <f t="shared" si="2"/>
        <v>8955239995</v>
      </c>
      <c r="I4" s="3" t="str">
        <f t="shared" si="3"/>
        <v>Valid</v>
      </c>
      <c r="J4" s="3" t="str">
        <f t="shared" si="4"/>
        <v>+91 8955239995</v>
      </c>
      <c r="K4" s="3">
        <f t="shared" si="5"/>
        <v>14</v>
      </c>
    </row>
    <row r="5" spans="1:11" x14ac:dyDescent="0.3">
      <c r="A5" s="3">
        <v>4</v>
      </c>
      <c r="B5" s="3" t="s">
        <v>15</v>
      </c>
      <c r="C5" s="3" t="s">
        <v>16</v>
      </c>
      <c r="D5" s="3" t="s">
        <v>17</v>
      </c>
      <c r="E5" s="3" t="s">
        <v>18</v>
      </c>
      <c r="F5" s="3" t="str">
        <f t="shared" si="0"/>
        <v>7785211248</v>
      </c>
      <c r="G5" s="3" t="str">
        <f t="shared" si="1"/>
        <v>91 77852 11248</v>
      </c>
      <c r="H5" s="3">
        <f t="shared" si="2"/>
        <v>7785211248</v>
      </c>
      <c r="I5" s="3" t="str">
        <f t="shared" si="3"/>
        <v>Valid</v>
      </c>
      <c r="J5" s="3" t="str">
        <f t="shared" si="4"/>
        <v>+91 7785211248</v>
      </c>
      <c r="K5" s="3">
        <f t="shared" si="5"/>
        <v>14</v>
      </c>
    </row>
    <row r="6" spans="1:11" x14ac:dyDescent="0.3">
      <c r="A6" s="3">
        <v>5</v>
      </c>
      <c r="B6" s="3" t="s">
        <v>19</v>
      </c>
      <c r="C6" s="3" t="s">
        <v>20</v>
      </c>
      <c r="D6" s="3" t="s">
        <v>21</v>
      </c>
      <c r="E6" s="3" t="s">
        <v>22</v>
      </c>
      <c r="F6" s="3" t="str">
        <f t="shared" si="0"/>
        <v>7136212669</v>
      </c>
      <c r="G6" s="3" t="str">
        <f t="shared" si="1"/>
        <v>71362 12669</v>
      </c>
      <c r="H6" s="3">
        <f t="shared" si="2"/>
        <v>7136212669</v>
      </c>
      <c r="I6" s="3" t="str">
        <f t="shared" si="3"/>
        <v>Valid</v>
      </c>
      <c r="J6" s="3" t="str">
        <f t="shared" si="4"/>
        <v>+91 7136212669</v>
      </c>
      <c r="K6" s="3">
        <f t="shared" si="5"/>
        <v>14</v>
      </c>
    </row>
    <row r="7" spans="1:11" x14ac:dyDescent="0.3">
      <c r="A7" s="3">
        <v>6</v>
      </c>
      <c r="B7" s="3" t="s">
        <v>23</v>
      </c>
      <c r="C7" s="3" t="s">
        <v>24</v>
      </c>
      <c r="D7" s="3" t="s">
        <v>25</v>
      </c>
      <c r="E7" s="3" t="s">
        <v>26</v>
      </c>
      <c r="F7" s="3" t="str">
        <f t="shared" si="0"/>
        <v>987654321</v>
      </c>
      <c r="G7" s="3" t="str">
        <f t="shared" si="1"/>
        <v>987.654.3210</v>
      </c>
      <c r="H7" s="3">
        <f t="shared" si="2"/>
        <v>987654321</v>
      </c>
      <c r="I7" s="3" t="str">
        <f t="shared" si="3"/>
        <v>Valid</v>
      </c>
      <c r="J7" s="3" t="str">
        <f t="shared" si="4"/>
        <v>+91 987654321</v>
      </c>
      <c r="K7" s="3">
        <f t="shared" si="5"/>
        <v>13</v>
      </c>
    </row>
    <row r="8" spans="1:11" x14ac:dyDescent="0.3">
      <c r="A8" s="3">
        <v>7</v>
      </c>
      <c r="B8" s="3" t="s">
        <v>27</v>
      </c>
      <c r="C8" s="3" t="s">
        <v>12</v>
      </c>
      <c r="D8" s="3" t="s">
        <v>28</v>
      </c>
      <c r="E8" s="3" t="s">
        <v>29</v>
      </c>
      <c r="F8" s="3" t="str">
        <f t="shared" si="0"/>
        <v>7985787537</v>
      </c>
      <c r="G8" s="3" t="str">
        <f t="shared" si="1"/>
        <v>(+91)7985787537</v>
      </c>
      <c r="H8" s="3">
        <f t="shared" si="2"/>
        <v>7985787537</v>
      </c>
      <c r="I8" s="3" t="str">
        <f t="shared" si="3"/>
        <v>Valid</v>
      </c>
      <c r="J8" s="3" t="str">
        <f t="shared" si="4"/>
        <v>+91 7985787537</v>
      </c>
      <c r="K8" s="3">
        <f t="shared" si="5"/>
        <v>14</v>
      </c>
    </row>
    <row r="9" spans="1:11" x14ac:dyDescent="0.3">
      <c r="A9" s="3">
        <v>8</v>
      </c>
      <c r="B9" s="3" t="s">
        <v>30</v>
      </c>
      <c r="C9" s="3" t="s">
        <v>31</v>
      </c>
      <c r="D9" s="3" t="s">
        <v>32</v>
      </c>
      <c r="E9" s="3" t="s">
        <v>33</v>
      </c>
      <c r="F9" s="3" t="str">
        <f t="shared" si="0"/>
        <v>9594119615</v>
      </c>
      <c r="G9" s="3" t="str">
        <f t="shared" si="1"/>
        <v>91-9594119615</v>
      </c>
      <c r="H9" s="3">
        <f t="shared" si="2"/>
        <v>9594119615</v>
      </c>
      <c r="I9" s="3" t="str">
        <f t="shared" si="3"/>
        <v>Valid</v>
      </c>
      <c r="J9" s="3" t="str">
        <f t="shared" si="4"/>
        <v>+91 9594119615</v>
      </c>
      <c r="K9" s="3">
        <f t="shared" si="5"/>
        <v>14</v>
      </c>
    </row>
    <row r="10" spans="1:11" x14ac:dyDescent="0.3">
      <c r="A10" s="3">
        <v>9</v>
      </c>
      <c r="B10" s="3" t="s">
        <v>27</v>
      </c>
      <c r="C10" s="3" t="s">
        <v>6</v>
      </c>
      <c r="D10" s="3" t="s">
        <v>34</v>
      </c>
      <c r="E10" s="3" t="s">
        <v>35</v>
      </c>
      <c r="F10" s="3" t="str">
        <f t="shared" si="0"/>
        <v>9785385932</v>
      </c>
      <c r="G10" s="3" t="str">
        <f t="shared" si="1"/>
        <v>91-9785385932</v>
      </c>
      <c r="H10" s="3">
        <f t="shared" si="2"/>
        <v>9785385932</v>
      </c>
      <c r="I10" s="3" t="str">
        <f t="shared" si="3"/>
        <v>Valid</v>
      </c>
      <c r="J10" s="3" t="str">
        <f t="shared" si="4"/>
        <v>+91 9785385932</v>
      </c>
      <c r="K10" s="3">
        <f t="shared" si="5"/>
        <v>14</v>
      </c>
    </row>
    <row r="11" spans="1:11" x14ac:dyDescent="0.3">
      <c r="A11" s="3">
        <v>10</v>
      </c>
      <c r="B11" s="3" t="s">
        <v>36</v>
      </c>
      <c r="C11" s="3" t="s">
        <v>37</v>
      </c>
      <c r="D11" s="3" t="s">
        <v>38</v>
      </c>
      <c r="E11" s="3" t="s">
        <v>39</v>
      </c>
      <c r="F11" s="3" t="str">
        <f t="shared" si="0"/>
        <v>716283124</v>
      </c>
      <c r="G11" s="3" t="str">
        <f t="shared" si="1"/>
        <v>091-7162830124</v>
      </c>
      <c r="H11" s="3">
        <f t="shared" si="2"/>
        <v>716283124</v>
      </c>
      <c r="I11" s="3" t="str">
        <f t="shared" si="3"/>
        <v>Valid</v>
      </c>
      <c r="J11" s="3" t="str">
        <f t="shared" si="4"/>
        <v>+91 716283124</v>
      </c>
      <c r="K11" s="3">
        <f t="shared" si="5"/>
        <v>13</v>
      </c>
    </row>
    <row r="12" spans="1:11" x14ac:dyDescent="0.3">
      <c r="A12" s="3">
        <v>11</v>
      </c>
      <c r="B12" s="3" t="s">
        <v>36</v>
      </c>
      <c r="C12" s="3" t="s">
        <v>40</v>
      </c>
      <c r="D12" s="3" t="s">
        <v>41</v>
      </c>
      <c r="E12" s="3" t="s">
        <v>42</v>
      </c>
      <c r="F12" s="3" t="str">
        <f t="shared" si="0"/>
        <v>8498978385</v>
      </c>
      <c r="G12" s="3" t="str">
        <f t="shared" si="1"/>
        <v>8498978385</v>
      </c>
      <c r="H12" s="3">
        <f t="shared" si="2"/>
        <v>8498978385</v>
      </c>
      <c r="I12" s="3" t="str">
        <f t="shared" si="3"/>
        <v>Valid</v>
      </c>
      <c r="J12" s="3" t="str">
        <f t="shared" si="4"/>
        <v>+91 8498978385</v>
      </c>
      <c r="K12" s="3">
        <f t="shared" si="5"/>
        <v>14</v>
      </c>
    </row>
    <row r="13" spans="1:11" x14ac:dyDescent="0.3">
      <c r="A13" s="3">
        <v>12</v>
      </c>
      <c r="B13" s="3" t="s">
        <v>43</v>
      </c>
      <c r="C13" s="3" t="s">
        <v>44</v>
      </c>
      <c r="D13" s="3" t="s">
        <v>45</v>
      </c>
      <c r="E13" s="3" t="s">
        <v>46</v>
      </c>
      <c r="F13" s="3" t="str">
        <f t="shared" si="0"/>
        <v>86202968</v>
      </c>
      <c r="G13" s="3" t="str">
        <f t="shared" si="1"/>
        <v>8620296800</v>
      </c>
      <c r="H13" s="3">
        <f t="shared" si="2"/>
        <v>86202968</v>
      </c>
      <c r="I13" s="3" t="str">
        <f t="shared" si="3"/>
        <v>Valid</v>
      </c>
      <c r="J13" s="3" t="str">
        <f t="shared" si="4"/>
        <v>+91 86202968</v>
      </c>
      <c r="K13" s="3">
        <f t="shared" si="5"/>
        <v>12</v>
      </c>
    </row>
    <row r="14" spans="1:11" x14ac:dyDescent="0.3">
      <c r="A14" s="3">
        <v>13</v>
      </c>
      <c r="B14" s="3" t="s">
        <v>27</v>
      </c>
      <c r="C14" s="3" t="s">
        <v>24</v>
      </c>
      <c r="D14" s="3" t="s">
        <v>47</v>
      </c>
      <c r="E14" s="3" t="s">
        <v>48</v>
      </c>
      <c r="F14" s="3" t="str">
        <f t="shared" si="0"/>
        <v>969425499</v>
      </c>
      <c r="G14" s="3" t="str">
        <f t="shared" si="1"/>
        <v>91-9690425499</v>
      </c>
      <c r="H14" s="3">
        <f t="shared" si="2"/>
        <v>969425499</v>
      </c>
      <c r="I14" s="3" t="str">
        <f t="shared" si="3"/>
        <v>Valid</v>
      </c>
      <c r="J14" s="3" t="str">
        <f t="shared" si="4"/>
        <v>+91 969425499</v>
      </c>
      <c r="K14" s="3">
        <f t="shared" si="5"/>
        <v>13</v>
      </c>
    </row>
    <row r="15" spans="1:11" x14ac:dyDescent="0.3">
      <c r="A15" s="3">
        <v>14</v>
      </c>
      <c r="B15" s="3" t="s">
        <v>49</v>
      </c>
      <c r="C15" s="3" t="s">
        <v>6</v>
      </c>
      <c r="D15" s="3" t="s">
        <v>50</v>
      </c>
      <c r="E15" s="3" t="s">
        <v>51</v>
      </c>
      <c r="F15" s="3" t="str">
        <f t="shared" si="0"/>
        <v>9732958768</v>
      </c>
      <c r="G15" s="3" t="str">
        <f t="shared" si="1"/>
        <v>9732958768</v>
      </c>
      <c r="H15" s="3">
        <f t="shared" si="2"/>
        <v>9732958768</v>
      </c>
      <c r="I15" s="3" t="str">
        <f t="shared" si="3"/>
        <v>Valid</v>
      </c>
      <c r="J15" s="3" t="str">
        <f t="shared" si="4"/>
        <v>+91 9732958768</v>
      </c>
      <c r="K15" s="3">
        <f t="shared" si="5"/>
        <v>14</v>
      </c>
    </row>
    <row r="16" spans="1:11" x14ac:dyDescent="0.3">
      <c r="A16" s="3">
        <v>15</v>
      </c>
      <c r="B16" s="3" t="s">
        <v>52</v>
      </c>
      <c r="C16" s="3" t="s">
        <v>37</v>
      </c>
      <c r="D16" s="3" t="s">
        <v>53</v>
      </c>
      <c r="E16" s="3" t="s">
        <v>54</v>
      </c>
      <c r="F16" s="3" t="str">
        <f t="shared" si="0"/>
        <v>7165156784</v>
      </c>
      <c r="G16" s="3" t="str">
        <f t="shared" si="1"/>
        <v>091-7165156784</v>
      </c>
      <c r="H16" s="3">
        <f t="shared" si="2"/>
        <v>7165156784</v>
      </c>
      <c r="I16" s="3" t="str">
        <f t="shared" si="3"/>
        <v>Valid</v>
      </c>
      <c r="J16" s="3" t="str">
        <f t="shared" si="4"/>
        <v>+91 7165156784</v>
      </c>
      <c r="K16" s="3">
        <f t="shared" si="5"/>
        <v>14</v>
      </c>
    </row>
    <row r="17" spans="1:11" x14ac:dyDescent="0.3">
      <c r="A17" s="3">
        <v>16</v>
      </c>
      <c r="B17" s="3" t="s">
        <v>55</v>
      </c>
      <c r="C17" s="3" t="s">
        <v>20</v>
      </c>
      <c r="D17" s="3" t="s">
        <v>56</v>
      </c>
      <c r="E17" s="3" t="s">
        <v>57</v>
      </c>
      <c r="F17" s="3" t="str">
        <f t="shared" si="0"/>
        <v>8385647389</v>
      </c>
      <c r="G17" s="3" t="str">
        <f t="shared" si="1"/>
        <v>8385647389</v>
      </c>
      <c r="H17" s="3">
        <f t="shared" si="2"/>
        <v>8385647389</v>
      </c>
      <c r="I17" s="3" t="str">
        <f t="shared" si="3"/>
        <v>Valid</v>
      </c>
      <c r="J17" s="3" t="str">
        <f t="shared" si="4"/>
        <v>+91 8385647389</v>
      </c>
      <c r="K17" s="3">
        <f t="shared" si="5"/>
        <v>14</v>
      </c>
    </row>
    <row r="18" spans="1:11" x14ac:dyDescent="0.3">
      <c r="A18" s="3">
        <v>17</v>
      </c>
      <c r="B18" s="3" t="s">
        <v>58</v>
      </c>
      <c r="C18" s="3" t="s">
        <v>12</v>
      </c>
      <c r="D18" s="3" t="s">
        <v>59</v>
      </c>
      <c r="E18" s="3" t="s">
        <v>60</v>
      </c>
      <c r="F18" s="3" t="str">
        <f t="shared" si="0"/>
        <v>93228368</v>
      </c>
      <c r="G18" s="3" t="str">
        <f t="shared" si="1"/>
        <v>(+91)9322839168</v>
      </c>
      <c r="H18" s="3">
        <f t="shared" si="2"/>
        <v>93228368</v>
      </c>
      <c r="I18" s="3" t="str">
        <f t="shared" si="3"/>
        <v>Valid</v>
      </c>
      <c r="J18" s="3" t="str">
        <f t="shared" si="4"/>
        <v>+91 93228368</v>
      </c>
      <c r="K18" s="3">
        <f t="shared" si="5"/>
        <v>12</v>
      </c>
    </row>
    <row r="19" spans="1:11" x14ac:dyDescent="0.3">
      <c r="A19" s="3">
        <v>18</v>
      </c>
      <c r="B19" s="3" t="s">
        <v>49</v>
      </c>
      <c r="C19" s="3" t="s">
        <v>44</v>
      </c>
      <c r="D19" s="3" t="s">
        <v>61</v>
      </c>
      <c r="E19" s="3" t="s">
        <v>62</v>
      </c>
      <c r="F19" s="3" t="str">
        <f t="shared" si="0"/>
        <v>7258378583</v>
      </c>
      <c r="G19" s="3" t="str">
        <f t="shared" si="1"/>
        <v>91-7258378583</v>
      </c>
      <c r="H19" s="3">
        <f t="shared" si="2"/>
        <v>7258378583</v>
      </c>
      <c r="I19" s="3" t="str">
        <f t="shared" si="3"/>
        <v>Valid</v>
      </c>
      <c r="J19" s="3" t="str">
        <f t="shared" si="4"/>
        <v>+91 7258378583</v>
      </c>
      <c r="K19" s="3">
        <f t="shared" si="5"/>
        <v>14</v>
      </c>
    </row>
    <row r="20" spans="1:11" x14ac:dyDescent="0.3">
      <c r="A20" s="3">
        <v>19</v>
      </c>
      <c r="B20" s="3" t="s">
        <v>55</v>
      </c>
      <c r="C20" s="3" t="s">
        <v>16</v>
      </c>
      <c r="D20" s="3" t="s">
        <v>25</v>
      </c>
      <c r="E20" s="3" t="s">
        <v>63</v>
      </c>
      <c r="F20" s="3" t="str">
        <f t="shared" si="0"/>
        <v>987654321</v>
      </c>
      <c r="G20" s="3" t="str">
        <f t="shared" si="1"/>
        <v>987.654.3210</v>
      </c>
      <c r="H20" s="3">
        <f t="shared" si="2"/>
        <v>987654321</v>
      </c>
      <c r="I20" s="3" t="str">
        <f t="shared" si="3"/>
        <v>Valid</v>
      </c>
      <c r="J20" s="3" t="str">
        <f t="shared" si="4"/>
        <v>+91 987654321</v>
      </c>
      <c r="K20" s="3">
        <f t="shared" si="5"/>
        <v>13</v>
      </c>
    </row>
    <row r="21" spans="1:11" x14ac:dyDescent="0.3">
      <c r="A21" s="3">
        <v>20</v>
      </c>
      <c r="B21" s="3" t="s">
        <v>64</v>
      </c>
      <c r="C21" s="3" t="s">
        <v>40</v>
      </c>
      <c r="D21" s="3" t="s">
        <v>65</v>
      </c>
      <c r="E21" s="3" t="s">
        <v>66</v>
      </c>
      <c r="F21" s="3" t="str">
        <f t="shared" si="0"/>
        <v>8852297294</v>
      </c>
      <c r="G21" s="3" t="str">
        <f t="shared" si="1"/>
        <v>91 88522 97294</v>
      </c>
      <c r="H21" s="3">
        <f t="shared" si="2"/>
        <v>8852297294</v>
      </c>
      <c r="I21" s="3" t="str">
        <f t="shared" si="3"/>
        <v>Valid</v>
      </c>
      <c r="J21" s="3" t="str">
        <f t="shared" si="4"/>
        <v>+91 8852297294</v>
      </c>
      <c r="K21" s="3">
        <f t="shared" si="5"/>
        <v>14</v>
      </c>
    </row>
    <row r="22" spans="1:11" x14ac:dyDescent="0.3">
      <c r="A22" s="3">
        <v>21</v>
      </c>
      <c r="B22" s="3" t="s">
        <v>67</v>
      </c>
      <c r="C22" s="3" t="s">
        <v>24</v>
      </c>
      <c r="D22" s="3" t="s">
        <v>25</v>
      </c>
      <c r="E22" s="3" t="s">
        <v>68</v>
      </c>
      <c r="F22" s="3" t="str">
        <f t="shared" si="0"/>
        <v>987654321</v>
      </c>
      <c r="G22" s="3" t="str">
        <f t="shared" si="1"/>
        <v>987.654.3210</v>
      </c>
      <c r="H22" s="3">
        <f t="shared" si="2"/>
        <v>987654321</v>
      </c>
      <c r="I22" s="3" t="str">
        <f t="shared" si="3"/>
        <v>Valid</v>
      </c>
      <c r="J22" s="3" t="str">
        <f t="shared" si="4"/>
        <v>+91 987654321</v>
      </c>
      <c r="K22" s="3">
        <f t="shared" si="5"/>
        <v>13</v>
      </c>
    </row>
    <row r="23" spans="1:11" x14ac:dyDescent="0.3">
      <c r="A23" s="3">
        <v>22</v>
      </c>
      <c r="B23" s="3" t="s">
        <v>27</v>
      </c>
      <c r="C23" s="3" t="s">
        <v>69</v>
      </c>
      <c r="D23" s="3" t="s">
        <v>70</v>
      </c>
      <c r="E23" s="3" t="s">
        <v>71</v>
      </c>
      <c r="F23" s="3" t="str">
        <f t="shared" si="0"/>
        <v>8629490746</v>
      </c>
      <c r="G23" s="3" t="str">
        <f t="shared" si="1"/>
        <v>8629490746</v>
      </c>
      <c r="H23" s="3">
        <f t="shared" si="2"/>
        <v>8629490746</v>
      </c>
      <c r="I23" s="3" t="str">
        <f t="shared" si="3"/>
        <v>Valid</v>
      </c>
      <c r="J23" s="3" t="str">
        <f t="shared" si="4"/>
        <v>+91 8629490746</v>
      </c>
      <c r="K23" s="3">
        <f t="shared" si="5"/>
        <v>14</v>
      </c>
    </row>
    <row r="24" spans="1:11" x14ac:dyDescent="0.3">
      <c r="A24" s="3">
        <v>23</v>
      </c>
      <c r="B24" s="3" t="s">
        <v>72</v>
      </c>
      <c r="C24" s="3" t="s">
        <v>69</v>
      </c>
      <c r="D24" s="3" t="s">
        <v>73</v>
      </c>
      <c r="E24" s="3" t="s">
        <v>74</v>
      </c>
      <c r="F24" s="3" t="str">
        <f t="shared" si="0"/>
        <v>31334731</v>
      </c>
      <c r="G24" s="3" t="str">
        <f t="shared" si="1"/>
        <v>091-9131334731</v>
      </c>
      <c r="H24" s="3">
        <f t="shared" si="2"/>
        <v>31334731</v>
      </c>
      <c r="I24" s="3" t="str">
        <f t="shared" si="3"/>
        <v>Valid</v>
      </c>
      <c r="J24" s="3" t="str">
        <f t="shared" si="4"/>
        <v>+91 31334731</v>
      </c>
      <c r="K24" s="3">
        <f t="shared" si="5"/>
        <v>12</v>
      </c>
    </row>
    <row r="25" spans="1:11" x14ac:dyDescent="0.3">
      <c r="A25" s="3">
        <v>24</v>
      </c>
      <c r="B25" s="3" t="s">
        <v>64</v>
      </c>
      <c r="C25" s="3" t="s">
        <v>16</v>
      </c>
      <c r="D25" s="3" t="s">
        <v>75</v>
      </c>
      <c r="E25" s="3" t="s">
        <v>76</v>
      </c>
      <c r="F25" s="3" t="str">
        <f t="shared" si="0"/>
        <v>972492652</v>
      </c>
      <c r="G25" s="3" t="str">
        <f t="shared" si="1"/>
        <v>091-9724926520</v>
      </c>
      <c r="H25" s="3">
        <f t="shared" si="2"/>
        <v>972492652</v>
      </c>
      <c r="I25" s="3" t="str">
        <f t="shared" si="3"/>
        <v>Valid</v>
      </c>
      <c r="J25" s="3" t="str">
        <f t="shared" si="4"/>
        <v>+91 972492652</v>
      </c>
      <c r="K25" s="3">
        <f t="shared" si="5"/>
        <v>13</v>
      </c>
    </row>
    <row r="26" spans="1:11" x14ac:dyDescent="0.3">
      <c r="A26" s="3">
        <v>25</v>
      </c>
      <c r="B26" s="3" t="s">
        <v>77</v>
      </c>
      <c r="C26" s="3" t="s">
        <v>40</v>
      </c>
      <c r="D26" s="3" t="s">
        <v>78</v>
      </c>
      <c r="E26" s="3" t="s">
        <v>79</v>
      </c>
      <c r="F26" s="3" t="str">
        <f t="shared" si="0"/>
        <v>892556503</v>
      </c>
      <c r="G26" s="3" t="str">
        <f t="shared" si="1"/>
        <v>91-8092556503</v>
      </c>
      <c r="H26" s="3">
        <f t="shared" si="2"/>
        <v>892556503</v>
      </c>
      <c r="I26" s="3" t="str">
        <f t="shared" si="3"/>
        <v>Valid</v>
      </c>
      <c r="J26" s="3" t="str">
        <f t="shared" si="4"/>
        <v>+91 892556503</v>
      </c>
      <c r="K26" s="3">
        <f t="shared" si="5"/>
        <v>13</v>
      </c>
    </row>
    <row r="27" spans="1:11" x14ac:dyDescent="0.3">
      <c r="A27" s="3">
        <v>26</v>
      </c>
      <c r="B27" s="3" t="s">
        <v>58</v>
      </c>
      <c r="C27" s="3" t="s">
        <v>37</v>
      </c>
      <c r="D27" s="3" t="s">
        <v>80</v>
      </c>
      <c r="E27" s="3" t="s">
        <v>81</v>
      </c>
      <c r="F27" s="3" t="str">
        <f t="shared" si="0"/>
        <v>7653224022</v>
      </c>
      <c r="G27" s="3" t="str">
        <f t="shared" si="1"/>
        <v>7653224022</v>
      </c>
      <c r="H27" s="3">
        <f t="shared" si="2"/>
        <v>7653224022</v>
      </c>
      <c r="I27" s="3" t="str">
        <f t="shared" si="3"/>
        <v>Valid</v>
      </c>
      <c r="J27" s="3" t="str">
        <f t="shared" si="4"/>
        <v>+91 7653224022</v>
      </c>
      <c r="K27" s="3">
        <f t="shared" si="5"/>
        <v>14</v>
      </c>
    </row>
    <row r="28" spans="1:11" x14ac:dyDescent="0.3">
      <c r="A28" s="3">
        <v>27</v>
      </c>
      <c r="B28" s="3" t="s">
        <v>58</v>
      </c>
      <c r="C28" s="3" t="s">
        <v>12</v>
      </c>
      <c r="D28" s="3" t="s">
        <v>82</v>
      </c>
      <c r="E28" s="3" t="s">
        <v>83</v>
      </c>
      <c r="F28" s="3" t="str">
        <f t="shared" si="0"/>
        <v>744396281</v>
      </c>
      <c r="G28" s="3" t="str">
        <f t="shared" si="1"/>
        <v>7443096281</v>
      </c>
      <c r="H28" s="3">
        <f t="shared" si="2"/>
        <v>744396281</v>
      </c>
      <c r="I28" s="3" t="str">
        <f t="shared" si="3"/>
        <v>Valid</v>
      </c>
      <c r="J28" s="3" t="str">
        <f t="shared" si="4"/>
        <v>+91 744396281</v>
      </c>
      <c r="K28" s="3">
        <f t="shared" si="5"/>
        <v>13</v>
      </c>
    </row>
    <row r="29" spans="1:11" x14ac:dyDescent="0.3">
      <c r="A29" s="3">
        <v>28</v>
      </c>
      <c r="B29" s="3" t="s">
        <v>64</v>
      </c>
      <c r="C29" s="3" t="s">
        <v>40</v>
      </c>
      <c r="D29" s="3" t="s">
        <v>84</v>
      </c>
      <c r="E29" s="3" t="s">
        <v>66</v>
      </c>
      <c r="F29" s="3" t="str">
        <f t="shared" si="0"/>
        <v>7259817877</v>
      </c>
      <c r="G29" s="3" t="str">
        <f t="shared" si="1"/>
        <v>+91 7259817877</v>
      </c>
      <c r="H29" s="3">
        <f t="shared" si="2"/>
        <v>7259817877</v>
      </c>
      <c r="I29" s="3" t="str">
        <f t="shared" si="3"/>
        <v>Valid</v>
      </c>
      <c r="J29" s="3" t="str">
        <f t="shared" si="4"/>
        <v>+91 7259817877</v>
      </c>
      <c r="K29" s="3">
        <f t="shared" si="5"/>
        <v>14</v>
      </c>
    </row>
    <row r="30" spans="1:11" x14ac:dyDescent="0.3">
      <c r="A30" s="3">
        <v>29</v>
      </c>
      <c r="B30" s="3" t="s">
        <v>85</v>
      </c>
      <c r="C30" s="3" t="s">
        <v>40</v>
      </c>
      <c r="D30" s="3" t="s">
        <v>86</v>
      </c>
      <c r="E30" s="3" t="s">
        <v>87</v>
      </c>
      <c r="F30" s="3" t="str">
        <f t="shared" si="0"/>
        <v>765923497</v>
      </c>
      <c r="G30" s="3" t="str">
        <f t="shared" si="1"/>
        <v>76590 23497</v>
      </c>
      <c r="H30" s="3">
        <f t="shared" si="2"/>
        <v>765923497</v>
      </c>
      <c r="I30" s="3" t="str">
        <f t="shared" si="3"/>
        <v>Valid</v>
      </c>
      <c r="J30" s="3" t="str">
        <f t="shared" si="4"/>
        <v>+91 765923497</v>
      </c>
      <c r="K30" s="3">
        <f t="shared" si="5"/>
        <v>13</v>
      </c>
    </row>
    <row r="31" spans="1:11" x14ac:dyDescent="0.3">
      <c r="A31" s="3">
        <v>30</v>
      </c>
      <c r="B31" s="3" t="s">
        <v>64</v>
      </c>
      <c r="C31" s="3" t="s">
        <v>37</v>
      </c>
      <c r="D31" s="3" t="s">
        <v>88</v>
      </c>
      <c r="E31" s="3" t="s">
        <v>89</v>
      </c>
      <c r="F31" s="3" t="str">
        <f t="shared" si="0"/>
        <v>9349286</v>
      </c>
      <c r="G31" s="3" t="str">
        <f t="shared" si="1"/>
        <v>9349289106</v>
      </c>
      <c r="H31" s="3">
        <f t="shared" si="2"/>
        <v>9349286</v>
      </c>
      <c r="I31" s="3" t="str">
        <f t="shared" si="3"/>
        <v>Valid</v>
      </c>
      <c r="J31" s="3" t="str">
        <f t="shared" si="4"/>
        <v>+91 9349286</v>
      </c>
      <c r="K31" s="3">
        <f t="shared" si="5"/>
        <v>11</v>
      </c>
    </row>
    <row r="32" spans="1:11" x14ac:dyDescent="0.3">
      <c r="A32" s="3">
        <v>31</v>
      </c>
      <c r="B32" s="3" t="s">
        <v>90</v>
      </c>
      <c r="C32" s="3" t="s">
        <v>24</v>
      </c>
      <c r="D32" s="3" t="s">
        <v>91</v>
      </c>
      <c r="E32" s="3" t="s">
        <v>92</v>
      </c>
      <c r="F32" s="3" t="str">
        <f t="shared" si="0"/>
        <v>972676504</v>
      </c>
      <c r="G32" s="3" t="str">
        <f t="shared" si="1"/>
        <v>(+91)9702676504</v>
      </c>
      <c r="H32" s="3">
        <f t="shared" si="2"/>
        <v>972676504</v>
      </c>
      <c r="I32" s="3" t="str">
        <f t="shared" si="3"/>
        <v>Valid</v>
      </c>
      <c r="J32" s="3" t="str">
        <f t="shared" si="4"/>
        <v>+91 972676504</v>
      </c>
      <c r="K32" s="3">
        <f t="shared" si="5"/>
        <v>13</v>
      </c>
    </row>
    <row r="33" spans="1:11" x14ac:dyDescent="0.3">
      <c r="A33" s="3">
        <v>32</v>
      </c>
      <c r="B33" s="3" t="s">
        <v>55</v>
      </c>
      <c r="C33" s="3" t="s">
        <v>6</v>
      </c>
      <c r="D33" s="3" t="s">
        <v>93</v>
      </c>
      <c r="E33" s="3" t="s">
        <v>94</v>
      </c>
      <c r="F33" s="3" t="str">
        <f t="shared" si="0"/>
        <v>8635957827</v>
      </c>
      <c r="G33" s="3" t="str">
        <f t="shared" si="1"/>
        <v>8635957827</v>
      </c>
      <c r="H33" s="3">
        <f t="shared" si="2"/>
        <v>8635957827</v>
      </c>
      <c r="I33" s="3" t="str">
        <f t="shared" si="3"/>
        <v>Valid</v>
      </c>
      <c r="J33" s="3" t="str">
        <f t="shared" si="4"/>
        <v>+91 8635957827</v>
      </c>
      <c r="K33" s="3">
        <f t="shared" si="5"/>
        <v>14</v>
      </c>
    </row>
    <row r="34" spans="1:11" x14ac:dyDescent="0.3">
      <c r="A34" s="3">
        <v>33</v>
      </c>
      <c r="B34" s="3" t="s">
        <v>85</v>
      </c>
      <c r="C34" s="3" t="s">
        <v>40</v>
      </c>
      <c r="D34" s="3" t="s">
        <v>95</v>
      </c>
      <c r="E34" s="3" t="s">
        <v>96</v>
      </c>
      <c r="F34" s="3" t="str">
        <f t="shared" si="0"/>
        <v>987654321</v>
      </c>
      <c r="G34" s="3" t="str">
        <f t="shared" si="1"/>
        <v>9876-543-210</v>
      </c>
      <c r="H34" s="3">
        <f t="shared" si="2"/>
        <v>987654321</v>
      </c>
      <c r="I34" s="3" t="str">
        <f t="shared" si="3"/>
        <v>Valid</v>
      </c>
      <c r="J34" s="3" t="str">
        <f t="shared" si="4"/>
        <v>+91 987654321</v>
      </c>
      <c r="K34" s="3">
        <f t="shared" si="5"/>
        <v>13</v>
      </c>
    </row>
    <row r="35" spans="1:11" x14ac:dyDescent="0.3">
      <c r="A35" s="3">
        <v>34</v>
      </c>
      <c r="B35" s="3" t="s">
        <v>5</v>
      </c>
      <c r="C35" s="3" t="s">
        <v>37</v>
      </c>
      <c r="D35" s="3" t="s">
        <v>25</v>
      </c>
      <c r="E35" s="3" t="s">
        <v>97</v>
      </c>
      <c r="F35" s="3" t="str">
        <f t="shared" si="0"/>
        <v>987654321</v>
      </c>
      <c r="G35" s="3" t="str">
        <f t="shared" si="1"/>
        <v>987.654.3210</v>
      </c>
      <c r="H35" s="3">
        <f t="shared" si="2"/>
        <v>987654321</v>
      </c>
      <c r="I35" s="3" t="str">
        <f t="shared" si="3"/>
        <v>Valid</v>
      </c>
      <c r="J35" s="3" t="str">
        <f t="shared" si="4"/>
        <v>+91 987654321</v>
      </c>
      <c r="K35" s="3">
        <f t="shared" si="5"/>
        <v>13</v>
      </c>
    </row>
    <row r="36" spans="1:11" x14ac:dyDescent="0.3">
      <c r="A36" s="3">
        <v>35</v>
      </c>
      <c r="B36" s="3" t="s">
        <v>98</v>
      </c>
      <c r="C36" s="3" t="s">
        <v>6</v>
      </c>
      <c r="D36" s="3" t="s">
        <v>99</v>
      </c>
      <c r="E36" s="3" t="s">
        <v>100</v>
      </c>
      <c r="F36" s="3" t="str">
        <f t="shared" si="0"/>
        <v>92556926</v>
      </c>
      <c r="G36" s="3" t="str">
        <f t="shared" si="1"/>
        <v>91 92556 92916</v>
      </c>
      <c r="H36" s="3">
        <f t="shared" si="2"/>
        <v>92556926</v>
      </c>
      <c r="I36" s="3" t="str">
        <f t="shared" si="3"/>
        <v>Valid</v>
      </c>
      <c r="J36" s="3" t="str">
        <f t="shared" si="4"/>
        <v>+91 92556926</v>
      </c>
      <c r="K36" s="3">
        <f t="shared" si="5"/>
        <v>12</v>
      </c>
    </row>
    <row r="37" spans="1:11" x14ac:dyDescent="0.3">
      <c r="A37" s="3">
        <v>36</v>
      </c>
      <c r="B37" s="3" t="s">
        <v>58</v>
      </c>
      <c r="C37" s="3" t="s">
        <v>37</v>
      </c>
      <c r="D37" s="3" t="s">
        <v>101</v>
      </c>
      <c r="E37" s="3" t="s">
        <v>102</v>
      </c>
      <c r="F37" s="3" t="str">
        <f t="shared" si="0"/>
        <v>8541311</v>
      </c>
      <c r="G37" s="3" t="str">
        <f t="shared" si="1"/>
        <v>(+91)9185413110</v>
      </c>
      <c r="H37" s="3">
        <f t="shared" si="2"/>
        <v>8541311</v>
      </c>
      <c r="I37" s="3" t="str">
        <f t="shared" si="3"/>
        <v>Valid</v>
      </c>
      <c r="J37" s="3" t="str">
        <f t="shared" si="4"/>
        <v>+91 8541311</v>
      </c>
      <c r="K37" s="3">
        <f t="shared" si="5"/>
        <v>11</v>
      </c>
    </row>
    <row r="38" spans="1:11" x14ac:dyDescent="0.3">
      <c r="A38" s="3">
        <v>37</v>
      </c>
      <c r="B38" s="3" t="s">
        <v>15</v>
      </c>
      <c r="C38" s="3" t="s">
        <v>44</v>
      </c>
      <c r="D38" s="3" t="s">
        <v>95</v>
      </c>
      <c r="E38" s="3" t="s">
        <v>103</v>
      </c>
      <c r="F38" s="3" t="str">
        <f t="shared" si="0"/>
        <v>987654321</v>
      </c>
      <c r="G38" s="3" t="str">
        <f t="shared" si="1"/>
        <v>9876-543-210</v>
      </c>
      <c r="H38" s="3">
        <f t="shared" si="2"/>
        <v>987654321</v>
      </c>
      <c r="I38" s="3" t="str">
        <f t="shared" si="3"/>
        <v>Valid</v>
      </c>
      <c r="J38" s="3" t="str">
        <f t="shared" si="4"/>
        <v>+91 987654321</v>
      </c>
      <c r="K38" s="3">
        <f t="shared" si="5"/>
        <v>13</v>
      </c>
    </row>
    <row r="39" spans="1:11" x14ac:dyDescent="0.3">
      <c r="A39" s="3">
        <v>38</v>
      </c>
      <c r="B39" s="3" t="s">
        <v>43</v>
      </c>
      <c r="C39" s="3" t="s">
        <v>16</v>
      </c>
      <c r="D39" s="3" t="s">
        <v>104</v>
      </c>
      <c r="E39" s="3" t="s">
        <v>105</v>
      </c>
      <c r="F39" s="3" t="str">
        <f t="shared" si="0"/>
        <v>9798295437</v>
      </c>
      <c r="G39" s="3" t="str">
        <f t="shared" si="1"/>
        <v>9798295437</v>
      </c>
      <c r="H39" s="3">
        <f t="shared" si="2"/>
        <v>9798295437</v>
      </c>
      <c r="I39" s="3" t="str">
        <f t="shared" si="3"/>
        <v>Valid</v>
      </c>
      <c r="J39" s="3" t="str">
        <f t="shared" si="4"/>
        <v>+91 9798295437</v>
      </c>
      <c r="K39" s="3">
        <f t="shared" si="5"/>
        <v>14</v>
      </c>
    </row>
    <row r="40" spans="1:11" x14ac:dyDescent="0.3">
      <c r="A40" s="3">
        <v>39</v>
      </c>
      <c r="B40" s="3" t="s">
        <v>90</v>
      </c>
      <c r="C40" s="3" t="s">
        <v>24</v>
      </c>
      <c r="D40" s="3" t="s">
        <v>106</v>
      </c>
      <c r="E40" s="3" t="s">
        <v>107</v>
      </c>
      <c r="F40" s="3" t="str">
        <f t="shared" si="0"/>
        <v>974678747</v>
      </c>
      <c r="G40" s="3" t="str">
        <f t="shared" si="1"/>
        <v>91-9746078747</v>
      </c>
      <c r="H40" s="3">
        <f t="shared" si="2"/>
        <v>974678747</v>
      </c>
      <c r="I40" s="3" t="str">
        <f t="shared" si="3"/>
        <v>Valid</v>
      </c>
      <c r="J40" s="3" t="str">
        <f t="shared" si="4"/>
        <v>+91 974678747</v>
      </c>
      <c r="K40" s="3">
        <f t="shared" si="5"/>
        <v>13</v>
      </c>
    </row>
    <row r="41" spans="1:11" x14ac:dyDescent="0.3">
      <c r="A41" s="3">
        <v>40</v>
      </c>
      <c r="B41" s="3" t="s">
        <v>43</v>
      </c>
      <c r="C41" s="3" t="s">
        <v>12</v>
      </c>
      <c r="D41" s="3" t="s">
        <v>108</v>
      </c>
      <c r="E41" s="3" t="s">
        <v>109</v>
      </c>
      <c r="F41" s="3" t="str">
        <f t="shared" si="0"/>
        <v>834151242</v>
      </c>
      <c r="G41" s="3" t="str">
        <f t="shared" si="1"/>
        <v>91 83415 12420</v>
      </c>
      <c r="H41" s="3">
        <f t="shared" si="2"/>
        <v>834151242</v>
      </c>
      <c r="I41" s="3" t="str">
        <f t="shared" si="3"/>
        <v>Valid</v>
      </c>
      <c r="J41" s="3" t="str">
        <f t="shared" si="4"/>
        <v>+91 834151242</v>
      </c>
      <c r="K41" s="3">
        <f t="shared" si="5"/>
        <v>13</v>
      </c>
    </row>
    <row r="42" spans="1:11" x14ac:dyDescent="0.3">
      <c r="A42" s="3">
        <v>41</v>
      </c>
      <c r="B42" s="3" t="s">
        <v>72</v>
      </c>
      <c r="C42" s="3" t="s">
        <v>24</v>
      </c>
      <c r="D42" s="3" t="s">
        <v>110</v>
      </c>
      <c r="E42" s="3" t="s">
        <v>111</v>
      </c>
      <c r="F42" s="3" t="str">
        <f t="shared" si="0"/>
        <v>7874375622</v>
      </c>
      <c r="G42" s="3" t="str">
        <f t="shared" si="1"/>
        <v>7874375622</v>
      </c>
      <c r="H42" s="3">
        <f t="shared" si="2"/>
        <v>7874375622</v>
      </c>
      <c r="I42" s="3" t="str">
        <f t="shared" si="3"/>
        <v>Valid</v>
      </c>
      <c r="J42" s="3" t="str">
        <f t="shared" si="4"/>
        <v>+91 7874375622</v>
      </c>
      <c r="K42" s="3">
        <f t="shared" si="5"/>
        <v>14</v>
      </c>
    </row>
    <row r="43" spans="1:11" x14ac:dyDescent="0.3">
      <c r="A43" s="3">
        <v>42</v>
      </c>
      <c r="B43" s="3" t="s">
        <v>67</v>
      </c>
      <c r="C43" s="3" t="s">
        <v>44</v>
      </c>
      <c r="D43" s="3" t="s">
        <v>95</v>
      </c>
      <c r="E43" s="3" t="s">
        <v>112</v>
      </c>
      <c r="F43" s="3" t="str">
        <f t="shared" si="0"/>
        <v>987654321</v>
      </c>
      <c r="G43" s="3" t="str">
        <f t="shared" si="1"/>
        <v>9876-543-210</v>
      </c>
      <c r="H43" s="3">
        <f t="shared" si="2"/>
        <v>987654321</v>
      </c>
      <c r="I43" s="3" t="str">
        <f t="shared" si="3"/>
        <v>Valid</v>
      </c>
      <c r="J43" s="3" t="str">
        <f t="shared" si="4"/>
        <v>+91 987654321</v>
      </c>
      <c r="K43" s="3">
        <f t="shared" si="5"/>
        <v>13</v>
      </c>
    </row>
    <row r="44" spans="1:11" x14ac:dyDescent="0.3">
      <c r="A44" s="3">
        <v>43</v>
      </c>
      <c r="B44" s="3" t="s">
        <v>27</v>
      </c>
      <c r="C44" s="3" t="s">
        <v>12</v>
      </c>
      <c r="D44" s="3" t="s">
        <v>25</v>
      </c>
      <c r="E44" s="3" t="s">
        <v>71</v>
      </c>
      <c r="F44" s="3" t="str">
        <f t="shared" si="0"/>
        <v>987654321</v>
      </c>
      <c r="G44" s="3" t="str">
        <f t="shared" si="1"/>
        <v>987.654.3210</v>
      </c>
      <c r="H44" s="3">
        <f t="shared" si="2"/>
        <v>987654321</v>
      </c>
      <c r="I44" s="3" t="str">
        <f t="shared" si="3"/>
        <v>Valid</v>
      </c>
      <c r="J44" s="3" t="str">
        <f t="shared" si="4"/>
        <v>+91 987654321</v>
      </c>
      <c r="K44" s="3">
        <f t="shared" si="5"/>
        <v>13</v>
      </c>
    </row>
    <row r="45" spans="1:11" x14ac:dyDescent="0.3">
      <c r="A45" s="3">
        <v>44</v>
      </c>
      <c r="B45" s="3" t="s">
        <v>90</v>
      </c>
      <c r="C45" s="3" t="s">
        <v>24</v>
      </c>
      <c r="D45" s="3" t="s">
        <v>95</v>
      </c>
      <c r="E45" s="3" t="s">
        <v>113</v>
      </c>
      <c r="F45" s="3" t="str">
        <f t="shared" si="0"/>
        <v>987654321</v>
      </c>
      <c r="G45" s="3" t="str">
        <f t="shared" si="1"/>
        <v>9876-543-210</v>
      </c>
      <c r="H45" s="3">
        <f t="shared" si="2"/>
        <v>987654321</v>
      </c>
      <c r="I45" s="3" t="str">
        <f t="shared" si="3"/>
        <v>Valid</v>
      </c>
      <c r="J45" s="3" t="str">
        <f t="shared" si="4"/>
        <v>+91 987654321</v>
      </c>
      <c r="K45" s="3">
        <f t="shared" si="5"/>
        <v>13</v>
      </c>
    </row>
    <row r="46" spans="1:11" x14ac:dyDescent="0.3">
      <c r="A46" s="3">
        <v>45</v>
      </c>
      <c r="B46" s="3" t="s">
        <v>77</v>
      </c>
      <c r="C46" s="3" t="s">
        <v>20</v>
      </c>
      <c r="D46" s="3" t="s">
        <v>114</v>
      </c>
      <c r="E46" s="3" t="s">
        <v>115</v>
      </c>
      <c r="F46" s="3" t="str">
        <f t="shared" si="0"/>
        <v>8712484692</v>
      </c>
      <c r="G46" s="3" t="str">
        <f t="shared" si="1"/>
        <v>(+91)8712484692</v>
      </c>
      <c r="H46" s="3">
        <f t="shared" si="2"/>
        <v>8712484692</v>
      </c>
      <c r="I46" s="3" t="str">
        <f t="shared" si="3"/>
        <v>Valid</v>
      </c>
      <c r="J46" s="3" t="str">
        <f t="shared" si="4"/>
        <v>+91 8712484692</v>
      </c>
      <c r="K46" s="3">
        <f t="shared" si="5"/>
        <v>14</v>
      </c>
    </row>
    <row r="47" spans="1:11" x14ac:dyDescent="0.3">
      <c r="A47" s="3">
        <v>46</v>
      </c>
      <c r="B47" s="3" t="s">
        <v>98</v>
      </c>
      <c r="C47" s="3" t="s">
        <v>37</v>
      </c>
      <c r="D47" s="3" t="s">
        <v>116</v>
      </c>
      <c r="E47" s="3" t="s">
        <v>117</v>
      </c>
      <c r="F47" s="3" t="str">
        <f t="shared" si="0"/>
        <v>825149438</v>
      </c>
      <c r="G47" s="3" t="str">
        <f t="shared" si="1"/>
        <v>091-8251494380</v>
      </c>
      <c r="H47" s="3">
        <f t="shared" si="2"/>
        <v>825149438</v>
      </c>
      <c r="I47" s="3" t="str">
        <f t="shared" si="3"/>
        <v>Valid</v>
      </c>
      <c r="J47" s="3" t="str">
        <f t="shared" si="4"/>
        <v>+91 825149438</v>
      </c>
      <c r="K47" s="3">
        <f t="shared" si="5"/>
        <v>13</v>
      </c>
    </row>
    <row r="48" spans="1:11" x14ac:dyDescent="0.3">
      <c r="A48" s="3">
        <v>47</v>
      </c>
      <c r="B48" s="3" t="s">
        <v>55</v>
      </c>
      <c r="C48" s="3" t="s">
        <v>31</v>
      </c>
      <c r="D48" s="3" t="s">
        <v>118</v>
      </c>
      <c r="E48" s="3" t="s">
        <v>63</v>
      </c>
      <c r="F48" s="3" t="str">
        <f t="shared" si="0"/>
        <v>7622415985</v>
      </c>
      <c r="G48" s="3" t="str">
        <f t="shared" si="1"/>
        <v>(+91)7622415985</v>
      </c>
      <c r="H48" s="3">
        <f t="shared" si="2"/>
        <v>7622415985</v>
      </c>
      <c r="I48" s="3" t="str">
        <f t="shared" si="3"/>
        <v>Valid</v>
      </c>
      <c r="J48" s="3" t="str">
        <f t="shared" si="4"/>
        <v>+91 7622415985</v>
      </c>
      <c r="K48" s="3">
        <f t="shared" si="5"/>
        <v>14</v>
      </c>
    </row>
    <row r="49" spans="1:11" x14ac:dyDescent="0.3">
      <c r="A49" s="3">
        <v>48</v>
      </c>
      <c r="B49" s="3" t="s">
        <v>90</v>
      </c>
      <c r="C49" s="3" t="s">
        <v>44</v>
      </c>
      <c r="D49" s="3" t="s">
        <v>119</v>
      </c>
      <c r="E49" s="3" t="s">
        <v>120</v>
      </c>
      <c r="F49" s="3" t="str">
        <f t="shared" si="0"/>
        <v>7181363638</v>
      </c>
      <c r="G49" s="3" t="str">
        <f t="shared" si="1"/>
        <v>+91 7181363638</v>
      </c>
      <c r="H49" s="3">
        <f t="shared" si="2"/>
        <v>7181363638</v>
      </c>
      <c r="I49" s="3" t="str">
        <f t="shared" si="3"/>
        <v>Valid</v>
      </c>
      <c r="J49" s="3" t="str">
        <f t="shared" si="4"/>
        <v>+91 7181363638</v>
      </c>
      <c r="K49" s="3">
        <f t="shared" si="5"/>
        <v>14</v>
      </c>
    </row>
    <row r="50" spans="1:11" x14ac:dyDescent="0.3">
      <c r="A50" s="3">
        <v>49</v>
      </c>
      <c r="B50" s="3" t="s">
        <v>52</v>
      </c>
      <c r="C50" s="3" t="s">
        <v>20</v>
      </c>
      <c r="D50" s="3" t="s">
        <v>121</v>
      </c>
      <c r="E50" s="3" t="s">
        <v>122</v>
      </c>
      <c r="F50" s="3" t="str">
        <f t="shared" si="0"/>
        <v>7264794168</v>
      </c>
      <c r="G50" s="3" t="str">
        <f t="shared" si="1"/>
        <v>7264794168</v>
      </c>
      <c r="H50" s="3">
        <f t="shared" si="2"/>
        <v>7264794168</v>
      </c>
      <c r="I50" s="3" t="str">
        <f t="shared" si="3"/>
        <v>Valid</v>
      </c>
      <c r="J50" s="3" t="str">
        <f t="shared" si="4"/>
        <v>+91 7264794168</v>
      </c>
      <c r="K50" s="3">
        <f t="shared" si="5"/>
        <v>14</v>
      </c>
    </row>
    <row r="51" spans="1:11" x14ac:dyDescent="0.3">
      <c r="A51" s="3">
        <v>50</v>
      </c>
      <c r="B51" s="3" t="s">
        <v>5</v>
      </c>
      <c r="C51" s="3" t="s">
        <v>24</v>
      </c>
      <c r="D51" s="3" t="s">
        <v>123</v>
      </c>
      <c r="E51" s="3" t="s">
        <v>124</v>
      </c>
      <c r="F51" s="3" t="str">
        <f t="shared" si="0"/>
        <v>9355074380</v>
      </c>
      <c r="G51" s="3" t="str">
        <f t="shared" si="1"/>
        <v>9355074380</v>
      </c>
      <c r="H51" s="3">
        <f t="shared" si="2"/>
        <v>9355074380</v>
      </c>
      <c r="I51" s="3" t="str">
        <f t="shared" si="3"/>
        <v>Valid</v>
      </c>
      <c r="J51" s="3" t="str">
        <f t="shared" si="4"/>
        <v>+91 9355074380</v>
      </c>
      <c r="K51" s="3">
        <f t="shared" si="5"/>
        <v>14</v>
      </c>
    </row>
    <row r="52" spans="1:11" x14ac:dyDescent="0.3">
      <c r="A52" s="3">
        <v>51</v>
      </c>
      <c r="B52" s="3" t="s">
        <v>36</v>
      </c>
      <c r="C52" s="3" t="s">
        <v>37</v>
      </c>
      <c r="D52" s="3" t="s">
        <v>125</v>
      </c>
      <c r="E52" s="3" t="s">
        <v>126</v>
      </c>
      <c r="F52" s="3" t="str">
        <f t="shared" si="0"/>
        <v>7423285496</v>
      </c>
      <c r="G52" s="3" t="str">
        <f t="shared" si="1"/>
        <v>7423285496</v>
      </c>
      <c r="H52" s="3">
        <f t="shared" si="2"/>
        <v>7423285496</v>
      </c>
      <c r="I52" s="3" t="str">
        <f t="shared" si="3"/>
        <v>Valid</v>
      </c>
      <c r="J52" s="3" t="str">
        <f t="shared" si="4"/>
        <v>+91 7423285496</v>
      </c>
      <c r="K52" s="3">
        <f t="shared" si="5"/>
        <v>14</v>
      </c>
    </row>
    <row r="53" spans="1:11" x14ac:dyDescent="0.3">
      <c r="A53" s="3">
        <v>52</v>
      </c>
      <c r="B53" s="3" t="s">
        <v>72</v>
      </c>
      <c r="C53" s="3" t="s">
        <v>24</v>
      </c>
      <c r="D53" s="3" t="s">
        <v>127</v>
      </c>
      <c r="E53" s="3" t="s">
        <v>128</v>
      </c>
      <c r="F53" s="3" t="str">
        <f t="shared" si="0"/>
        <v>937785948</v>
      </c>
      <c r="G53" s="3" t="str">
        <f t="shared" si="1"/>
        <v>091-9370785948</v>
      </c>
      <c r="H53" s="3">
        <f t="shared" si="2"/>
        <v>937785948</v>
      </c>
      <c r="I53" s="3" t="str">
        <f t="shared" si="3"/>
        <v>Valid</v>
      </c>
      <c r="J53" s="3" t="str">
        <f t="shared" si="4"/>
        <v>+91 937785948</v>
      </c>
      <c r="K53" s="3">
        <f t="shared" si="5"/>
        <v>13</v>
      </c>
    </row>
    <row r="54" spans="1:11" x14ac:dyDescent="0.3">
      <c r="A54" s="3">
        <v>53</v>
      </c>
      <c r="B54" s="3" t="s">
        <v>36</v>
      </c>
      <c r="C54" s="3" t="s">
        <v>37</v>
      </c>
      <c r="D54" s="3" t="s">
        <v>129</v>
      </c>
      <c r="E54" s="3" t="s">
        <v>130</v>
      </c>
      <c r="F54" s="3" t="str">
        <f t="shared" si="0"/>
        <v>761416063</v>
      </c>
      <c r="G54" s="3" t="str">
        <f t="shared" si="1"/>
        <v>91 76014 16063</v>
      </c>
      <c r="H54" s="3">
        <f t="shared" si="2"/>
        <v>761416063</v>
      </c>
      <c r="I54" s="3" t="str">
        <f t="shared" si="3"/>
        <v>Valid</v>
      </c>
      <c r="J54" s="3" t="str">
        <f t="shared" si="4"/>
        <v>+91 761416063</v>
      </c>
      <c r="K54" s="3">
        <f t="shared" si="5"/>
        <v>13</v>
      </c>
    </row>
    <row r="55" spans="1:11" x14ac:dyDescent="0.3">
      <c r="A55" s="3">
        <v>54</v>
      </c>
      <c r="B55" s="3" t="s">
        <v>30</v>
      </c>
      <c r="C55" s="3" t="s">
        <v>69</v>
      </c>
      <c r="D55" s="3" t="s">
        <v>131</v>
      </c>
      <c r="E55" s="3" t="s">
        <v>132</v>
      </c>
      <c r="F55" s="3" t="str">
        <f t="shared" si="0"/>
        <v>9287298729</v>
      </c>
      <c r="G55" s="3" t="str">
        <f t="shared" si="1"/>
        <v>9287298729</v>
      </c>
      <c r="H55" s="3">
        <f t="shared" si="2"/>
        <v>9287298729</v>
      </c>
      <c r="I55" s="3" t="str">
        <f t="shared" si="3"/>
        <v>Valid</v>
      </c>
      <c r="J55" s="3" t="str">
        <f t="shared" si="4"/>
        <v>+91 9287298729</v>
      </c>
      <c r="K55" s="3">
        <f t="shared" si="5"/>
        <v>14</v>
      </c>
    </row>
    <row r="56" spans="1:11" x14ac:dyDescent="0.3">
      <c r="A56" s="3">
        <v>55</v>
      </c>
      <c r="B56" s="3" t="s">
        <v>98</v>
      </c>
      <c r="C56" s="3" t="s">
        <v>37</v>
      </c>
      <c r="D56" s="3" t="s">
        <v>133</v>
      </c>
      <c r="E56" s="3" t="s">
        <v>134</v>
      </c>
      <c r="F56" s="3" t="str">
        <f t="shared" si="0"/>
        <v>7883744159</v>
      </c>
      <c r="G56" s="3" t="str">
        <f t="shared" si="1"/>
        <v>+91 7883744159</v>
      </c>
      <c r="H56" s="3">
        <f t="shared" si="2"/>
        <v>7883744159</v>
      </c>
      <c r="I56" s="3" t="str">
        <f t="shared" si="3"/>
        <v>Valid</v>
      </c>
      <c r="J56" s="3" t="str">
        <f t="shared" si="4"/>
        <v>+91 7883744159</v>
      </c>
      <c r="K56" s="3">
        <f t="shared" si="5"/>
        <v>14</v>
      </c>
    </row>
    <row r="57" spans="1:11" x14ac:dyDescent="0.3">
      <c r="A57" s="3">
        <v>56</v>
      </c>
      <c r="B57" s="3" t="s">
        <v>5</v>
      </c>
      <c r="C57" s="3" t="s">
        <v>40</v>
      </c>
      <c r="D57" s="3" t="s">
        <v>135</v>
      </c>
      <c r="E57" s="3" t="s">
        <v>136</v>
      </c>
      <c r="F57" s="3" t="str">
        <f t="shared" si="0"/>
        <v>788348843</v>
      </c>
      <c r="G57" s="3" t="str">
        <f t="shared" si="1"/>
        <v>70883 48843</v>
      </c>
      <c r="H57" s="3">
        <f t="shared" si="2"/>
        <v>788348843</v>
      </c>
      <c r="I57" s="3" t="str">
        <f t="shared" si="3"/>
        <v>Valid</v>
      </c>
      <c r="J57" s="3" t="str">
        <f t="shared" si="4"/>
        <v>+91 788348843</v>
      </c>
      <c r="K57" s="3">
        <f t="shared" si="5"/>
        <v>13</v>
      </c>
    </row>
    <row r="58" spans="1:11" x14ac:dyDescent="0.3">
      <c r="A58" s="3">
        <v>57</v>
      </c>
      <c r="B58" s="3" t="s">
        <v>55</v>
      </c>
      <c r="C58" s="3" t="s">
        <v>69</v>
      </c>
      <c r="D58" s="3" t="s">
        <v>137</v>
      </c>
      <c r="E58" s="3" t="s">
        <v>138</v>
      </c>
      <c r="F58" s="3" t="str">
        <f t="shared" si="0"/>
        <v>7932424169</v>
      </c>
      <c r="G58" s="3" t="str">
        <f t="shared" si="1"/>
        <v>7932424169</v>
      </c>
      <c r="H58" s="3">
        <f t="shared" si="2"/>
        <v>7932424169</v>
      </c>
      <c r="I58" s="3" t="str">
        <f t="shared" si="3"/>
        <v>Valid</v>
      </c>
      <c r="J58" s="3" t="str">
        <f t="shared" si="4"/>
        <v>+91 7932424169</v>
      </c>
      <c r="K58" s="3">
        <f t="shared" si="5"/>
        <v>14</v>
      </c>
    </row>
    <row r="59" spans="1:11" x14ac:dyDescent="0.3">
      <c r="A59" s="3">
        <v>58</v>
      </c>
      <c r="B59" s="3" t="s">
        <v>72</v>
      </c>
      <c r="C59" s="3" t="s">
        <v>12</v>
      </c>
      <c r="D59" s="3" t="s">
        <v>139</v>
      </c>
      <c r="E59" s="3" t="s">
        <v>140</v>
      </c>
      <c r="F59" s="3" t="str">
        <f t="shared" si="0"/>
        <v>9551643283</v>
      </c>
      <c r="G59" s="3" t="str">
        <f t="shared" si="1"/>
        <v>+91 9551643283</v>
      </c>
      <c r="H59" s="3">
        <f t="shared" si="2"/>
        <v>9551643283</v>
      </c>
      <c r="I59" s="3" t="str">
        <f t="shared" si="3"/>
        <v>Valid</v>
      </c>
      <c r="J59" s="3" t="str">
        <f t="shared" si="4"/>
        <v>+91 9551643283</v>
      </c>
      <c r="K59" s="3">
        <f t="shared" si="5"/>
        <v>14</v>
      </c>
    </row>
    <row r="60" spans="1:11" x14ac:dyDescent="0.3">
      <c r="A60" s="3">
        <v>59</v>
      </c>
      <c r="B60" s="3" t="s">
        <v>67</v>
      </c>
      <c r="C60" s="3" t="s">
        <v>40</v>
      </c>
      <c r="D60" s="3" t="s">
        <v>141</v>
      </c>
      <c r="E60" s="3" t="s">
        <v>142</v>
      </c>
      <c r="F60" s="3" t="str">
        <f t="shared" si="0"/>
        <v>9596164327</v>
      </c>
      <c r="G60" s="3" t="str">
        <f t="shared" si="1"/>
        <v>091-9596164327</v>
      </c>
      <c r="H60" s="3">
        <f t="shared" si="2"/>
        <v>9596164327</v>
      </c>
      <c r="I60" s="3" t="str">
        <f t="shared" si="3"/>
        <v>Valid</v>
      </c>
      <c r="J60" s="3" t="str">
        <f t="shared" si="4"/>
        <v>+91 9596164327</v>
      </c>
      <c r="K60" s="3">
        <f t="shared" si="5"/>
        <v>14</v>
      </c>
    </row>
    <row r="61" spans="1:11" x14ac:dyDescent="0.3">
      <c r="A61" s="3">
        <v>60</v>
      </c>
      <c r="B61" s="3" t="s">
        <v>9</v>
      </c>
      <c r="C61" s="3" t="s">
        <v>16</v>
      </c>
      <c r="D61" s="3" t="s">
        <v>143</v>
      </c>
      <c r="E61" s="3" t="s">
        <v>144</v>
      </c>
      <c r="F61" s="3" t="str">
        <f t="shared" si="0"/>
        <v>9848478315</v>
      </c>
      <c r="G61" s="3" t="str">
        <f t="shared" si="1"/>
        <v>(+91)9848478315</v>
      </c>
      <c r="H61" s="3">
        <f t="shared" si="2"/>
        <v>9848478315</v>
      </c>
      <c r="I61" s="3" t="str">
        <f t="shared" si="3"/>
        <v>Valid</v>
      </c>
      <c r="J61" s="3" t="str">
        <f t="shared" si="4"/>
        <v>+91 9848478315</v>
      </c>
      <c r="K61" s="3">
        <f t="shared" si="5"/>
        <v>14</v>
      </c>
    </row>
    <row r="62" spans="1:11" x14ac:dyDescent="0.3">
      <c r="A62" s="3">
        <v>61</v>
      </c>
      <c r="B62" s="3" t="s">
        <v>43</v>
      </c>
      <c r="C62" s="3" t="s">
        <v>69</v>
      </c>
      <c r="D62" s="3" t="s">
        <v>145</v>
      </c>
      <c r="E62" s="3" t="s">
        <v>146</v>
      </c>
      <c r="F62" s="3" t="str">
        <f t="shared" si="0"/>
        <v>751143794</v>
      </c>
      <c r="G62" s="3" t="str">
        <f t="shared" si="1"/>
        <v>(+91)7511437094</v>
      </c>
      <c r="H62" s="3">
        <f t="shared" si="2"/>
        <v>751143794</v>
      </c>
      <c r="I62" s="3" t="str">
        <f t="shared" si="3"/>
        <v>Valid</v>
      </c>
      <c r="J62" s="3" t="str">
        <f t="shared" si="4"/>
        <v>+91 751143794</v>
      </c>
      <c r="K62" s="3">
        <f t="shared" si="5"/>
        <v>13</v>
      </c>
    </row>
    <row r="63" spans="1:11" x14ac:dyDescent="0.3">
      <c r="A63" s="3">
        <v>62</v>
      </c>
      <c r="B63" s="3" t="s">
        <v>43</v>
      </c>
      <c r="C63" s="3" t="s">
        <v>44</v>
      </c>
      <c r="D63" s="3" t="s">
        <v>147</v>
      </c>
      <c r="E63" s="3" t="s">
        <v>148</v>
      </c>
      <c r="F63" s="3" t="str">
        <f t="shared" si="0"/>
        <v>89467425</v>
      </c>
      <c r="G63" s="3" t="str">
        <f t="shared" si="1"/>
        <v>(+91)8919467425</v>
      </c>
      <c r="H63" s="3">
        <f t="shared" si="2"/>
        <v>89467425</v>
      </c>
      <c r="I63" s="3" t="str">
        <f t="shared" si="3"/>
        <v>Valid</v>
      </c>
      <c r="J63" s="3" t="str">
        <f t="shared" si="4"/>
        <v>+91 89467425</v>
      </c>
      <c r="K63" s="3">
        <f t="shared" si="5"/>
        <v>12</v>
      </c>
    </row>
    <row r="64" spans="1:11" x14ac:dyDescent="0.3">
      <c r="A64" s="3">
        <v>63</v>
      </c>
      <c r="B64" s="3" t="s">
        <v>5</v>
      </c>
      <c r="C64" s="3" t="s">
        <v>16</v>
      </c>
      <c r="D64" s="3" t="s">
        <v>149</v>
      </c>
      <c r="E64" s="3" t="s">
        <v>150</v>
      </c>
      <c r="F64" s="3" t="str">
        <f t="shared" si="0"/>
        <v>9467627969</v>
      </c>
      <c r="G64" s="3" t="str">
        <f t="shared" si="1"/>
        <v>94676 27969</v>
      </c>
      <c r="H64" s="3">
        <f t="shared" si="2"/>
        <v>9467627969</v>
      </c>
      <c r="I64" s="3" t="str">
        <f t="shared" si="3"/>
        <v>Valid</v>
      </c>
      <c r="J64" s="3" t="str">
        <f t="shared" si="4"/>
        <v>+91 9467627969</v>
      </c>
      <c r="K64" s="3">
        <f t="shared" si="5"/>
        <v>14</v>
      </c>
    </row>
    <row r="65" spans="1:11" x14ac:dyDescent="0.3">
      <c r="A65" s="3">
        <v>64</v>
      </c>
      <c r="B65" s="3" t="s">
        <v>36</v>
      </c>
      <c r="C65" s="3" t="s">
        <v>37</v>
      </c>
      <c r="D65" s="3" t="s">
        <v>151</v>
      </c>
      <c r="E65" s="3" t="s">
        <v>42</v>
      </c>
      <c r="F65" s="3" t="str">
        <f t="shared" si="0"/>
        <v>885235455</v>
      </c>
      <c r="G65" s="3" t="str">
        <f t="shared" si="1"/>
        <v>(+91)8852354055</v>
      </c>
      <c r="H65" s="3">
        <f t="shared" si="2"/>
        <v>885235455</v>
      </c>
      <c r="I65" s="3" t="str">
        <f t="shared" si="3"/>
        <v>Valid</v>
      </c>
      <c r="J65" s="3" t="str">
        <f t="shared" si="4"/>
        <v>+91 885235455</v>
      </c>
      <c r="K65" s="3">
        <f t="shared" si="5"/>
        <v>13</v>
      </c>
    </row>
    <row r="66" spans="1:11" x14ac:dyDescent="0.3">
      <c r="A66" s="3">
        <v>65</v>
      </c>
      <c r="B66" s="3" t="s">
        <v>15</v>
      </c>
      <c r="C66" s="3" t="s">
        <v>44</v>
      </c>
      <c r="D66" s="3" t="s">
        <v>152</v>
      </c>
      <c r="E66" s="3" t="s">
        <v>153</v>
      </c>
      <c r="F66" s="3" t="str">
        <f t="shared" si="0"/>
        <v>7790551747</v>
      </c>
      <c r="G66" s="3" t="str">
        <f t="shared" si="1"/>
        <v>7790551747</v>
      </c>
      <c r="H66" s="3">
        <f t="shared" si="2"/>
        <v>7790551747</v>
      </c>
      <c r="I66" s="3" t="str">
        <f t="shared" si="3"/>
        <v>Valid</v>
      </c>
      <c r="J66" s="3" t="str">
        <f t="shared" si="4"/>
        <v>+91 7790551747</v>
      </c>
      <c r="K66" s="3">
        <f t="shared" si="5"/>
        <v>14</v>
      </c>
    </row>
    <row r="67" spans="1:11" x14ac:dyDescent="0.3">
      <c r="A67" s="3">
        <v>66</v>
      </c>
      <c r="B67" s="3" t="s">
        <v>52</v>
      </c>
      <c r="C67" s="3" t="s">
        <v>6</v>
      </c>
      <c r="D67" s="3" t="s">
        <v>154</v>
      </c>
      <c r="E67" s="3" t="s">
        <v>155</v>
      </c>
      <c r="F67" s="3" t="str">
        <f t="shared" ref="F67:F101" si="6">SUBSTITUTE(SUBSTITUTE(SUBSTITUTE(SUBSTITUTE(SUBSTITUTE(SUBSTITUTE(SUBSTITUTE(SUBSTITUTE(SUBSTITUTE(TRIM(CLEAN(D67))," ",""),".",""),"-",""),"(",""),")",""),"00",""),"0","",1),"+91",""),"91","")</f>
        <v>74512556</v>
      </c>
      <c r="G67" s="3" t="str">
        <f t="shared" ref="G67:G101" si="7">IF(LEFT(D67,1)="0",RIGHT(D67,LEN(D67)-1),D67)</f>
        <v>091-7451912556</v>
      </c>
      <c r="H67" s="3">
        <f t="shared" ref="H67:H101" si="8">VALUE(RIGHT(F67,10))</f>
        <v>74512556</v>
      </c>
      <c r="I67" s="3" t="str">
        <f t="shared" ref="I67:I101" si="9">IF(ISNUMBER(H67),"Valid","Invalid")</f>
        <v>Valid</v>
      </c>
      <c r="J67" s="3" t="str">
        <f t="shared" ref="J67:J101" si="10">"+91"&amp;" "&amp;H67</f>
        <v>+91 74512556</v>
      </c>
      <c r="K67" s="3">
        <f t="shared" ref="K67:K101" si="11">LEN(J67)</f>
        <v>12</v>
      </c>
    </row>
    <row r="68" spans="1:11" x14ac:dyDescent="0.3">
      <c r="A68" s="3">
        <v>67</v>
      </c>
      <c r="B68" s="3" t="s">
        <v>36</v>
      </c>
      <c r="C68" s="3" t="s">
        <v>37</v>
      </c>
      <c r="D68" s="3" t="s">
        <v>156</v>
      </c>
      <c r="E68" s="3" t="s">
        <v>157</v>
      </c>
      <c r="F68" s="3" t="str">
        <f t="shared" si="6"/>
        <v>7297994463</v>
      </c>
      <c r="G68" s="3" t="str">
        <f t="shared" si="7"/>
        <v>091-7297994463</v>
      </c>
      <c r="H68" s="3">
        <f t="shared" si="8"/>
        <v>7297994463</v>
      </c>
      <c r="I68" s="3" t="str">
        <f t="shared" si="9"/>
        <v>Valid</v>
      </c>
      <c r="J68" s="3" t="str">
        <f t="shared" si="10"/>
        <v>+91 7297994463</v>
      </c>
      <c r="K68" s="3">
        <f t="shared" si="11"/>
        <v>14</v>
      </c>
    </row>
    <row r="69" spans="1:11" x14ac:dyDescent="0.3">
      <c r="A69" s="3">
        <v>68</v>
      </c>
      <c r="B69" s="3" t="s">
        <v>90</v>
      </c>
      <c r="C69" s="3" t="s">
        <v>24</v>
      </c>
      <c r="D69" s="3" t="s">
        <v>158</v>
      </c>
      <c r="E69" s="3" t="s">
        <v>159</v>
      </c>
      <c r="F69" s="3" t="str">
        <f t="shared" si="6"/>
        <v>7588888948</v>
      </c>
      <c r="G69" s="3" t="str">
        <f t="shared" si="7"/>
        <v>(+91)7588888948</v>
      </c>
      <c r="H69" s="3">
        <f t="shared" si="8"/>
        <v>7588888948</v>
      </c>
      <c r="I69" s="3" t="str">
        <f t="shared" si="9"/>
        <v>Valid</v>
      </c>
      <c r="J69" s="3" t="str">
        <f t="shared" si="10"/>
        <v>+91 7588888948</v>
      </c>
      <c r="K69" s="3">
        <f t="shared" si="11"/>
        <v>14</v>
      </c>
    </row>
    <row r="70" spans="1:11" x14ac:dyDescent="0.3">
      <c r="A70" s="3">
        <v>69</v>
      </c>
      <c r="B70" s="3" t="s">
        <v>5</v>
      </c>
      <c r="C70" s="3" t="s">
        <v>12</v>
      </c>
      <c r="D70" s="3" t="s">
        <v>160</v>
      </c>
      <c r="E70" s="3" t="s">
        <v>161</v>
      </c>
      <c r="F70" s="3" t="str">
        <f t="shared" si="6"/>
        <v>757495813</v>
      </c>
      <c r="G70" s="3" t="str">
        <f t="shared" si="7"/>
        <v>+91 7574950813</v>
      </c>
      <c r="H70" s="3">
        <f t="shared" si="8"/>
        <v>757495813</v>
      </c>
      <c r="I70" s="3" t="str">
        <f t="shared" si="9"/>
        <v>Valid</v>
      </c>
      <c r="J70" s="3" t="str">
        <f t="shared" si="10"/>
        <v>+91 757495813</v>
      </c>
      <c r="K70" s="3">
        <f t="shared" si="11"/>
        <v>13</v>
      </c>
    </row>
    <row r="71" spans="1:11" x14ac:dyDescent="0.3">
      <c r="A71" s="3">
        <v>70</v>
      </c>
      <c r="B71" s="3" t="s">
        <v>55</v>
      </c>
      <c r="C71" s="3" t="s">
        <v>6</v>
      </c>
      <c r="D71" s="3" t="s">
        <v>162</v>
      </c>
      <c r="E71" s="3" t="s">
        <v>163</v>
      </c>
      <c r="F71" s="3" t="str">
        <f t="shared" si="6"/>
        <v>963815931</v>
      </c>
      <c r="G71" s="3" t="str">
        <f t="shared" si="7"/>
        <v>091-9638159031</v>
      </c>
      <c r="H71" s="3">
        <f t="shared" si="8"/>
        <v>963815931</v>
      </c>
      <c r="I71" s="3" t="str">
        <f t="shared" si="9"/>
        <v>Valid</v>
      </c>
      <c r="J71" s="3" t="str">
        <f t="shared" si="10"/>
        <v>+91 963815931</v>
      </c>
      <c r="K71" s="3">
        <f t="shared" si="11"/>
        <v>13</v>
      </c>
    </row>
    <row r="72" spans="1:11" x14ac:dyDescent="0.3">
      <c r="A72" s="3">
        <v>71</v>
      </c>
      <c r="B72" s="3" t="s">
        <v>85</v>
      </c>
      <c r="C72" s="3" t="s">
        <v>20</v>
      </c>
      <c r="D72" s="3" t="s">
        <v>164</v>
      </c>
      <c r="E72" s="3" t="s">
        <v>165</v>
      </c>
      <c r="F72" s="3" t="str">
        <f t="shared" si="6"/>
        <v>8282630180</v>
      </c>
      <c r="G72" s="3" t="str">
        <f t="shared" si="7"/>
        <v>8282630180</v>
      </c>
      <c r="H72" s="3">
        <f t="shared" si="8"/>
        <v>8282630180</v>
      </c>
      <c r="I72" s="3" t="str">
        <f t="shared" si="9"/>
        <v>Valid</v>
      </c>
      <c r="J72" s="3" t="str">
        <f t="shared" si="10"/>
        <v>+91 8282630180</v>
      </c>
      <c r="K72" s="3">
        <f t="shared" si="11"/>
        <v>14</v>
      </c>
    </row>
    <row r="73" spans="1:11" x14ac:dyDescent="0.3">
      <c r="A73" s="3">
        <v>72</v>
      </c>
      <c r="B73" s="3" t="s">
        <v>23</v>
      </c>
      <c r="C73" s="3" t="s">
        <v>40</v>
      </c>
      <c r="D73" s="3" t="s">
        <v>166</v>
      </c>
      <c r="E73" s="3" t="s">
        <v>167</v>
      </c>
      <c r="F73" s="3" t="str">
        <f t="shared" si="6"/>
        <v>977534866</v>
      </c>
      <c r="G73" s="3" t="str">
        <f t="shared" si="7"/>
        <v>9775340866</v>
      </c>
      <c r="H73" s="3">
        <f t="shared" si="8"/>
        <v>977534866</v>
      </c>
      <c r="I73" s="3" t="str">
        <f t="shared" si="9"/>
        <v>Valid</v>
      </c>
      <c r="J73" s="3" t="str">
        <f t="shared" si="10"/>
        <v>+91 977534866</v>
      </c>
      <c r="K73" s="3">
        <f t="shared" si="11"/>
        <v>13</v>
      </c>
    </row>
    <row r="74" spans="1:11" x14ac:dyDescent="0.3">
      <c r="A74" s="3">
        <v>73</v>
      </c>
      <c r="B74" s="3" t="s">
        <v>15</v>
      </c>
      <c r="C74" s="3" t="s">
        <v>24</v>
      </c>
      <c r="D74" s="3" t="s">
        <v>95</v>
      </c>
      <c r="E74" s="3" t="s">
        <v>168</v>
      </c>
      <c r="F74" s="3" t="str">
        <f t="shared" si="6"/>
        <v>987654321</v>
      </c>
      <c r="G74" s="3" t="str">
        <f t="shared" si="7"/>
        <v>9876-543-210</v>
      </c>
      <c r="H74" s="3">
        <f t="shared" si="8"/>
        <v>987654321</v>
      </c>
      <c r="I74" s="3" t="str">
        <f t="shared" si="9"/>
        <v>Valid</v>
      </c>
      <c r="J74" s="3" t="str">
        <f t="shared" si="10"/>
        <v>+91 987654321</v>
      </c>
      <c r="K74" s="3">
        <f t="shared" si="11"/>
        <v>13</v>
      </c>
    </row>
    <row r="75" spans="1:11" x14ac:dyDescent="0.3">
      <c r="A75" s="3">
        <v>74</v>
      </c>
      <c r="B75" s="3" t="s">
        <v>52</v>
      </c>
      <c r="C75" s="3" t="s">
        <v>12</v>
      </c>
      <c r="D75" s="3" t="s">
        <v>25</v>
      </c>
      <c r="E75" s="3" t="s">
        <v>169</v>
      </c>
      <c r="F75" s="3" t="str">
        <f t="shared" si="6"/>
        <v>987654321</v>
      </c>
      <c r="G75" s="3" t="str">
        <f t="shared" si="7"/>
        <v>987.654.3210</v>
      </c>
      <c r="H75" s="3">
        <f t="shared" si="8"/>
        <v>987654321</v>
      </c>
      <c r="I75" s="3" t="str">
        <f t="shared" si="9"/>
        <v>Valid</v>
      </c>
      <c r="J75" s="3" t="str">
        <f t="shared" si="10"/>
        <v>+91 987654321</v>
      </c>
      <c r="K75" s="3">
        <f t="shared" si="11"/>
        <v>13</v>
      </c>
    </row>
    <row r="76" spans="1:11" x14ac:dyDescent="0.3">
      <c r="A76" s="3">
        <v>75</v>
      </c>
      <c r="B76" s="3" t="s">
        <v>55</v>
      </c>
      <c r="C76" s="3" t="s">
        <v>31</v>
      </c>
      <c r="D76" s="3" t="s">
        <v>95</v>
      </c>
      <c r="E76" s="3" t="s">
        <v>94</v>
      </c>
      <c r="F76" s="3" t="str">
        <f t="shared" si="6"/>
        <v>987654321</v>
      </c>
      <c r="G76" s="3" t="str">
        <f t="shared" si="7"/>
        <v>9876-543-210</v>
      </c>
      <c r="H76" s="3">
        <f t="shared" si="8"/>
        <v>987654321</v>
      </c>
      <c r="I76" s="3" t="str">
        <f t="shared" si="9"/>
        <v>Valid</v>
      </c>
      <c r="J76" s="3" t="str">
        <f t="shared" si="10"/>
        <v>+91 987654321</v>
      </c>
      <c r="K76" s="3">
        <f t="shared" si="11"/>
        <v>13</v>
      </c>
    </row>
    <row r="77" spans="1:11" x14ac:dyDescent="0.3">
      <c r="A77" s="3">
        <v>76</v>
      </c>
      <c r="B77" s="3" t="s">
        <v>27</v>
      </c>
      <c r="C77" s="3" t="s">
        <v>24</v>
      </c>
      <c r="D77" s="3" t="s">
        <v>170</v>
      </c>
      <c r="E77" s="3" t="s">
        <v>171</v>
      </c>
      <c r="F77" s="3" t="str">
        <f t="shared" si="6"/>
        <v>7944392378</v>
      </c>
      <c r="G77" s="3" t="str">
        <f t="shared" si="7"/>
        <v>79443 92378</v>
      </c>
      <c r="H77" s="3">
        <f t="shared" si="8"/>
        <v>7944392378</v>
      </c>
      <c r="I77" s="3" t="str">
        <f t="shared" si="9"/>
        <v>Valid</v>
      </c>
      <c r="J77" s="3" t="str">
        <f t="shared" si="10"/>
        <v>+91 7944392378</v>
      </c>
      <c r="K77" s="3">
        <f t="shared" si="11"/>
        <v>14</v>
      </c>
    </row>
    <row r="78" spans="1:11" x14ac:dyDescent="0.3">
      <c r="A78" s="3">
        <v>77</v>
      </c>
      <c r="B78" s="3" t="s">
        <v>55</v>
      </c>
      <c r="C78" s="3" t="s">
        <v>24</v>
      </c>
      <c r="D78" s="3" t="s">
        <v>172</v>
      </c>
      <c r="E78" s="3" t="s">
        <v>173</v>
      </c>
      <c r="F78" s="3" t="str">
        <f t="shared" si="6"/>
        <v>7166863667</v>
      </c>
      <c r="G78" s="3" t="str">
        <f t="shared" si="7"/>
        <v>91 71668 63667</v>
      </c>
      <c r="H78" s="3">
        <f t="shared" si="8"/>
        <v>7166863667</v>
      </c>
      <c r="I78" s="3" t="str">
        <f t="shared" si="9"/>
        <v>Valid</v>
      </c>
      <c r="J78" s="3" t="str">
        <f t="shared" si="10"/>
        <v>+91 7166863667</v>
      </c>
      <c r="K78" s="3">
        <f t="shared" si="11"/>
        <v>14</v>
      </c>
    </row>
    <row r="79" spans="1:11" x14ac:dyDescent="0.3">
      <c r="A79" s="3">
        <v>78</v>
      </c>
      <c r="B79" s="3" t="s">
        <v>27</v>
      </c>
      <c r="C79" s="3" t="s">
        <v>20</v>
      </c>
      <c r="D79" s="3" t="s">
        <v>174</v>
      </c>
      <c r="E79" s="3" t="s">
        <v>175</v>
      </c>
      <c r="F79" s="3" t="str">
        <f t="shared" si="6"/>
        <v>8739595423</v>
      </c>
      <c r="G79" s="3" t="str">
        <f t="shared" si="7"/>
        <v>87395 95423</v>
      </c>
      <c r="H79" s="3">
        <f t="shared" si="8"/>
        <v>8739595423</v>
      </c>
      <c r="I79" s="3" t="str">
        <f t="shared" si="9"/>
        <v>Valid</v>
      </c>
      <c r="J79" s="3" t="str">
        <f t="shared" si="10"/>
        <v>+91 8739595423</v>
      </c>
      <c r="K79" s="3">
        <f t="shared" si="11"/>
        <v>14</v>
      </c>
    </row>
    <row r="80" spans="1:11" x14ac:dyDescent="0.3">
      <c r="A80" s="3">
        <v>79</v>
      </c>
      <c r="B80" s="3" t="s">
        <v>49</v>
      </c>
      <c r="C80" s="3" t="s">
        <v>20</v>
      </c>
      <c r="D80" s="3" t="s">
        <v>176</v>
      </c>
      <c r="E80" s="3" t="s">
        <v>177</v>
      </c>
      <c r="F80" s="3" t="str">
        <f t="shared" si="6"/>
        <v>7832435966</v>
      </c>
      <c r="G80" s="3" t="str">
        <f t="shared" si="7"/>
        <v>78324 35966</v>
      </c>
      <c r="H80" s="3">
        <f t="shared" si="8"/>
        <v>7832435966</v>
      </c>
      <c r="I80" s="3" t="str">
        <f t="shared" si="9"/>
        <v>Valid</v>
      </c>
      <c r="J80" s="3" t="str">
        <f t="shared" si="10"/>
        <v>+91 7832435966</v>
      </c>
      <c r="K80" s="3">
        <f t="shared" si="11"/>
        <v>14</v>
      </c>
    </row>
    <row r="81" spans="1:11" x14ac:dyDescent="0.3">
      <c r="A81" s="3">
        <v>80</v>
      </c>
      <c r="B81" s="3" t="s">
        <v>19</v>
      </c>
      <c r="C81" s="3" t="s">
        <v>20</v>
      </c>
      <c r="D81" s="3" t="s">
        <v>95</v>
      </c>
      <c r="E81" s="3" t="s">
        <v>178</v>
      </c>
      <c r="F81" s="3" t="str">
        <f t="shared" si="6"/>
        <v>987654321</v>
      </c>
      <c r="G81" s="3" t="str">
        <f t="shared" si="7"/>
        <v>9876-543-210</v>
      </c>
      <c r="H81" s="3">
        <f t="shared" si="8"/>
        <v>987654321</v>
      </c>
      <c r="I81" s="3" t="str">
        <f t="shared" si="9"/>
        <v>Valid</v>
      </c>
      <c r="J81" s="3" t="str">
        <f t="shared" si="10"/>
        <v>+91 987654321</v>
      </c>
      <c r="K81" s="3">
        <f t="shared" si="11"/>
        <v>13</v>
      </c>
    </row>
    <row r="82" spans="1:11" x14ac:dyDescent="0.3">
      <c r="A82" s="3">
        <v>81</v>
      </c>
      <c r="B82" s="3" t="s">
        <v>43</v>
      </c>
      <c r="C82" s="3" t="s">
        <v>44</v>
      </c>
      <c r="D82" s="3" t="s">
        <v>179</v>
      </c>
      <c r="E82" s="3" t="s">
        <v>180</v>
      </c>
      <c r="F82" s="3" t="str">
        <f t="shared" si="6"/>
        <v>941858570</v>
      </c>
      <c r="G82" s="3" t="str">
        <f t="shared" si="7"/>
        <v>91 94108 58570</v>
      </c>
      <c r="H82" s="3">
        <f t="shared" si="8"/>
        <v>941858570</v>
      </c>
      <c r="I82" s="3" t="str">
        <f t="shared" si="9"/>
        <v>Valid</v>
      </c>
      <c r="J82" s="3" t="str">
        <f t="shared" si="10"/>
        <v>+91 941858570</v>
      </c>
      <c r="K82" s="3">
        <f t="shared" si="11"/>
        <v>13</v>
      </c>
    </row>
    <row r="83" spans="1:11" x14ac:dyDescent="0.3">
      <c r="A83" s="3">
        <v>82</v>
      </c>
      <c r="B83" s="3" t="s">
        <v>30</v>
      </c>
      <c r="C83" s="3" t="s">
        <v>24</v>
      </c>
      <c r="D83" s="3" t="s">
        <v>181</v>
      </c>
      <c r="E83" s="3" t="s">
        <v>182</v>
      </c>
      <c r="F83" s="3" t="str">
        <f t="shared" si="6"/>
        <v>9432875159</v>
      </c>
      <c r="G83" s="3" t="str">
        <f t="shared" si="7"/>
        <v>9432875159</v>
      </c>
      <c r="H83" s="3">
        <f t="shared" si="8"/>
        <v>9432875159</v>
      </c>
      <c r="I83" s="3" t="str">
        <f t="shared" si="9"/>
        <v>Valid</v>
      </c>
      <c r="J83" s="3" t="str">
        <f t="shared" si="10"/>
        <v>+91 9432875159</v>
      </c>
      <c r="K83" s="3">
        <f t="shared" si="11"/>
        <v>14</v>
      </c>
    </row>
    <row r="84" spans="1:11" x14ac:dyDescent="0.3">
      <c r="A84" s="3">
        <v>83</v>
      </c>
      <c r="B84" s="3" t="s">
        <v>49</v>
      </c>
      <c r="C84" s="3" t="s">
        <v>44</v>
      </c>
      <c r="D84" s="3" t="s">
        <v>95</v>
      </c>
      <c r="E84" s="3" t="s">
        <v>183</v>
      </c>
      <c r="F84" s="3" t="str">
        <f t="shared" si="6"/>
        <v>987654321</v>
      </c>
      <c r="G84" s="3" t="str">
        <f t="shared" si="7"/>
        <v>9876-543-210</v>
      </c>
      <c r="H84" s="3">
        <f t="shared" si="8"/>
        <v>987654321</v>
      </c>
      <c r="I84" s="3" t="str">
        <f t="shared" si="9"/>
        <v>Valid</v>
      </c>
      <c r="J84" s="3" t="str">
        <f t="shared" si="10"/>
        <v>+91 987654321</v>
      </c>
      <c r="K84" s="3">
        <f t="shared" si="11"/>
        <v>13</v>
      </c>
    </row>
    <row r="85" spans="1:11" x14ac:dyDescent="0.3">
      <c r="A85" s="3">
        <v>84</v>
      </c>
      <c r="B85" s="3" t="s">
        <v>36</v>
      </c>
      <c r="C85" s="3" t="s">
        <v>44</v>
      </c>
      <c r="D85" s="3" t="s">
        <v>184</v>
      </c>
      <c r="E85" s="3" t="s">
        <v>42</v>
      </c>
      <c r="F85" s="3" t="str">
        <f t="shared" si="6"/>
        <v>9225865924</v>
      </c>
      <c r="G85" s="3" t="str">
        <f t="shared" si="7"/>
        <v>(+91)9225865924</v>
      </c>
      <c r="H85" s="3">
        <f t="shared" si="8"/>
        <v>9225865924</v>
      </c>
      <c r="I85" s="3" t="str">
        <f t="shared" si="9"/>
        <v>Valid</v>
      </c>
      <c r="J85" s="3" t="str">
        <f t="shared" si="10"/>
        <v>+91 9225865924</v>
      </c>
      <c r="K85" s="3">
        <f t="shared" si="11"/>
        <v>14</v>
      </c>
    </row>
    <row r="86" spans="1:11" x14ac:dyDescent="0.3">
      <c r="A86" s="3">
        <v>85</v>
      </c>
      <c r="B86" s="3" t="s">
        <v>15</v>
      </c>
      <c r="C86" s="3" t="s">
        <v>6</v>
      </c>
      <c r="D86" s="3" t="s">
        <v>95</v>
      </c>
      <c r="E86" s="3" t="s">
        <v>185</v>
      </c>
      <c r="F86" s="3" t="str">
        <f t="shared" si="6"/>
        <v>987654321</v>
      </c>
      <c r="G86" s="3" t="str">
        <f t="shared" si="7"/>
        <v>9876-543-210</v>
      </c>
      <c r="H86" s="3">
        <f t="shared" si="8"/>
        <v>987654321</v>
      </c>
      <c r="I86" s="3" t="str">
        <f t="shared" si="9"/>
        <v>Valid</v>
      </c>
      <c r="J86" s="3" t="str">
        <f t="shared" si="10"/>
        <v>+91 987654321</v>
      </c>
      <c r="K86" s="3">
        <f t="shared" si="11"/>
        <v>13</v>
      </c>
    </row>
    <row r="87" spans="1:11" x14ac:dyDescent="0.3">
      <c r="A87" s="3">
        <v>86</v>
      </c>
      <c r="B87" s="3" t="s">
        <v>90</v>
      </c>
      <c r="C87" s="3" t="s">
        <v>6</v>
      </c>
      <c r="D87" s="3" t="s">
        <v>186</v>
      </c>
      <c r="E87" s="3" t="s">
        <v>187</v>
      </c>
      <c r="F87" s="3" t="str">
        <f t="shared" si="6"/>
        <v>73446579</v>
      </c>
      <c r="G87" s="3" t="str">
        <f t="shared" si="7"/>
        <v>91-7344657009</v>
      </c>
      <c r="H87" s="3">
        <f t="shared" si="8"/>
        <v>73446579</v>
      </c>
      <c r="I87" s="3" t="str">
        <f t="shared" si="9"/>
        <v>Valid</v>
      </c>
      <c r="J87" s="3" t="str">
        <f t="shared" si="10"/>
        <v>+91 73446579</v>
      </c>
      <c r="K87" s="3">
        <f t="shared" si="11"/>
        <v>12</v>
      </c>
    </row>
    <row r="88" spans="1:11" x14ac:dyDescent="0.3">
      <c r="A88" s="3">
        <v>87</v>
      </c>
      <c r="B88" s="3" t="s">
        <v>67</v>
      </c>
      <c r="C88" s="3" t="s">
        <v>44</v>
      </c>
      <c r="D88" s="3" t="s">
        <v>188</v>
      </c>
      <c r="E88" s="3" t="s">
        <v>189</v>
      </c>
      <c r="F88" s="3" t="str">
        <f t="shared" si="6"/>
        <v>725657781</v>
      </c>
      <c r="G88" s="3" t="str">
        <f t="shared" si="7"/>
        <v>+91 7256570781</v>
      </c>
      <c r="H88" s="3">
        <f t="shared" si="8"/>
        <v>725657781</v>
      </c>
      <c r="I88" s="3" t="str">
        <f t="shared" si="9"/>
        <v>Valid</v>
      </c>
      <c r="J88" s="3" t="str">
        <f t="shared" si="10"/>
        <v>+91 725657781</v>
      </c>
      <c r="K88" s="3">
        <f t="shared" si="11"/>
        <v>13</v>
      </c>
    </row>
    <row r="89" spans="1:11" x14ac:dyDescent="0.3">
      <c r="A89" s="3">
        <v>88</v>
      </c>
      <c r="B89" s="3" t="s">
        <v>52</v>
      </c>
      <c r="C89" s="3" t="s">
        <v>6</v>
      </c>
      <c r="D89" s="3" t="s">
        <v>25</v>
      </c>
      <c r="E89" s="3" t="s">
        <v>190</v>
      </c>
      <c r="F89" s="3" t="str">
        <f t="shared" si="6"/>
        <v>987654321</v>
      </c>
      <c r="G89" s="3" t="str">
        <f t="shared" si="7"/>
        <v>987.654.3210</v>
      </c>
      <c r="H89" s="3">
        <f t="shared" si="8"/>
        <v>987654321</v>
      </c>
      <c r="I89" s="3" t="str">
        <f t="shared" si="9"/>
        <v>Valid</v>
      </c>
      <c r="J89" s="3" t="str">
        <f t="shared" si="10"/>
        <v>+91 987654321</v>
      </c>
      <c r="K89" s="3">
        <f t="shared" si="11"/>
        <v>13</v>
      </c>
    </row>
    <row r="90" spans="1:11" x14ac:dyDescent="0.3">
      <c r="A90" s="3">
        <v>89</v>
      </c>
      <c r="B90" s="3" t="s">
        <v>23</v>
      </c>
      <c r="C90" s="3" t="s">
        <v>12</v>
      </c>
      <c r="D90" s="3" t="s">
        <v>191</v>
      </c>
      <c r="E90" s="3" t="s">
        <v>192</v>
      </c>
      <c r="F90" s="3" t="str">
        <f t="shared" si="6"/>
        <v>8622662118</v>
      </c>
      <c r="G90" s="3" t="str">
        <f t="shared" si="7"/>
        <v>8622662118</v>
      </c>
      <c r="H90" s="3">
        <f t="shared" si="8"/>
        <v>8622662118</v>
      </c>
      <c r="I90" s="3" t="str">
        <f t="shared" si="9"/>
        <v>Valid</v>
      </c>
      <c r="J90" s="3" t="str">
        <f t="shared" si="10"/>
        <v>+91 8622662118</v>
      </c>
      <c r="K90" s="3">
        <f t="shared" si="11"/>
        <v>14</v>
      </c>
    </row>
    <row r="91" spans="1:11" x14ac:dyDescent="0.3">
      <c r="A91" s="3">
        <v>90</v>
      </c>
      <c r="B91" s="3" t="s">
        <v>90</v>
      </c>
      <c r="C91" s="3" t="s">
        <v>20</v>
      </c>
      <c r="D91" s="3" t="s">
        <v>193</v>
      </c>
      <c r="E91" s="3" t="s">
        <v>194</v>
      </c>
      <c r="F91" s="3" t="str">
        <f t="shared" si="6"/>
        <v>9511244545</v>
      </c>
      <c r="G91" s="3" t="str">
        <f t="shared" si="7"/>
        <v>9511244545</v>
      </c>
      <c r="H91" s="3">
        <f t="shared" si="8"/>
        <v>9511244545</v>
      </c>
      <c r="I91" s="3" t="str">
        <f t="shared" si="9"/>
        <v>Valid</v>
      </c>
      <c r="J91" s="3" t="str">
        <f t="shared" si="10"/>
        <v>+91 9511244545</v>
      </c>
      <c r="K91" s="3">
        <f t="shared" si="11"/>
        <v>14</v>
      </c>
    </row>
    <row r="92" spans="1:11" x14ac:dyDescent="0.3">
      <c r="A92" s="3">
        <v>91</v>
      </c>
      <c r="B92" s="3" t="s">
        <v>72</v>
      </c>
      <c r="C92" s="3" t="s">
        <v>31</v>
      </c>
      <c r="D92" s="3" t="s">
        <v>195</v>
      </c>
      <c r="E92" s="3" t="s">
        <v>196</v>
      </c>
      <c r="F92" s="3" t="str">
        <f t="shared" si="6"/>
        <v>937518929</v>
      </c>
      <c r="G92" s="3" t="str">
        <f t="shared" si="7"/>
        <v>(+91)9370518929</v>
      </c>
      <c r="H92" s="3">
        <f t="shared" si="8"/>
        <v>937518929</v>
      </c>
      <c r="I92" s="3" t="str">
        <f t="shared" si="9"/>
        <v>Valid</v>
      </c>
      <c r="J92" s="3" t="str">
        <f t="shared" si="10"/>
        <v>+91 937518929</v>
      </c>
      <c r="K92" s="3">
        <f t="shared" si="11"/>
        <v>13</v>
      </c>
    </row>
    <row r="93" spans="1:11" x14ac:dyDescent="0.3">
      <c r="A93" s="3">
        <v>92</v>
      </c>
      <c r="B93" s="3" t="s">
        <v>49</v>
      </c>
      <c r="C93" s="3" t="s">
        <v>40</v>
      </c>
      <c r="D93" s="3" t="s">
        <v>197</v>
      </c>
      <c r="E93" s="3" t="s">
        <v>198</v>
      </c>
      <c r="F93" s="3" t="str">
        <f t="shared" si="6"/>
        <v>9783687951</v>
      </c>
      <c r="G93" s="3" t="str">
        <f t="shared" si="7"/>
        <v>91 97836 87951</v>
      </c>
      <c r="H93" s="3">
        <f t="shared" si="8"/>
        <v>9783687951</v>
      </c>
      <c r="I93" s="3" t="str">
        <f t="shared" si="9"/>
        <v>Valid</v>
      </c>
      <c r="J93" s="3" t="str">
        <f t="shared" si="10"/>
        <v>+91 9783687951</v>
      </c>
      <c r="K93" s="3">
        <f t="shared" si="11"/>
        <v>14</v>
      </c>
    </row>
    <row r="94" spans="1:11" x14ac:dyDescent="0.3">
      <c r="A94" s="3">
        <v>93</v>
      </c>
      <c r="B94" s="3" t="s">
        <v>52</v>
      </c>
      <c r="C94" s="3" t="s">
        <v>20</v>
      </c>
      <c r="D94" s="3" t="s">
        <v>199</v>
      </c>
      <c r="E94" s="3" t="s">
        <v>200</v>
      </c>
      <c r="F94" s="3" t="str">
        <f t="shared" si="6"/>
        <v>881390321</v>
      </c>
      <c r="G94" s="3" t="str">
        <f t="shared" si="7"/>
        <v>88130 90321</v>
      </c>
      <c r="H94" s="3">
        <f t="shared" si="8"/>
        <v>881390321</v>
      </c>
      <c r="I94" s="3" t="str">
        <f t="shared" si="9"/>
        <v>Valid</v>
      </c>
      <c r="J94" s="3" t="str">
        <f t="shared" si="10"/>
        <v>+91 881390321</v>
      </c>
      <c r="K94" s="3">
        <f t="shared" si="11"/>
        <v>13</v>
      </c>
    </row>
    <row r="95" spans="1:11" x14ac:dyDescent="0.3">
      <c r="A95" s="3">
        <v>94</v>
      </c>
      <c r="B95" s="3" t="s">
        <v>9</v>
      </c>
      <c r="C95" s="3" t="s">
        <v>16</v>
      </c>
      <c r="D95" s="3" t="s">
        <v>201</v>
      </c>
      <c r="E95" s="3" t="s">
        <v>202</v>
      </c>
      <c r="F95" s="3" t="str">
        <f t="shared" si="6"/>
        <v>2497047</v>
      </c>
      <c r="G95" s="3" t="str">
        <f t="shared" si="7"/>
        <v>(+91)9102497047</v>
      </c>
      <c r="H95" s="3">
        <f t="shared" si="8"/>
        <v>2497047</v>
      </c>
      <c r="I95" s="3" t="str">
        <f t="shared" si="9"/>
        <v>Valid</v>
      </c>
      <c r="J95" s="3" t="str">
        <f t="shared" si="10"/>
        <v>+91 2497047</v>
      </c>
      <c r="K95" s="3">
        <f t="shared" si="11"/>
        <v>11</v>
      </c>
    </row>
    <row r="96" spans="1:11" x14ac:dyDescent="0.3">
      <c r="A96" s="3">
        <v>95</v>
      </c>
      <c r="B96" s="3" t="s">
        <v>52</v>
      </c>
      <c r="C96" s="3" t="s">
        <v>40</v>
      </c>
      <c r="D96" s="3" t="s">
        <v>25</v>
      </c>
      <c r="E96" s="3" t="s">
        <v>203</v>
      </c>
      <c r="F96" s="3" t="str">
        <f t="shared" si="6"/>
        <v>987654321</v>
      </c>
      <c r="G96" s="3" t="str">
        <f t="shared" si="7"/>
        <v>987.654.3210</v>
      </c>
      <c r="H96" s="3">
        <f t="shared" si="8"/>
        <v>987654321</v>
      </c>
      <c r="I96" s="3" t="str">
        <f t="shared" si="9"/>
        <v>Valid</v>
      </c>
      <c r="J96" s="3" t="str">
        <f t="shared" si="10"/>
        <v>+91 987654321</v>
      </c>
      <c r="K96" s="3">
        <f t="shared" si="11"/>
        <v>13</v>
      </c>
    </row>
    <row r="97" spans="1:11" x14ac:dyDescent="0.3">
      <c r="A97" s="3">
        <v>96</v>
      </c>
      <c r="B97" s="3" t="s">
        <v>36</v>
      </c>
      <c r="C97" s="3" t="s">
        <v>6</v>
      </c>
      <c r="D97" s="3" t="s">
        <v>204</v>
      </c>
      <c r="E97" s="3" t="s">
        <v>205</v>
      </c>
      <c r="F97" s="3" t="str">
        <f t="shared" si="6"/>
        <v>9352142802</v>
      </c>
      <c r="G97" s="3" t="str">
        <f t="shared" si="7"/>
        <v>9352142802</v>
      </c>
      <c r="H97" s="3">
        <f t="shared" si="8"/>
        <v>9352142802</v>
      </c>
      <c r="I97" s="3" t="str">
        <f t="shared" si="9"/>
        <v>Valid</v>
      </c>
      <c r="J97" s="3" t="str">
        <f t="shared" si="10"/>
        <v>+91 9352142802</v>
      </c>
      <c r="K97" s="3">
        <f t="shared" si="11"/>
        <v>14</v>
      </c>
    </row>
    <row r="98" spans="1:11" x14ac:dyDescent="0.3">
      <c r="A98" s="3">
        <v>97</v>
      </c>
      <c r="B98" s="3" t="s">
        <v>5</v>
      </c>
      <c r="C98" s="3" t="s">
        <v>16</v>
      </c>
      <c r="D98" s="3" t="s">
        <v>95</v>
      </c>
      <c r="E98" s="3" t="s">
        <v>206</v>
      </c>
      <c r="F98" s="3" t="str">
        <f t="shared" si="6"/>
        <v>987654321</v>
      </c>
      <c r="G98" s="3" t="str">
        <f t="shared" si="7"/>
        <v>9876-543-210</v>
      </c>
      <c r="H98" s="3">
        <f t="shared" si="8"/>
        <v>987654321</v>
      </c>
      <c r="I98" s="3" t="str">
        <f t="shared" si="9"/>
        <v>Valid</v>
      </c>
      <c r="J98" s="3" t="str">
        <f t="shared" si="10"/>
        <v>+91 987654321</v>
      </c>
      <c r="K98" s="3">
        <f t="shared" si="11"/>
        <v>13</v>
      </c>
    </row>
    <row r="99" spans="1:11" x14ac:dyDescent="0.3">
      <c r="A99" s="3">
        <v>98</v>
      </c>
      <c r="B99" s="3" t="s">
        <v>15</v>
      </c>
      <c r="C99" s="3" t="s">
        <v>37</v>
      </c>
      <c r="D99" s="3" t="s">
        <v>95</v>
      </c>
      <c r="E99" s="3" t="s">
        <v>207</v>
      </c>
      <c r="F99" s="3" t="str">
        <f t="shared" si="6"/>
        <v>987654321</v>
      </c>
      <c r="G99" s="3" t="str">
        <f t="shared" si="7"/>
        <v>9876-543-210</v>
      </c>
      <c r="H99" s="3">
        <f t="shared" si="8"/>
        <v>987654321</v>
      </c>
      <c r="I99" s="3" t="str">
        <f t="shared" si="9"/>
        <v>Valid</v>
      </c>
      <c r="J99" s="3" t="str">
        <f t="shared" si="10"/>
        <v>+91 987654321</v>
      </c>
      <c r="K99" s="3">
        <f t="shared" si="11"/>
        <v>13</v>
      </c>
    </row>
    <row r="100" spans="1:11" x14ac:dyDescent="0.3">
      <c r="A100" s="3">
        <v>99</v>
      </c>
      <c r="B100" s="3" t="s">
        <v>85</v>
      </c>
      <c r="C100" s="3" t="s">
        <v>69</v>
      </c>
      <c r="D100" s="3" t="s">
        <v>95</v>
      </c>
      <c r="E100" s="3" t="s">
        <v>208</v>
      </c>
      <c r="F100" s="3" t="str">
        <f t="shared" si="6"/>
        <v>987654321</v>
      </c>
      <c r="G100" s="3" t="str">
        <f t="shared" si="7"/>
        <v>9876-543-210</v>
      </c>
      <c r="H100" s="3">
        <f t="shared" si="8"/>
        <v>987654321</v>
      </c>
      <c r="I100" s="3" t="str">
        <f t="shared" si="9"/>
        <v>Valid</v>
      </c>
      <c r="J100" s="3" t="str">
        <f t="shared" si="10"/>
        <v>+91 987654321</v>
      </c>
      <c r="K100" s="3">
        <f t="shared" si="11"/>
        <v>13</v>
      </c>
    </row>
    <row r="101" spans="1:11" x14ac:dyDescent="0.3">
      <c r="A101" s="3">
        <v>100</v>
      </c>
      <c r="B101" s="3" t="s">
        <v>43</v>
      </c>
      <c r="C101" s="3" t="s">
        <v>20</v>
      </c>
      <c r="D101" s="3" t="s">
        <v>209</v>
      </c>
      <c r="E101" s="3" t="s">
        <v>210</v>
      </c>
      <c r="F101" s="3" t="str">
        <f t="shared" si="6"/>
        <v>9895549847</v>
      </c>
      <c r="G101" s="3" t="str">
        <f t="shared" si="7"/>
        <v>091-9895549847</v>
      </c>
      <c r="H101" s="3">
        <f t="shared" si="8"/>
        <v>9895549847</v>
      </c>
      <c r="I101" s="3" t="str">
        <f t="shared" si="9"/>
        <v>Valid</v>
      </c>
      <c r="J101" s="3" t="str">
        <f t="shared" si="10"/>
        <v>+91 9895549847</v>
      </c>
      <c r="K101" s="3">
        <f t="shared" si="11"/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 - MobileNumber Cleaning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saurabh sonawane</cp:lastModifiedBy>
  <dcterms:created xsi:type="dcterms:W3CDTF">2015-06-05T18:17:20Z</dcterms:created>
  <dcterms:modified xsi:type="dcterms:W3CDTF">2025-10-29T11:58:57Z</dcterms:modified>
</cp:coreProperties>
</file>