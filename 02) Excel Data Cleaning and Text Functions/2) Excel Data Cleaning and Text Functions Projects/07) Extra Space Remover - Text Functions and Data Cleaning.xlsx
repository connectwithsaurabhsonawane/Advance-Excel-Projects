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W DataAnalyticsFinalNotes\1 - Excel Final\Excel Projects\2) Excel Text Functions &amp; Data Cleaning Projects\"/>
    </mc:Choice>
  </mc:AlternateContent>
  <xr:revisionPtr revIDLastSave="0" documentId="13_ncr:1_{7CF4752D-4174-4895-A2F4-61F5C28C0D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 - | Emp_ID | Full_Name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1" l="1"/>
  <c r="M5" i="1"/>
  <c r="S5" i="1" s="1"/>
  <c r="M6" i="1"/>
  <c r="S6" i="1" s="1"/>
  <c r="M7" i="1"/>
  <c r="S7" i="1" s="1"/>
  <c r="M8" i="1"/>
  <c r="S8" i="1" s="1"/>
  <c r="M9" i="1"/>
  <c r="S9" i="1" s="1"/>
  <c r="M10" i="1"/>
  <c r="S10" i="1" s="1"/>
  <c r="M11" i="1"/>
  <c r="S11" i="1" s="1"/>
  <c r="M12" i="1"/>
  <c r="M13" i="1"/>
  <c r="S13" i="1" s="1"/>
  <c r="M14" i="1"/>
  <c r="S14" i="1" s="1"/>
  <c r="M15" i="1"/>
  <c r="S15" i="1" s="1"/>
  <c r="M16" i="1"/>
  <c r="S16" i="1" s="1"/>
  <c r="M17" i="1"/>
  <c r="S17" i="1" s="1"/>
  <c r="M18" i="1"/>
  <c r="S18" i="1" s="1"/>
  <c r="M19" i="1"/>
  <c r="S19" i="1" s="1"/>
  <c r="M20" i="1"/>
  <c r="M21" i="1"/>
  <c r="M22" i="1"/>
  <c r="M23" i="1"/>
  <c r="S23" i="1" s="1"/>
  <c r="M24" i="1"/>
  <c r="S24" i="1" s="1"/>
  <c r="M25" i="1"/>
  <c r="S25" i="1" s="1"/>
  <c r="M26" i="1"/>
  <c r="S26" i="1" s="1"/>
  <c r="M27" i="1"/>
  <c r="S27" i="1" s="1"/>
  <c r="M28" i="1"/>
  <c r="M29" i="1"/>
  <c r="M30" i="1"/>
  <c r="M31" i="1"/>
  <c r="S31" i="1" s="1"/>
  <c r="M32" i="1"/>
  <c r="S32" i="1" s="1"/>
  <c r="M33" i="1"/>
  <c r="S33" i="1" s="1"/>
  <c r="M34" i="1"/>
  <c r="S34" i="1" s="1"/>
  <c r="M35" i="1"/>
  <c r="S35" i="1" s="1"/>
  <c r="M36" i="1"/>
  <c r="M37" i="1"/>
  <c r="S37" i="1" s="1"/>
  <c r="M38" i="1"/>
  <c r="S38" i="1" s="1"/>
  <c r="M39" i="1"/>
  <c r="S39" i="1" s="1"/>
  <c r="M40" i="1"/>
  <c r="S40" i="1" s="1"/>
  <c r="M41" i="1"/>
  <c r="S41" i="1" s="1"/>
  <c r="M42" i="1"/>
  <c r="S42" i="1" s="1"/>
  <c r="M43" i="1"/>
  <c r="S43" i="1" s="1"/>
  <c r="M44" i="1"/>
  <c r="M45" i="1"/>
  <c r="S45" i="1" s="1"/>
  <c r="M46" i="1"/>
  <c r="M47" i="1"/>
  <c r="S47" i="1" s="1"/>
  <c r="M48" i="1"/>
  <c r="S48" i="1" s="1"/>
  <c r="M49" i="1"/>
  <c r="S49" i="1" s="1"/>
  <c r="M50" i="1"/>
  <c r="S50" i="1" s="1"/>
  <c r="M51" i="1"/>
  <c r="S51" i="1" s="1"/>
  <c r="M52" i="1"/>
  <c r="M3" i="1"/>
  <c r="S3" i="1" s="1"/>
  <c r="S22" i="1"/>
  <c r="S30" i="1"/>
  <c r="S29" i="1"/>
  <c r="X4" i="1"/>
  <c r="X5" i="1"/>
  <c r="X8" i="1"/>
  <c r="X24" i="1"/>
  <c r="X27" i="1"/>
  <c r="X32" i="1"/>
  <c r="X35" i="1"/>
  <c r="X36" i="1"/>
  <c r="X37" i="1"/>
  <c r="X40" i="1"/>
  <c r="O4" i="1"/>
  <c r="S4" i="1"/>
  <c r="T5" i="1"/>
  <c r="T6" i="1"/>
  <c r="T13" i="1"/>
  <c r="T14" i="1"/>
  <c r="T37" i="1"/>
  <c r="T38" i="1"/>
  <c r="T45" i="1"/>
  <c r="T46" i="1"/>
  <c r="S12" i="1"/>
  <c r="S20" i="1"/>
  <c r="S21" i="1"/>
  <c r="S28" i="1"/>
  <c r="S36" i="1"/>
  <c r="S44" i="1"/>
  <c r="S46" i="1"/>
  <c r="S52" i="1"/>
  <c r="R17" i="1"/>
  <c r="R18" i="1"/>
  <c r="R19" i="1"/>
  <c r="R25" i="1"/>
  <c r="R41" i="1"/>
  <c r="R42" i="1"/>
  <c r="R43" i="1"/>
  <c r="Q3" i="1"/>
  <c r="Q5" i="1"/>
  <c r="Q6" i="1"/>
  <c r="Q7" i="1"/>
  <c r="Q20" i="1"/>
  <c r="Q21" i="1"/>
  <c r="Q22" i="1"/>
  <c r="Q37" i="1"/>
  <c r="Q38" i="1"/>
  <c r="P5" i="1"/>
  <c r="U5" i="1" s="1"/>
  <c r="P6" i="1"/>
  <c r="U6" i="1" s="1"/>
  <c r="P21" i="1"/>
  <c r="P22" i="1"/>
  <c r="V22" i="1" s="1"/>
  <c r="P23" i="1"/>
  <c r="P29" i="1"/>
  <c r="P45" i="1"/>
  <c r="P46" i="1"/>
  <c r="P47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3" i="1"/>
  <c r="L4" i="1"/>
  <c r="T4" i="1" s="1"/>
  <c r="L5" i="1"/>
  <c r="L6" i="1"/>
  <c r="L7" i="1"/>
  <c r="T7" i="1" s="1"/>
  <c r="L8" i="1"/>
  <c r="T8" i="1" s="1"/>
  <c r="L9" i="1"/>
  <c r="T9" i="1" s="1"/>
  <c r="L10" i="1"/>
  <c r="T10" i="1" s="1"/>
  <c r="L11" i="1"/>
  <c r="T11" i="1" s="1"/>
  <c r="L12" i="1"/>
  <c r="T12" i="1" s="1"/>
  <c r="L13" i="1"/>
  <c r="L14" i="1"/>
  <c r="L15" i="1"/>
  <c r="T15" i="1" s="1"/>
  <c r="L16" i="1"/>
  <c r="T16" i="1" s="1"/>
  <c r="L17" i="1"/>
  <c r="T17" i="1" s="1"/>
  <c r="L18" i="1"/>
  <c r="T18" i="1" s="1"/>
  <c r="L19" i="1"/>
  <c r="T19" i="1" s="1"/>
  <c r="L20" i="1"/>
  <c r="T20" i="1" s="1"/>
  <c r="L21" i="1"/>
  <c r="T21" i="1" s="1"/>
  <c r="L22" i="1"/>
  <c r="T22" i="1" s="1"/>
  <c r="L23" i="1"/>
  <c r="T23" i="1" s="1"/>
  <c r="L24" i="1"/>
  <c r="T24" i="1" s="1"/>
  <c r="L25" i="1"/>
  <c r="T25" i="1" s="1"/>
  <c r="L26" i="1"/>
  <c r="T26" i="1" s="1"/>
  <c r="L27" i="1"/>
  <c r="T27" i="1" s="1"/>
  <c r="L28" i="1"/>
  <c r="T28" i="1" s="1"/>
  <c r="L29" i="1"/>
  <c r="T29" i="1" s="1"/>
  <c r="L30" i="1"/>
  <c r="T30" i="1" s="1"/>
  <c r="L31" i="1"/>
  <c r="T31" i="1" s="1"/>
  <c r="L32" i="1"/>
  <c r="T32" i="1" s="1"/>
  <c r="L33" i="1"/>
  <c r="T33" i="1" s="1"/>
  <c r="L34" i="1"/>
  <c r="T34" i="1" s="1"/>
  <c r="L35" i="1"/>
  <c r="T35" i="1" s="1"/>
  <c r="L36" i="1"/>
  <c r="T36" i="1" s="1"/>
  <c r="L37" i="1"/>
  <c r="L38" i="1"/>
  <c r="L39" i="1"/>
  <c r="T39" i="1" s="1"/>
  <c r="L40" i="1"/>
  <c r="T40" i="1" s="1"/>
  <c r="L41" i="1"/>
  <c r="T41" i="1" s="1"/>
  <c r="L42" i="1"/>
  <c r="T42" i="1" s="1"/>
  <c r="L43" i="1"/>
  <c r="T43" i="1" s="1"/>
  <c r="L44" i="1"/>
  <c r="T44" i="1" s="1"/>
  <c r="L45" i="1"/>
  <c r="L46" i="1"/>
  <c r="L47" i="1"/>
  <c r="T47" i="1" s="1"/>
  <c r="L48" i="1"/>
  <c r="T48" i="1" s="1"/>
  <c r="L49" i="1"/>
  <c r="T49" i="1" s="1"/>
  <c r="L50" i="1"/>
  <c r="T50" i="1" s="1"/>
  <c r="L51" i="1"/>
  <c r="T51" i="1" s="1"/>
  <c r="L52" i="1"/>
  <c r="T52" i="1" s="1"/>
  <c r="L3" i="1"/>
  <c r="T3" i="1" s="1"/>
  <c r="N4" i="1"/>
  <c r="N5" i="1"/>
  <c r="N6" i="1"/>
  <c r="X6" i="1" s="1"/>
  <c r="N7" i="1"/>
  <c r="X7" i="1" s="1"/>
  <c r="N8" i="1"/>
  <c r="N9" i="1"/>
  <c r="X9" i="1" s="1"/>
  <c r="N10" i="1"/>
  <c r="X10" i="1" s="1"/>
  <c r="N11" i="1"/>
  <c r="X11" i="1" s="1"/>
  <c r="N12" i="1"/>
  <c r="X12" i="1" s="1"/>
  <c r="N13" i="1"/>
  <c r="X13" i="1" s="1"/>
  <c r="N14" i="1"/>
  <c r="X14" i="1" s="1"/>
  <c r="N15" i="1"/>
  <c r="X15" i="1" s="1"/>
  <c r="N16" i="1"/>
  <c r="X16" i="1" s="1"/>
  <c r="N17" i="1"/>
  <c r="X17" i="1" s="1"/>
  <c r="N18" i="1"/>
  <c r="X18" i="1" s="1"/>
  <c r="N19" i="1"/>
  <c r="X19" i="1" s="1"/>
  <c r="N20" i="1"/>
  <c r="X20" i="1" s="1"/>
  <c r="N21" i="1"/>
  <c r="X21" i="1" s="1"/>
  <c r="N22" i="1"/>
  <c r="X22" i="1" s="1"/>
  <c r="N23" i="1"/>
  <c r="X23" i="1" s="1"/>
  <c r="N24" i="1"/>
  <c r="N25" i="1"/>
  <c r="X25" i="1" s="1"/>
  <c r="N26" i="1"/>
  <c r="X26" i="1" s="1"/>
  <c r="N27" i="1"/>
  <c r="N28" i="1"/>
  <c r="X28" i="1" s="1"/>
  <c r="N29" i="1"/>
  <c r="X29" i="1" s="1"/>
  <c r="N30" i="1"/>
  <c r="X30" i="1" s="1"/>
  <c r="N31" i="1"/>
  <c r="X31" i="1" s="1"/>
  <c r="N32" i="1"/>
  <c r="N33" i="1"/>
  <c r="X33" i="1" s="1"/>
  <c r="N34" i="1"/>
  <c r="X34" i="1" s="1"/>
  <c r="N35" i="1"/>
  <c r="N36" i="1"/>
  <c r="N37" i="1"/>
  <c r="N38" i="1"/>
  <c r="X38" i="1" s="1"/>
  <c r="N39" i="1"/>
  <c r="X39" i="1" s="1"/>
  <c r="N40" i="1"/>
  <c r="N41" i="1"/>
  <c r="X41" i="1" s="1"/>
  <c r="N42" i="1"/>
  <c r="X42" i="1" s="1"/>
  <c r="N43" i="1"/>
  <c r="X43" i="1" s="1"/>
  <c r="N44" i="1"/>
  <c r="X44" i="1" s="1"/>
  <c r="N45" i="1"/>
  <c r="X45" i="1" s="1"/>
  <c r="N46" i="1"/>
  <c r="X46" i="1" s="1"/>
  <c r="N47" i="1"/>
  <c r="X47" i="1" s="1"/>
  <c r="N48" i="1"/>
  <c r="X48" i="1" s="1"/>
  <c r="N49" i="1"/>
  <c r="X49" i="1" s="1"/>
  <c r="N50" i="1"/>
  <c r="X50" i="1" s="1"/>
  <c r="N51" i="1"/>
  <c r="X51" i="1" s="1"/>
  <c r="N52" i="1"/>
  <c r="X52" i="1" s="1"/>
  <c r="N3" i="1"/>
  <c r="X3" i="1" s="1"/>
  <c r="J4" i="1"/>
  <c r="R4" i="1" s="1"/>
  <c r="J5" i="1"/>
  <c r="R5" i="1" s="1"/>
  <c r="J6" i="1"/>
  <c r="R6" i="1" s="1"/>
  <c r="J7" i="1"/>
  <c r="R7" i="1" s="1"/>
  <c r="J8" i="1"/>
  <c r="R8" i="1" s="1"/>
  <c r="J9" i="1"/>
  <c r="R9" i="1" s="1"/>
  <c r="J10" i="1"/>
  <c r="R10" i="1" s="1"/>
  <c r="J11" i="1"/>
  <c r="R11" i="1" s="1"/>
  <c r="J12" i="1"/>
  <c r="R12" i="1" s="1"/>
  <c r="J13" i="1"/>
  <c r="R13" i="1" s="1"/>
  <c r="J14" i="1"/>
  <c r="R14" i="1" s="1"/>
  <c r="J15" i="1"/>
  <c r="R15" i="1" s="1"/>
  <c r="J16" i="1"/>
  <c r="R16" i="1" s="1"/>
  <c r="J17" i="1"/>
  <c r="J18" i="1"/>
  <c r="J19" i="1"/>
  <c r="J20" i="1"/>
  <c r="R20" i="1" s="1"/>
  <c r="J21" i="1"/>
  <c r="R21" i="1" s="1"/>
  <c r="J22" i="1"/>
  <c r="R22" i="1" s="1"/>
  <c r="J23" i="1"/>
  <c r="R23" i="1" s="1"/>
  <c r="J24" i="1"/>
  <c r="R24" i="1" s="1"/>
  <c r="J25" i="1"/>
  <c r="J26" i="1"/>
  <c r="R26" i="1" s="1"/>
  <c r="J27" i="1"/>
  <c r="R27" i="1" s="1"/>
  <c r="J28" i="1"/>
  <c r="R28" i="1" s="1"/>
  <c r="J29" i="1"/>
  <c r="R29" i="1" s="1"/>
  <c r="J30" i="1"/>
  <c r="R30" i="1" s="1"/>
  <c r="J31" i="1"/>
  <c r="R31" i="1" s="1"/>
  <c r="J32" i="1"/>
  <c r="R32" i="1" s="1"/>
  <c r="J33" i="1"/>
  <c r="R33" i="1" s="1"/>
  <c r="J34" i="1"/>
  <c r="R34" i="1" s="1"/>
  <c r="J35" i="1"/>
  <c r="R35" i="1" s="1"/>
  <c r="J36" i="1"/>
  <c r="R36" i="1" s="1"/>
  <c r="J37" i="1"/>
  <c r="R37" i="1" s="1"/>
  <c r="J38" i="1"/>
  <c r="R38" i="1" s="1"/>
  <c r="J39" i="1"/>
  <c r="R39" i="1" s="1"/>
  <c r="J40" i="1"/>
  <c r="R40" i="1" s="1"/>
  <c r="J41" i="1"/>
  <c r="J42" i="1"/>
  <c r="J43" i="1"/>
  <c r="J44" i="1"/>
  <c r="R44" i="1" s="1"/>
  <c r="J45" i="1"/>
  <c r="R45" i="1" s="1"/>
  <c r="J46" i="1"/>
  <c r="R46" i="1" s="1"/>
  <c r="J47" i="1"/>
  <c r="R47" i="1" s="1"/>
  <c r="J48" i="1"/>
  <c r="R48" i="1" s="1"/>
  <c r="J49" i="1"/>
  <c r="R49" i="1" s="1"/>
  <c r="J50" i="1"/>
  <c r="R50" i="1" s="1"/>
  <c r="J51" i="1"/>
  <c r="R51" i="1" s="1"/>
  <c r="J52" i="1"/>
  <c r="R52" i="1" s="1"/>
  <c r="J3" i="1"/>
  <c r="R3" i="1" s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3" i="1"/>
  <c r="I4" i="1"/>
  <c r="Q4" i="1" s="1"/>
  <c r="I5" i="1"/>
  <c r="I6" i="1"/>
  <c r="I7" i="1"/>
  <c r="P7" i="1" s="1"/>
  <c r="V7" i="1" s="1"/>
  <c r="I8" i="1"/>
  <c r="P8" i="1" s="1"/>
  <c r="I9" i="1"/>
  <c r="Q9" i="1" s="1"/>
  <c r="I10" i="1"/>
  <c r="Q10" i="1" s="1"/>
  <c r="I11" i="1"/>
  <c r="Q11" i="1" s="1"/>
  <c r="I12" i="1"/>
  <c r="Q12" i="1" s="1"/>
  <c r="I13" i="1"/>
  <c r="Q13" i="1" s="1"/>
  <c r="I14" i="1"/>
  <c r="P14" i="1" s="1"/>
  <c r="I15" i="1"/>
  <c r="P15" i="1" s="1"/>
  <c r="I16" i="1"/>
  <c r="P16" i="1" s="1"/>
  <c r="I17" i="1"/>
  <c r="Q17" i="1" s="1"/>
  <c r="I18" i="1"/>
  <c r="Q18" i="1" s="1"/>
  <c r="I19" i="1"/>
  <c r="Q19" i="1" s="1"/>
  <c r="I20" i="1"/>
  <c r="P20" i="1" s="1"/>
  <c r="I21" i="1"/>
  <c r="I22" i="1"/>
  <c r="I23" i="1"/>
  <c r="Q23" i="1" s="1"/>
  <c r="I24" i="1"/>
  <c r="P24" i="1" s="1"/>
  <c r="I25" i="1"/>
  <c r="Q25" i="1" s="1"/>
  <c r="I26" i="1"/>
  <c r="Q26" i="1" s="1"/>
  <c r="I27" i="1"/>
  <c r="Q27" i="1" s="1"/>
  <c r="I28" i="1"/>
  <c r="Q28" i="1" s="1"/>
  <c r="I29" i="1"/>
  <c r="Q29" i="1" s="1"/>
  <c r="I30" i="1"/>
  <c r="P30" i="1" s="1"/>
  <c r="I31" i="1"/>
  <c r="Q31" i="1" s="1"/>
  <c r="I32" i="1"/>
  <c r="P32" i="1" s="1"/>
  <c r="I33" i="1"/>
  <c r="Q33" i="1" s="1"/>
  <c r="I34" i="1"/>
  <c r="Q34" i="1" s="1"/>
  <c r="I35" i="1"/>
  <c r="Q35" i="1" s="1"/>
  <c r="I36" i="1"/>
  <c r="Q36" i="1" s="1"/>
  <c r="I37" i="1"/>
  <c r="P37" i="1" s="1"/>
  <c r="I38" i="1"/>
  <c r="P38" i="1" s="1"/>
  <c r="I39" i="1"/>
  <c r="Q39" i="1" s="1"/>
  <c r="I40" i="1"/>
  <c r="P40" i="1" s="1"/>
  <c r="I41" i="1"/>
  <c r="Q41" i="1" s="1"/>
  <c r="I42" i="1"/>
  <c r="Q42" i="1" s="1"/>
  <c r="I43" i="1"/>
  <c r="Q43" i="1" s="1"/>
  <c r="I44" i="1"/>
  <c r="Q44" i="1" s="1"/>
  <c r="I45" i="1"/>
  <c r="Q45" i="1" s="1"/>
  <c r="V45" i="1" s="1"/>
  <c r="I46" i="1"/>
  <c r="Q46" i="1" s="1"/>
  <c r="V46" i="1" s="1"/>
  <c r="I47" i="1"/>
  <c r="Q47" i="1" s="1"/>
  <c r="I48" i="1"/>
  <c r="P48" i="1" s="1"/>
  <c r="I49" i="1"/>
  <c r="Q49" i="1" s="1"/>
  <c r="I50" i="1"/>
  <c r="Q50" i="1" s="1"/>
  <c r="I51" i="1"/>
  <c r="Q51" i="1" s="1"/>
  <c r="I52" i="1"/>
  <c r="Q52" i="1" s="1"/>
  <c r="I3" i="1"/>
  <c r="P3" i="1" s="1"/>
  <c r="U38" i="1" l="1"/>
  <c r="V38" i="1"/>
  <c r="V15" i="1"/>
  <c r="U30" i="1"/>
  <c r="V30" i="1"/>
  <c r="U3" i="1"/>
  <c r="V3" i="1"/>
  <c r="U37" i="1"/>
  <c r="V37" i="1"/>
  <c r="U29" i="1"/>
  <c r="U46" i="1"/>
  <c r="U45" i="1"/>
  <c r="Q48" i="1"/>
  <c r="V48" i="1" s="1"/>
  <c r="V6" i="1"/>
  <c r="U21" i="1"/>
  <c r="Q15" i="1"/>
  <c r="W15" i="1"/>
  <c r="Q14" i="1"/>
  <c r="U14" i="1" s="1"/>
  <c r="V29" i="1"/>
  <c r="W38" i="1"/>
  <c r="W6" i="1"/>
  <c r="P31" i="1"/>
  <c r="V31" i="1" s="1"/>
  <c r="P13" i="1"/>
  <c r="Q40" i="1"/>
  <c r="Q24" i="1"/>
  <c r="V24" i="1" s="1"/>
  <c r="W13" i="1"/>
  <c r="V47" i="1"/>
  <c r="V23" i="1"/>
  <c r="U22" i="1"/>
  <c r="Q32" i="1"/>
  <c r="V32" i="1" s="1"/>
  <c r="P39" i="1"/>
  <c r="V39" i="1" s="1"/>
  <c r="Q16" i="1"/>
  <c r="V5" i="1"/>
  <c r="Q30" i="1"/>
  <c r="W30" i="1" s="1"/>
  <c r="W23" i="1"/>
  <c r="W7" i="1"/>
  <c r="W14" i="1"/>
  <c r="Q8" i="1"/>
  <c r="V21" i="1"/>
  <c r="V40" i="1"/>
  <c r="U40" i="1"/>
  <c r="U32" i="1"/>
  <c r="V16" i="1"/>
  <c r="U16" i="1"/>
  <c r="V8" i="1"/>
  <c r="U8" i="1"/>
  <c r="W18" i="1"/>
  <c r="W10" i="1"/>
  <c r="W16" i="1"/>
  <c r="W8" i="1"/>
  <c r="V20" i="1"/>
  <c r="U20" i="1"/>
  <c r="W12" i="1"/>
  <c r="W46" i="1"/>
  <c r="W22" i="1"/>
  <c r="W33" i="1"/>
  <c r="P52" i="1"/>
  <c r="P44" i="1"/>
  <c r="W44" i="1" s="1"/>
  <c r="P36" i="1"/>
  <c r="W36" i="1" s="1"/>
  <c r="P28" i="1"/>
  <c r="P12" i="1"/>
  <c r="P4" i="1"/>
  <c r="W24" i="1"/>
  <c r="W40" i="1"/>
  <c r="W32" i="1"/>
  <c r="P51" i="1"/>
  <c r="P43" i="1"/>
  <c r="P35" i="1"/>
  <c r="P27" i="1"/>
  <c r="P19" i="1"/>
  <c r="P11" i="1"/>
  <c r="W47" i="1"/>
  <c r="W39" i="1"/>
  <c r="P50" i="1"/>
  <c r="P42" i="1"/>
  <c r="P34" i="1"/>
  <c r="P26" i="1"/>
  <c r="W26" i="1" s="1"/>
  <c r="P18" i="1"/>
  <c r="P10" i="1"/>
  <c r="W21" i="1"/>
  <c r="U47" i="1"/>
  <c r="U39" i="1"/>
  <c r="U23" i="1"/>
  <c r="U15" i="1"/>
  <c r="U7" i="1"/>
  <c r="W29" i="1"/>
  <c r="P49" i="1"/>
  <c r="W49" i="1" s="1"/>
  <c r="P41" i="1"/>
  <c r="P33" i="1"/>
  <c r="P25" i="1"/>
  <c r="W25" i="1" s="1"/>
  <c r="P17" i="1"/>
  <c r="P9" i="1"/>
  <c r="W9" i="1" s="1"/>
  <c r="W20" i="1"/>
  <c r="W3" i="1"/>
  <c r="W45" i="1"/>
  <c r="W37" i="1"/>
  <c r="W5" i="1"/>
  <c r="U48" i="1" l="1"/>
  <c r="V14" i="1"/>
  <c r="U31" i="1"/>
  <c r="W48" i="1"/>
  <c r="U24" i="1"/>
  <c r="W31" i="1"/>
  <c r="U13" i="1"/>
  <c r="V13" i="1"/>
  <c r="V17" i="1"/>
  <c r="U17" i="1"/>
  <c r="V34" i="1"/>
  <c r="U34" i="1"/>
  <c r="V11" i="1"/>
  <c r="U11" i="1"/>
  <c r="V52" i="1"/>
  <c r="U52" i="1"/>
  <c r="V25" i="1"/>
  <c r="U25" i="1"/>
  <c r="V42" i="1"/>
  <c r="U42" i="1"/>
  <c r="V19" i="1"/>
  <c r="U19" i="1"/>
  <c r="W52" i="1"/>
  <c r="V33" i="1"/>
  <c r="U33" i="1"/>
  <c r="V50" i="1"/>
  <c r="U50" i="1"/>
  <c r="V27" i="1"/>
  <c r="U27" i="1"/>
  <c r="W11" i="1"/>
  <c r="V41" i="1"/>
  <c r="U41" i="1"/>
  <c r="V35" i="1"/>
  <c r="U35" i="1"/>
  <c r="V4" i="1"/>
  <c r="U4" i="1"/>
  <c r="W27" i="1"/>
  <c r="V49" i="1"/>
  <c r="U49" i="1"/>
  <c r="V43" i="1"/>
  <c r="U43" i="1"/>
  <c r="V12" i="1"/>
  <c r="U12" i="1"/>
  <c r="W35" i="1"/>
  <c r="V10" i="1"/>
  <c r="U10" i="1"/>
  <c r="V51" i="1"/>
  <c r="U51" i="1"/>
  <c r="V28" i="1"/>
  <c r="U28" i="1"/>
  <c r="W34" i="1"/>
  <c r="W43" i="1"/>
  <c r="V18" i="1"/>
  <c r="U18" i="1"/>
  <c r="W4" i="1"/>
  <c r="V36" i="1"/>
  <c r="U36" i="1"/>
  <c r="W42" i="1"/>
  <c r="W51" i="1"/>
  <c r="V9" i="1"/>
  <c r="U9" i="1"/>
  <c r="V26" i="1"/>
  <c r="U26" i="1"/>
  <c r="W28" i="1"/>
  <c r="V44" i="1"/>
  <c r="U44" i="1"/>
  <c r="W50" i="1"/>
  <c r="W41" i="1"/>
  <c r="W17" i="1"/>
  <c r="W19" i="1"/>
</calcChain>
</file>

<file path=xl/sharedStrings.xml><?xml version="1.0" encoding="utf-8"?>
<sst xmlns="http://schemas.openxmlformats.org/spreadsheetml/2006/main" count="375" uniqueCount="281">
  <si>
    <t>Emp_ID</t>
  </si>
  <si>
    <t>Full_Name</t>
  </si>
  <si>
    <t>Department</t>
  </si>
  <si>
    <t>Job_Title</t>
  </si>
  <si>
    <t>Email_Address</t>
  </si>
  <si>
    <t>Phone_Number</t>
  </si>
  <si>
    <t>Location</t>
  </si>
  <si>
    <t>E101</t>
  </si>
  <si>
    <t>rahul sharma</t>
  </si>
  <si>
    <t>HR</t>
  </si>
  <si>
    <t>Senior Executive</t>
  </si>
  <si>
    <t>rahul. sharma @company. com</t>
  </si>
  <si>
    <t>+91 9823 412 000</t>
  </si>
  <si>
    <t>Pune</t>
  </si>
  <si>
    <t>E102</t>
  </si>
  <si>
    <t>anita JOSHI</t>
  </si>
  <si>
    <t>Sales</t>
  </si>
  <si>
    <t>Manager</t>
  </si>
  <si>
    <t>anita.joshi@ Company.Com</t>
  </si>
  <si>
    <t>+91- 9987 555 431</t>
  </si>
  <si>
    <t>Mumbai</t>
  </si>
  <si>
    <t>E103</t>
  </si>
  <si>
    <t>mohit verma</t>
  </si>
  <si>
    <t>Marketing</t>
  </si>
  <si>
    <t>Asst. Manager</t>
  </si>
  <si>
    <t>mohit.verma @ company .com</t>
  </si>
  <si>
    <t>91 9966 899 334</t>
  </si>
  <si>
    <t>Delhi</t>
  </si>
  <si>
    <t>E104</t>
  </si>
  <si>
    <t>Neha KAPOOR</t>
  </si>
  <si>
    <t>Recruiter</t>
  </si>
  <si>
    <t>neha.Kapoor@ company. com</t>
  </si>
  <si>
    <t>+91- 98231 23 890</t>
  </si>
  <si>
    <t>E105</t>
  </si>
  <si>
    <t>akash sing</t>
  </si>
  <si>
    <t>IT</t>
  </si>
  <si>
    <t>software engineer</t>
  </si>
  <si>
    <t>akash.singh @company .com</t>
  </si>
  <si>
    <t>09823 211 002</t>
  </si>
  <si>
    <t>Bangalore</t>
  </si>
  <si>
    <t>E106</t>
  </si>
  <si>
    <t>Priya NANDA</t>
  </si>
  <si>
    <t>Finance</t>
  </si>
  <si>
    <t>Accountant</t>
  </si>
  <si>
    <t>priya. nanda@ Company. com</t>
  </si>
  <si>
    <t>+91 9983 456 788</t>
  </si>
  <si>
    <t>E107</t>
  </si>
  <si>
    <t>Arjun Mehta</t>
  </si>
  <si>
    <t>Developer</t>
  </si>
  <si>
    <t>arjun.mehta @company.com</t>
  </si>
  <si>
    <t>+91 991 221 6789</t>
  </si>
  <si>
    <t>Chennai</t>
  </si>
  <si>
    <t>E108</t>
  </si>
  <si>
    <t>Saurabh SONAWANE</t>
  </si>
  <si>
    <t>saurabh. sonawane @company. com</t>
  </si>
  <si>
    <t>+91- 9876 888 212</t>
  </si>
  <si>
    <t>Nashik</t>
  </si>
  <si>
    <t>E109</t>
  </si>
  <si>
    <t>rina deshmukh</t>
  </si>
  <si>
    <t>Executive</t>
  </si>
  <si>
    <t>rina. deshmukh @company . com</t>
  </si>
  <si>
    <t>91-9812 332 211</t>
  </si>
  <si>
    <t>Nagpur</t>
  </si>
  <si>
    <t>E110</t>
  </si>
  <si>
    <t>jayesh Patil</t>
  </si>
  <si>
    <t>sr. accountant</t>
  </si>
  <si>
    <t>jayesh.patil@company .com</t>
  </si>
  <si>
    <t>09823 099 872</t>
  </si>
  <si>
    <t>E111</t>
  </si>
  <si>
    <t>manish bHOSALE</t>
  </si>
  <si>
    <t>HR Assistant</t>
  </si>
  <si>
    <t>manish.bhosale@ company . com</t>
  </si>
  <si>
    <t>+91-9876 002 129</t>
  </si>
  <si>
    <t>Kolhapur</t>
  </si>
  <si>
    <t>E112</t>
  </si>
  <si>
    <t>pooja patel</t>
  </si>
  <si>
    <t>Brand Executive</t>
  </si>
  <si>
    <t>pooja.patel@ company .com</t>
  </si>
  <si>
    <t>91 9987 771 200</t>
  </si>
  <si>
    <t>Ahmedabad</t>
  </si>
  <si>
    <t>E113</t>
  </si>
  <si>
    <t>amit kumar</t>
  </si>
  <si>
    <t>Sales Rep</t>
  </si>
  <si>
    <t>amit.kumar @ Company .Com</t>
  </si>
  <si>
    <t>91- 9823 004 112</t>
  </si>
  <si>
    <t>E114</t>
  </si>
  <si>
    <t>sneha chavan</t>
  </si>
  <si>
    <t>Analyst</t>
  </si>
  <si>
    <t>sneha. chavan @ company. com</t>
  </si>
  <si>
    <t>+91 9977 444 900</t>
  </si>
  <si>
    <t>E115</t>
  </si>
  <si>
    <t>Rohan Desai</t>
  </si>
  <si>
    <t>Web Developer</t>
  </si>
  <si>
    <t>rohan.desai@ company .com</t>
  </si>
  <si>
    <t>+91 9988 332 776</t>
  </si>
  <si>
    <t>Surat</t>
  </si>
  <si>
    <t>E116</t>
  </si>
  <si>
    <t>Shweta gaikwad</t>
  </si>
  <si>
    <t>HR intern</t>
  </si>
  <si>
    <t>shweta. gaikwad @company. com</t>
  </si>
  <si>
    <t>91-9987 112 998</t>
  </si>
  <si>
    <t>E117</t>
  </si>
  <si>
    <t>nikhil patil</t>
  </si>
  <si>
    <t>Sales Manager</t>
  </si>
  <si>
    <t>nikhil. patil@ company. com</t>
  </si>
  <si>
    <t>+91 9823 880 456</t>
  </si>
  <si>
    <t>E118</t>
  </si>
  <si>
    <t>Aarti Joshi</t>
  </si>
  <si>
    <t>Asst. Accountant</t>
  </si>
  <si>
    <t>aarti. joshi @company. com</t>
  </si>
  <si>
    <t>+91 9900 776 211</t>
  </si>
  <si>
    <t>E119</t>
  </si>
  <si>
    <t>deepak jain</t>
  </si>
  <si>
    <t>Network Engineer</t>
  </si>
  <si>
    <t>deepak.jain @company. com</t>
  </si>
  <si>
    <t>91- 9822 003 411</t>
  </si>
  <si>
    <t>E120</t>
  </si>
  <si>
    <t>kavita more</t>
  </si>
  <si>
    <t>Social Media Lead</t>
  </si>
  <si>
    <t>kavita.more@ company. com</t>
  </si>
  <si>
    <t>+91 9811 332 200</t>
  </si>
  <si>
    <t>E121</t>
  </si>
  <si>
    <t>Gaurav Shah</t>
  </si>
  <si>
    <t>Territory Manager</t>
  </si>
  <si>
    <t>gaurav. shah@company .com</t>
  </si>
  <si>
    <t>+91 9833 882 100</t>
  </si>
  <si>
    <t>E122</t>
  </si>
  <si>
    <t>kiran khanna</t>
  </si>
  <si>
    <t>HR Trainee</t>
  </si>
  <si>
    <t>kiran.khanna @company. com</t>
  </si>
  <si>
    <t>91-9811 556 002</t>
  </si>
  <si>
    <t>E123</t>
  </si>
  <si>
    <t>rohit pawar</t>
  </si>
  <si>
    <t>Software Tester</t>
  </si>
  <si>
    <t>rohit.pawar@ company. com</t>
  </si>
  <si>
    <t>+91-9912 777 889</t>
  </si>
  <si>
    <t>E124</t>
  </si>
  <si>
    <t>shruti deshmukh</t>
  </si>
  <si>
    <t>Senior Accountant</t>
  </si>
  <si>
    <t>shruti. deshmukh @ Company .com</t>
  </si>
  <si>
    <t>+91 9876 665 112</t>
  </si>
  <si>
    <t>E125</t>
  </si>
  <si>
    <t>Meena Rane</t>
  </si>
  <si>
    <t>meena.rane@ company. com</t>
  </si>
  <si>
    <t>91-9812 441 331</t>
  </si>
  <si>
    <t>E126</t>
  </si>
  <si>
    <t>vinay shukla</t>
  </si>
  <si>
    <t>Database Admin</t>
  </si>
  <si>
    <t>vinay. shukla@ Company. com</t>
  </si>
  <si>
    <t>+91 9834 002 211</t>
  </si>
  <si>
    <t>E127</t>
  </si>
  <si>
    <t>rajesh jadhav</t>
  </si>
  <si>
    <t>Campaign Lead</t>
  </si>
  <si>
    <t>rajesh. jadhav @company .com</t>
  </si>
  <si>
    <t>+91- 9983 776 411</t>
  </si>
  <si>
    <t>E128</t>
  </si>
  <si>
    <t>anjali naik</t>
  </si>
  <si>
    <t>Sales Intern</t>
  </si>
  <si>
    <t>anjali. naik@company. com</t>
  </si>
  <si>
    <t>91 9811 331 200</t>
  </si>
  <si>
    <t>E129</t>
  </si>
  <si>
    <t>yash patil</t>
  </si>
  <si>
    <t>yash. patil@ company. com</t>
  </si>
  <si>
    <t>+91-9987 003 299</t>
  </si>
  <si>
    <t>E130</t>
  </si>
  <si>
    <t>monika singh</t>
  </si>
  <si>
    <t>Tax Executive</t>
  </si>
  <si>
    <t>monika. singh@ company. com</t>
  </si>
  <si>
    <t>91 9823 100 771</t>
  </si>
  <si>
    <t>E131</t>
  </si>
  <si>
    <t>suraj khan</t>
  </si>
  <si>
    <t>suraj.khan@ company. com</t>
  </si>
  <si>
    <t>+91 9966 223 200</t>
  </si>
  <si>
    <t>E132</t>
  </si>
  <si>
    <t>manoj kale</t>
  </si>
  <si>
    <t>Marketing Manager</t>
  </si>
  <si>
    <t>manoj. kale@ company. com</t>
  </si>
  <si>
    <t>+91 9821 998 100</t>
  </si>
  <si>
    <t>E133</t>
  </si>
  <si>
    <t>trupti joshi</t>
  </si>
  <si>
    <t>Auditor</t>
  </si>
  <si>
    <t>trupti. joshi@company. com</t>
  </si>
  <si>
    <t>+91-9988 332 889</t>
  </si>
  <si>
    <t>E134</t>
  </si>
  <si>
    <t>arun chavan</t>
  </si>
  <si>
    <t>Sales Lead</t>
  </si>
  <si>
    <t>arun. chavan @ Company .com</t>
  </si>
  <si>
    <t>91-9823 887 990</t>
  </si>
  <si>
    <t>E135</t>
  </si>
  <si>
    <t>snehal pawar</t>
  </si>
  <si>
    <t>HR Analyst</t>
  </si>
  <si>
    <t>snehal.pawar@ company. com</t>
  </si>
  <si>
    <t>+91 9911 221 888</t>
  </si>
  <si>
    <t>E136</t>
  </si>
  <si>
    <t>tejas gaikwad</t>
  </si>
  <si>
    <t>Brand Manager</t>
  </si>
  <si>
    <t>tejas.gaikwad@ company. com</t>
  </si>
  <si>
    <t>91 9823 665 200</t>
  </si>
  <si>
    <t>E137</t>
  </si>
  <si>
    <t>divya thakur</t>
  </si>
  <si>
    <t>Junior Accountant</t>
  </si>
  <si>
    <t>divya. thakur @company .com</t>
  </si>
  <si>
    <t>+91 9988 111 990</t>
  </si>
  <si>
    <t>E138</t>
  </si>
  <si>
    <t>ravi khandelwal</t>
  </si>
  <si>
    <t>App Developer</t>
  </si>
  <si>
    <t>ravi.khandelwal @company . com</t>
  </si>
  <si>
    <t>91 9811 223 099</t>
  </si>
  <si>
    <t>E139</t>
  </si>
  <si>
    <t>priya soni</t>
  </si>
  <si>
    <t>Sr. Sales Executive</t>
  </si>
  <si>
    <t>priya. soni@ company. com</t>
  </si>
  <si>
    <t>+91 9822 440 221</t>
  </si>
  <si>
    <t>E140</t>
  </si>
  <si>
    <t>harsh patil</t>
  </si>
  <si>
    <t>Finance Manager</t>
  </si>
  <si>
    <t>harsh. patil@ company . com</t>
  </si>
  <si>
    <t>91- 9833 990 771</t>
  </si>
  <si>
    <t>E141</t>
  </si>
  <si>
    <t>samir kamble</t>
  </si>
  <si>
    <t>Support Engineer</t>
  </si>
  <si>
    <t>samir. kamble@ company. com</t>
  </si>
  <si>
    <t>+91 9922 110 334</t>
  </si>
  <si>
    <t>E142</t>
  </si>
  <si>
    <t>aditi pawar</t>
  </si>
  <si>
    <t>HR Recruiter</t>
  </si>
  <si>
    <t>aditi.pawar @ company .com</t>
  </si>
  <si>
    <t>+91 9811 777 228</t>
  </si>
  <si>
    <t>E143</t>
  </si>
  <si>
    <t>naina joshi</t>
  </si>
  <si>
    <t>Payroll Assistant</t>
  </si>
  <si>
    <t>naina.joshi@ Company. com</t>
  </si>
  <si>
    <t>+91 9822 555 772</t>
  </si>
  <si>
    <t>E144</t>
  </si>
  <si>
    <t>roshan singh</t>
  </si>
  <si>
    <t>Cloud Engineer</t>
  </si>
  <si>
    <t>roshan.singh @company .com</t>
  </si>
  <si>
    <t>91-9911 220 556</t>
  </si>
  <si>
    <t>E145</t>
  </si>
  <si>
    <t>tanya agarwal</t>
  </si>
  <si>
    <t>Digital Strategist</t>
  </si>
  <si>
    <t>tanya. agarwal@ company . com</t>
  </si>
  <si>
    <t>+91- 9987 300 887</t>
  </si>
  <si>
    <t>E146</t>
  </si>
  <si>
    <t>amar patil</t>
  </si>
  <si>
    <t>Sales Executive</t>
  </si>
  <si>
    <t>amar. patil@company. com</t>
  </si>
  <si>
    <t>+91 9911 880 004</t>
  </si>
  <si>
    <t>E147</t>
  </si>
  <si>
    <t>ketan sharma</t>
  </si>
  <si>
    <t>Accounts Officer</t>
  </si>
  <si>
    <t>ketan. sharma @company. com</t>
  </si>
  <si>
    <t>91-9822 778 090</t>
  </si>
  <si>
    <t>E148</t>
  </si>
  <si>
    <t>sangeeta naik</t>
  </si>
  <si>
    <t>HR Specialist</t>
  </si>
  <si>
    <t>sangeeta. naik@ Company .com</t>
  </si>
  <si>
    <t>+91 9876 661 112</t>
  </si>
  <si>
    <t>E149</t>
  </si>
  <si>
    <t>rohit mehta</t>
  </si>
  <si>
    <t>Data Analyst</t>
  </si>
  <si>
    <t>rohit.mehta@ company. com</t>
  </si>
  <si>
    <t>+91 9811 110 991</t>
  </si>
  <si>
    <t>E150</t>
  </si>
  <si>
    <t>neelam shinde</t>
  </si>
  <si>
    <t>Brand Designer</t>
  </si>
  <si>
    <t>neelam.shinde @ company. com</t>
  </si>
  <si>
    <t>+91 9833 665 432</t>
  </si>
  <si>
    <t>FullName</t>
  </si>
  <si>
    <t>First Name</t>
  </si>
  <si>
    <t>Last Name</t>
  </si>
  <si>
    <t>Dept Code</t>
  </si>
  <si>
    <t>Last 4 digit</t>
  </si>
  <si>
    <t>E-mail Name</t>
  </si>
  <si>
    <t>Concat</t>
  </si>
  <si>
    <t>Textjoin</t>
  </si>
  <si>
    <t>SCODE</t>
  </si>
  <si>
    <t>LCODE</t>
  </si>
  <si>
    <t>Cleaned Data</t>
  </si>
  <si>
    <t>Messed Data</t>
  </si>
  <si>
    <t>Job_Title2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</si>
</sst>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0" xfId="0" applyBorder="1"/>
    <xf numFmtId="0" fontId="0" fillId="0" borderId="8" xfId="0" applyBorder="1"/>
    <xf numFmtId="0" fontId="0" fillId="0" borderId="3" xfId="0" applyBorder="1"/>
    <xf numFmtId="0" fontId="0" fillId="0" borderId="4" xfId="0" applyBorder="1"/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0" fillId="0" borderId="9" xfId="0" applyBorder="1"/>
  </cellXfs>
  <cellStyles count="1">
    <cellStyle name="Normal" xfId="0" builtinId="0"/>
  </cellStyles>
  <dxfs count="32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E84CAB-BF2C-4343-90E3-BF2B39E3FA77}" name="Table1" displayName="Table1" ref="A2:G52" totalsRowShown="0" headerRowDxfId="31" dataDxfId="30" headerRowBorderDxfId="28" tableBorderDxfId="29" totalsRowBorderDxfId="27">
  <autoFilter ref="A2:G52" xr:uid="{DDE84CAB-BF2C-4343-90E3-BF2B39E3FA77}"/>
  <tableColumns count="7">
    <tableColumn id="1" xr3:uid="{13B30CE8-F224-4FB6-B303-0F98F424B4C4}" name="Emp_ID" dataDxfId="26"/>
    <tableColumn id="2" xr3:uid="{C3BF1DBC-9956-4889-BD0F-C063F6367256}" name="Full_Name" dataDxfId="25"/>
    <tableColumn id="3" xr3:uid="{2EEB60C7-0043-4F46-90AE-3586550D36A8}" name="Department" dataDxfId="24"/>
    <tableColumn id="4" xr3:uid="{2CE7468C-3B5E-45E4-A893-6C6E9B03D994}" name="Job_Title" dataDxfId="23"/>
    <tableColumn id="5" xr3:uid="{14DCD75C-3881-48FF-83DF-593B254EA9DE}" name="Email_Address" dataDxfId="22"/>
    <tableColumn id="6" xr3:uid="{B19CE9C4-C60A-4A58-B864-83AE3A5B306D}" name="Phone_Number" dataDxfId="21"/>
    <tableColumn id="7" xr3:uid="{8FF03BA1-8177-47AF-8CF3-0819DAD01B81}" name="Location" dataDxfId="20"/>
  </tableColumns>
  <tableStyleInfo name="TableStyleDark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CBDA2F-E368-4E0F-8402-55013F9AE3C6}" name="Table2" displayName="Table2" ref="I2:X52" totalsRowShown="0" headerRowDxfId="19" headerRowBorderDxfId="17" tableBorderDxfId="18" totalsRowBorderDxfId="16">
  <autoFilter ref="I2:X52" xr:uid="{79CBDA2F-E368-4E0F-8402-55013F9AE3C6}"/>
  <tableColumns count="16">
    <tableColumn id="1" xr3:uid="{3B2D9196-42EC-4703-8236-E9B97837232C}" name="FullName" dataDxfId="15">
      <calculatedColumnFormula>PROPER(TRIM(CLEAN(B3)))</calculatedColumnFormula>
    </tableColumn>
    <tableColumn id="2" xr3:uid="{C04FAB78-BB9B-4953-9D0B-288C6873B88F}" name="Department" dataDxfId="14">
      <calculatedColumnFormula>UPPER(TRIM(CLEAN(C3)))</calculatedColumnFormula>
    </tableColumn>
    <tableColumn id="3" xr3:uid="{5F2F9912-8C61-4E91-AC61-150103B5C274}" name="Job_Title" dataDxfId="13">
      <calculatedColumnFormula>PROPER(TRIM(CLEAN(D3)))</calculatedColumnFormula>
    </tableColumn>
    <tableColumn id="4" xr3:uid="{A61D2989-9755-4856-98D2-4FD1F2FCFA37}" name="Email_Address" dataDxfId="12">
      <calculatedColumnFormula>SUBSTITUTE(SUBSTITUTE(LOWER(TRIM(CLEAN(E3)))," ",""),".","")</calculatedColumnFormula>
    </tableColumn>
    <tableColumn id="5" xr3:uid="{48CA53F9-1DBC-45A9-8D2C-50F65814FEFD}" name="Phone_Number" dataDxfId="11">
      <calculatedColumnFormula>SUBSTITUTE(SUBSTITUTE(SUBSTITUTE(SUBSTITUTE(SUBSTITUTE(SUBSTITUTE(SUBSTITUTE(SUBSTITUTE(SUBSTITUTE(CLEAN(TRIM(F3))," ",""),"-",""),"09","+09"),"+09","+91"),"+","",2),"91","+91",1),"++","+"),"+","",2),"+91","+91 ")</calculatedColumnFormula>
    </tableColumn>
    <tableColumn id="6" xr3:uid="{02C19097-4EEA-475E-A475-E5381BC50B57}" name="Location" dataDxfId="10">
      <calculatedColumnFormula>UPPER(TRIM(CLEAN(G3)))</calculatedColumnFormula>
    </tableColumn>
    <tableColumn id="7" xr3:uid="{1364CC2B-CBA5-40AD-934C-4EACF89FD8B1}" name="Job_Title2" dataDxfId="9">
      <calculatedColumnFormula>SUBSTITUTE(CLEAN(TRIM(D3)),"  "," ")</calculatedColumnFormula>
    </tableColumn>
    <tableColumn id="8" xr3:uid="{382AEC51-A300-4026-A2BC-C94D2B9D2517}" name="First Name" dataDxfId="8">
      <calculatedColumnFormula>LEFT(I3,FIND(" ",I3)-1)</calculatedColumnFormula>
    </tableColumn>
    <tableColumn id="9" xr3:uid="{A2FA5974-D4B1-4FEC-9FAC-BAF6BB13F741}" name="Last Name" dataDxfId="7">
      <calculatedColumnFormula>MID(I3,FIND(" ",I3)+1,LEN(I3))</calculatedColumnFormula>
    </tableColumn>
    <tableColumn id="10" xr3:uid="{517C2CE9-372D-431A-A75C-6CF2790AE7DA}" name="Dept Code" dataDxfId="6">
      <calculatedColumnFormula>LEFT(J3,3)</calculatedColumnFormula>
    </tableColumn>
    <tableColumn id="11" xr3:uid="{A5681CA2-0949-4442-BE9F-8FD60D1A3193}" name="Last 4 digit" dataDxfId="5">
      <calculatedColumnFormula>RIGHT(SUBSTITUTE(M3," ",""),"4")</calculatedColumnFormula>
    </tableColumn>
    <tableColumn id="12" xr3:uid="{DFA61010-B740-4DEE-90B4-5D1F2ABB582E}" name="E-mail Name" dataDxfId="4">
      <calculatedColumnFormula>LEFT(L3,FIND("@",L3)-1)</calculatedColumnFormula>
    </tableColumn>
    <tableColumn id="13" xr3:uid="{F07539B4-B347-424E-8A22-2E01EC517C62}" name="Concat" dataDxfId="3">
      <calculatedColumnFormula>_xlfn.CONCAT(P3," ",Q3)</calculatedColumnFormula>
    </tableColumn>
    <tableColumn id="14" xr3:uid="{584795F2-E278-435E-B6AC-55EC8EA156E4}" name="Textjoin" dataDxfId="2">
      <calculatedColumnFormula>_xlfn.TEXTJOIN(" ",TRUE,P3,Q3)</calculatedColumnFormula>
    </tableColumn>
    <tableColumn id="15" xr3:uid="{29011522-56CD-4823-9A9E-8BD8A66E05C5}" name="SCODE" dataDxfId="1">
      <calculatedColumnFormula>LEFT(P3,1)&amp;LEFT(Q3,1)&amp;S3</calculatedColumnFormula>
    </tableColumn>
    <tableColumn id="16" xr3:uid="{0EC1BBB5-0B15-4911-8CDB-896571BFD533}" name="LCODE" dataDxfId="0">
      <calculatedColumnFormula>LEFT(N3,3)</calculatedColumnFormula>
    </tableColumn>
  </tableColumns>
  <tableStyleInfo name="TableStyleDark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2"/>
  <sheetViews>
    <sheetView tabSelected="1" zoomScale="106" zoomScaleNormal="106" workbookViewId="0">
      <selection activeCell="H5" sqref="H5"/>
    </sheetView>
  </sheetViews>
  <sheetFormatPr defaultRowHeight="14.4" x14ac:dyDescent="0.3"/>
  <cols>
    <col min="1" max="1" width="9" customWidth="1"/>
    <col min="2" max="2" width="18.109375" bestFit="1" customWidth="1"/>
    <col min="3" max="3" width="12.88671875" customWidth="1"/>
    <col min="4" max="4" width="17" bestFit="1" customWidth="1"/>
    <col min="5" max="5" width="31.5546875" bestFit="1" customWidth="1"/>
    <col min="6" max="6" width="16.109375" bestFit="1" customWidth="1"/>
    <col min="7" max="7" width="10.6640625" bestFit="1" customWidth="1"/>
    <col min="8" max="8" width="10.6640625" customWidth="1"/>
    <col min="9" max="9" width="13.33203125" bestFit="1" customWidth="1"/>
    <col min="10" max="10" width="15.5546875" bestFit="1" customWidth="1"/>
    <col min="11" max="11" width="12.88671875" bestFit="1" customWidth="1"/>
    <col min="12" max="12" width="17.77734375" bestFit="1" customWidth="1"/>
    <col min="13" max="13" width="18.88671875" bestFit="1" customWidth="1"/>
    <col min="14" max="14" width="12.6640625" bestFit="1" customWidth="1"/>
    <col min="15" max="15" width="13.88671875" bestFit="1" customWidth="1"/>
    <col min="16" max="16" width="14.33203125" bestFit="1" customWidth="1"/>
    <col min="17" max="18" width="14.21875" bestFit="1" customWidth="1"/>
    <col min="19" max="19" width="14.33203125" bestFit="1" customWidth="1"/>
    <col min="20" max="20" width="16.109375" bestFit="1" customWidth="1"/>
    <col min="21" max="21" width="11.33203125" bestFit="1" customWidth="1"/>
    <col min="22" max="22" width="12.21875" bestFit="1" customWidth="1"/>
    <col min="23" max="23" width="11.109375" bestFit="1" customWidth="1"/>
    <col min="24" max="24" width="11" bestFit="1" customWidth="1"/>
  </cols>
  <sheetData>
    <row r="1" spans="1:24" x14ac:dyDescent="0.3">
      <c r="A1" s="4" t="s">
        <v>279</v>
      </c>
      <c r="B1" s="4"/>
      <c r="C1" s="4"/>
      <c r="D1" s="4"/>
      <c r="E1" s="4"/>
      <c r="F1" s="4"/>
      <c r="G1" s="4"/>
      <c r="I1" s="4" t="s">
        <v>278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x14ac:dyDescent="0.3">
      <c r="A2" s="7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9" t="s">
        <v>6</v>
      </c>
      <c r="H2" s="1"/>
      <c r="I2" s="17" t="s">
        <v>268</v>
      </c>
      <c r="J2" s="18" t="s">
        <v>2</v>
      </c>
      <c r="K2" s="8" t="s">
        <v>3</v>
      </c>
      <c r="L2" s="8" t="s">
        <v>4</v>
      </c>
      <c r="M2" s="8" t="s">
        <v>5</v>
      </c>
      <c r="N2" s="8" t="s">
        <v>6</v>
      </c>
      <c r="O2" s="8" t="s">
        <v>280</v>
      </c>
      <c r="P2" s="18" t="s">
        <v>269</v>
      </c>
      <c r="Q2" s="18" t="s">
        <v>270</v>
      </c>
      <c r="R2" s="18" t="s">
        <v>271</v>
      </c>
      <c r="S2" s="18" t="s">
        <v>272</v>
      </c>
      <c r="T2" s="18" t="s">
        <v>273</v>
      </c>
      <c r="U2" s="18" t="s">
        <v>274</v>
      </c>
      <c r="V2" s="18" t="s">
        <v>275</v>
      </c>
      <c r="W2" s="18" t="s">
        <v>276</v>
      </c>
      <c r="X2" s="19" t="s">
        <v>277</v>
      </c>
    </row>
    <row r="3" spans="1:24" x14ac:dyDescent="0.3">
      <c r="A3" s="5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6" t="s">
        <v>13</v>
      </c>
      <c r="H3" s="2"/>
      <c r="I3" s="15" t="str">
        <f>PROPER(TRIM(CLEAN(B3)))</f>
        <v>Rahul Sharma</v>
      </c>
      <c r="J3" s="3" t="str">
        <f>UPPER(TRIM(CLEAN(C3)))</f>
        <v>HR</v>
      </c>
      <c r="K3" s="3" t="str">
        <f>PROPER(TRIM(CLEAN(D3)))</f>
        <v>Senior Executive</v>
      </c>
      <c r="L3" s="3" t="str">
        <f>SUBSTITUTE(SUBSTITUTE(LOWER(TRIM(CLEAN(E3)))," ",""),".","")</f>
        <v>rahulsharma@companycom</v>
      </c>
      <c r="M3" s="3" t="str">
        <f>SUBSTITUTE(SUBSTITUTE(SUBSTITUTE(SUBSTITUTE(SUBSTITUTE(SUBSTITUTE(SUBSTITUTE(SUBSTITUTE(SUBSTITUTE(CLEAN(TRIM(F3))," ",""),"-",""),"09","+09"),"+09","+91"),"+","",2),"91","+91",1),"++","+"),"+","",2),"+91","+91 ")</f>
        <v>+91 9823412000</v>
      </c>
      <c r="N3" s="3" t="str">
        <f>UPPER(TRIM(CLEAN(G3)))</f>
        <v>PUNE</v>
      </c>
      <c r="O3" s="3" t="str">
        <f>SUBSTITUTE(CLEAN(TRIM(D3)),"  "," ")</f>
        <v>Senior Executive</v>
      </c>
      <c r="P3" s="3" t="str">
        <f>LEFT(I3,FIND(" ",I3)-1)</f>
        <v>Rahul</v>
      </c>
      <c r="Q3" s="3" t="str">
        <f>MID(I3,FIND(" ",I3)+1,LEN(I3))</f>
        <v>Sharma</v>
      </c>
      <c r="R3" s="3" t="str">
        <f>LEFT(J3,3)</f>
        <v>HR</v>
      </c>
      <c r="S3" s="3" t="str">
        <f>RIGHT(SUBSTITUTE(M3," ",""),"4")</f>
        <v>2000</v>
      </c>
      <c r="T3" s="3" t="str">
        <f>LEFT(L3,FIND("@",L3)-1)</f>
        <v>rahulsharma</v>
      </c>
      <c r="U3" s="3" t="str">
        <f>_xlfn.CONCAT(P3," ",Q3)</f>
        <v>Rahul Sharma</v>
      </c>
      <c r="V3" s="3" t="str">
        <f>_xlfn.TEXTJOIN(" ",TRUE,P3,Q3)</f>
        <v>Rahul Sharma</v>
      </c>
      <c r="W3" s="3" t="str">
        <f>LEFT(P3,1)&amp;LEFT(Q3,1)&amp;S3</f>
        <v>RS2000</v>
      </c>
      <c r="X3" s="16" t="str">
        <f>LEFT(N3,3)</f>
        <v>PUN</v>
      </c>
    </row>
    <row r="4" spans="1:24" x14ac:dyDescent="0.3">
      <c r="A4" s="5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6" t="s">
        <v>20</v>
      </c>
      <c r="H4" s="2"/>
      <c r="I4" s="15" t="str">
        <f t="shared" ref="I4:I52" si="0">PROPER(TRIM(CLEAN(B4)))</f>
        <v>Anita Joshi</v>
      </c>
      <c r="J4" s="3" t="str">
        <f t="shared" ref="J4:J52" si="1">UPPER(TRIM(CLEAN(C4)))</f>
        <v>SALES</v>
      </c>
      <c r="K4" s="3" t="str">
        <f t="shared" ref="K4:K52" si="2">PROPER(TRIM(CLEAN(D4)))</f>
        <v>Manager</v>
      </c>
      <c r="L4" s="3" t="str">
        <f t="shared" ref="L4:L52" si="3">SUBSTITUTE(SUBSTITUTE(LOWER(TRIM(CLEAN(E4)))," ",""),".","")</f>
        <v>anitajoshi@companycom</v>
      </c>
      <c r="M4" s="3" t="str">
        <f t="shared" ref="M4:M52" si="4">SUBSTITUTE(SUBSTITUTE(SUBSTITUTE(SUBSTITUTE(SUBSTITUTE(SUBSTITUTE(SUBSTITUTE(SUBSTITUTE(SUBSTITUTE(CLEAN(TRIM(F4))," ",""),"-",""),"09","+09"),"+09","+91"),"+","",2),"91","+91",1),"++","+"),"+","",2),"+91","+91 ")</f>
        <v>+91 9987555431</v>
      </c>
      <c r="N4" s="3" t="str">
        <f t="shared" ref="N4:N52" si="5">UPPER(TRIM(CLEAN(G4)))</f>
        <v>MUMBAI</v>
      </c>
      <c r="O4" s="3" t="str">
        <f>SUBSTITUTE(CLEAN(TRIM(D4)),"  "," ")</f>
        <v>Manager</v>
      </c>
      <c r="P4" s="3" t="str">
        <f t="shared" ref="P4:P52" si="6">LEFT(I4,FIND(" ",I4)-1)</f>
        <v>Anita</v>
      </c>
      <c r="Q4" s="3" t="str">
        <f t="shared" ref="Q4:Q52" si="7">MID(I4,FIND(" ",I4)+1,LEN(I4))</f>
        <v>Joshi</v>
      </c>
      <c r="R4" s="3" t="str">
        <f t="shared" ref="R4:R52" si="8">LEFT(J4,3)</f>
        <v>SAL</v>
      </c>
      <c r="S4" s="3" t="str">
        <f t="shared" ref="S4:S52" si="9">RIGHT(SUBSTITUTE(M4," ",""),"4")</f>
        <v>5431</v>
      </c>
      <c r="T4" s="3" t="str">
        <f t="shared" ref="T4:T52" si="10">LEFT(L4,FIND("@",L4)-1)</f>
        <v>anitajoshi</v>
      </c>
      <c r="U4" s="3" t="str">
        <f t="shared" ref="U4:U52" si="11">_xlfn.CONCAT(P4," ",Q4)</f>
        <v>Anita Joshi</v>
      </c>
      <c r="V4" s="3" t="str">
        <f t="shared" ref="V4:V52" si="12">_xlfn.TEXTJOIN(" ",TRUE,P4,Q4)</f>
        <v>Anita Joshi</v>
      </c>
      <c r="W4" s="3" t="str">
        <f t="shared" ref="W4:W52" si="13">LEFT(P4,1)&amp;LEFT(Q4,1)&amp;S4</f>
        <v>AJ5431</v>
      </c>
      <c r="X4" s="16" t="str">
        <f t="shared" ref="X4:X52" si="14">LEFT(N4,3)</f>
        <v>MUM</v>
      </c>
    </row>
    <row r="5" spans="1:24" x14ac:dyDescent="0.3">
      <c r="A5" s="5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6" t="s">
        <v>27</v>
      </c>
      <c r="H5" s="2"/>
      <c r="I5" s="15" t="str">
        <f t="shared" si="0"/>
        <v>Mohit Verma</v>
      </c>
      <c r="J5" s="3" t="str">
        <f t="shared" si="1"/>
        <v>MARKETING</v>
      </c>
      <c r="K5" s="3" t="str">
        <f t="shared" si="2"/>
        <v>Asst. Manager</v>
      </c>
      <c r="L5" s="3" t="str">
        <f t="shared" si="3"/>
        <v>mohitverma@companycom</v>
      </c>
      <c r="M5" s="3" t="str">
        <f t="shared" si="4"/>
        <v>+91 9966899334</v>
      </c>
      <c r="N5" s="3" t="str">
        <f t="shared" si="5"/>
        <v>DELHI</v>
      </c>
      <c r="O5" s="3" t="str">
        <f>SUBSTITUTE(CLEAN(TRIM(D5)),"  "," ")</f>
        <v>Asst. Manager</v>
      </c>
      <c r="P5" s="3" t="str">
        <f t="shared" si="6"/>
        <v>Mohit</v>
      </c>
      <c r="Q5" s="3" t="str">
        <f t="shared" si="7"/>
        <v>Verma</v>
      </c>
      <c r="R5" s="3" t="str">
        <f t="shared" si="8"/>
        <v>MAR</v>
      </c>
      <c r="S5" s="3" t="str">
        <f t="shared" si="9"/>
        <v>9334</v>
      </c>
      <c r="T5" s="3" t="str">
        <f t="shared" si="10"/>
        <v>mohitverma</v>
      </c>
      <c r="U5" s="3" t="str">
        <f t="shared" si="11"/>
        <v>Mohit Verma</v>
      </c>
      <c r="V5" s="3" t="str">
        <f t="shared" si="12"/>
        <v>Mohit Verma</v>
      </c>
      <c r="W5" s="3" t="str">
        <f t="shared" si="13"/>
        <v>MV9334</v>
      </c>
      <c r="X5" s="16" t="str">
        <f t="shared" si="14"/>
        <v>DEL</v>
      </c>
    </row>
    <row r="6" spans="1:24" x14ac:dyDescent="0.3">
      <c r="A6" s="5" t="s">
        <v>28</v>
      </c>
      <c r="B6" s="2" t="s">
        <v>29</v>
      </c>
      <c r="C6" s="2" t="s">
        <v>9</v>
      </c>
      <c r="D6" s="2" t="s">
        <v>30</v>
      </c>
      <c r="E6" s="2" t="s">
        <v>31</v>
      </c>
      <c r="F6" s="2" t="s">
        <v>32</v>
      </c>
      <c r="G6" s="6" t="s">
        <v>13</v>
      </c>
      <c r="H6" s="2"/>
      <c r="I6" s="15" t="str">
        <f t="shared" si="0"/>
        <v>Neha Kapoor</v>
      </c>
      <c r="J6" s="3" t="str">
        <f t="shared" si="1"/>
        <v>HR</v>
      </c>
      <c r="K6" s="3" t="str">
        <f t="shared" si="2"/>
        <v>Recruiter</v>
      </c>
      <c r="L6" s="3" t="str">
        <f t="shared" si="3"/>
        <v>nehakapoor@companycom</v>
      </c>
      <c r="M6" s="3" t="str">
        <f t="shared" si="4"/>
        <v>+91 9823123890</v>
      </c>
      <c r="N6" s="3" t="str">
        <f t="shared" si="5"/>
        <v>PUNE</v>
      </c>
      <c r="O6" s="3" t="str">
        <f>SUBSTITUTE(CLEAN(TRIM(D6)),"  "," ")</f>
        <v>Recruiter</v>
      </c>
      <c r="P6" s="3" t="str">
        <f t="shared" si="6"/>
        <v>Neha</v>
      </c>
      <c r="Q6" s="3" t="str">
        <f t="shared" si="7"/>
        <v>Kapoor</v>
      </c>
      <c r="R6" s="3" t="str">
        <f t="shared" si="8"/>
        <v>HR</v>
      </c>
      <c r="S6" s="3" t="str">
        <f t="shared" si="9"/>
        <v>3890</v>
      </c>
      <c r="T6" s="3" t="str">
        <f t="shared" si="10"/>
        <v>nehakapoor</v>
      </c>
      <c r="U6" s="3" t="str">
        <f t="shared" si="11"/>
        <v>Neha Kapoor</v>
      </c>
      <c r="V6" s="3" t="str">
        <f t="shared" si="12"/>
        <v>Neha Kapoor</v>
      </c>
      <c r="W6" s="3" t="str">
        <f t="shared" si="13"/>
        <v>NK3890</v>
      </c>
      <c r="X6" s="16" t="str">
        <f t="shared" si="14"/>
        <v>PUN</v>
      </c>
    </row>
    <row r="7" spans="1:24" x14ac:dyDescent="0.3">
      <c r="A7" s="5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38</v>
      </c>
      <c r="G7" s="6" t="s">
        <v>39</v>
      </c>
      <c r="H7" s="2"/>
      <c r="I7" s="15" t="str">
        <f t="shared" si="0"/>
        <v>Akash Sing</v>
      </c>
      <c r="J7" s="3" t="str">
        <f t="shared" si="1"/>
        <v>IT</v>
      </c>
      <c r="K7" s="3" t="str">
        <f t="shared" si="2"/>
        <v>Software Engineer</v>
      </c>
      <c r="L7" s="3" t="str">
        <f t="shared" si="3"/>
        <v>akashsingh@companycom</v>
      </c>
      <c r="M7" s="3" t="str">
        <f t="shared" si="4"/>
        <v>+91 823211002</v>
      </c>
      <c r="N7" s="3" t="str">
        <f t="shared" si="5"/>
        <v>BANGALORE</v>
      </c>
      <c r="O7" s="3" t="str">
        <f>SUBSTITUTE(CLEAN(TRIM(D7)),"  "," ")</f>
        <v>software engineer</v>
      </c>
      <c r="P7" s="3" t="str">
        <f t="shared" si="6"/>
        <v>Akash</v>
      </c>
      <c r="Q7" s="3" t="str">
        <f t="shared" si="7"/>
        <v>Sing</v>
      </c>
      <c r="R7" s="3" t="str">
        <f t="shared" si="8"/>
        <v>IT</v>
      </c>
      <c r="S7" s="3" t="str">
        <f t="shared" si="9"/>
        <v>1002</v>
      </c>
      <c r="T7" s="3" t="str">
        <f t="shared" si="10"/>
        <v>akashsingh</v>
      </c>
      <c r="U7" s="3" t="str">
        <f t="shared" si="11"/>
        <v>Akash Sing</v>
      </c>
      <c r="V7" s="3" t="str">
        <f t="shared" si="12"/>
        <v>Akash Sing</v>
      </c>
      <c r="W7" s="3" t="str">
        <f t="shared" si="13"/>
        <v>AS1002</v>
      </c>
      <c r="X7" s="16" t="str">
        <f t="shared" si="14"/>
        <v>BAN</v>
      </c>
    </row>
    <row r="8" spans="1:24" x14ac:dyDescent="0.3">
      <c r="A8" s="5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s">
        <v>45</v>
      </c>
      <c r="G8" s="6" t="s">
        <v>20</v>
      </c>
      <c r="H8" s="2"/>
      <c r="I8" s="15" t="str">
        <f t="shared" si="0"/>
        <v>Priya Nanda</v>
      </c>
      <c r="J8" s="3" t="str">
        <f t="shared" si="1"/>
        <v>FINANCE</v>
      </c>
      <c r="K8" s="3" t="str">
        <f t="shared" si="2"/>
        <v>Accountant</v>
      </c>
      <c r="L8" s="3" t="str">
        <f t="shared" si="3"/>
        <v>priyananda@companycom</v>
      </c>
      <c r="M8" s="3" t="str">
        <f t="shared" si="4"/>
        <v>+91 9983456788</v>
      </c>
      <c r="N8" s="3" t="str">
        <f t="shared" si="5"/>
        <v>MUMBAI</v>
      </c>
      <c r="O8" s="3" t="str">
        <f>SUBSTITUTE(CLEAN(TRIM(D8)),"  "," ")</f>
        <v>Accountant</v>
      </c>
      <c r="P8" s="3" t="str">
        <f t="shared" si="6"/>
        <v>Priya</v>
      </c>
      <c r="Q8" s="3" t="str">
        <f t="shared" si="7"/>
        <v>Nanda</v>
      </c>
      <c r="R8" s="3" t="str">
        <f t="shared" si="8"/>
        <v>FIN</v>
      </c>
      <c r="S8" s="3" t="str">
        <f t="shared" si="9"/>
        <v>6788</v>
      </c>
      <c r="T8" s="3" t="str">
        <f t="shared" si="10"/>
        <v>priyananda</v>
      </c>
      <c r="U8" s="3" t="str">
        <f t="shared" si="11"/>
        <v>Priya Nanda</v>
      </c>
      <c r="V8" s="3" t="str">
        <f t="shared" si="12"/>
        <v>Priya Nanda</v>
      </c>
      <c r="W8" s="3" t="str">
        <f t="shared" si="13"/>
        <v>PN6788</v>
      </c>
      <c r="X8" s="16" t="str">
        <f t="shared" si="14"/>
        <v>MUM</v>
      </c>
    </row>
    <row r="9" spans="1:24" x14ac:dyDescent="0.3">
      <c r="A9" s="5" t="s">
        <v>46</v>
      </c>
      <c r="B9" s="2" t="s">
        <v>47</v>
      </c>
      <c r="C9" s="2" t="s">
        <v>35</v>
      </c>
      <c r="D9" s="2" t="s">
        <v>48</v>
      </c>
      <c r="E9" s="2" t="s">
        <v>49</v>
      </c>
      <c r="F9" s="2" t="s">
        <v>50</v>
      </c>
      <c r="G9" s="6" t="s">
        <v>51</v>
      </c>
      <c r="H9" s="2"/>
      <c r="I9" s="15" t="str">
        <f t="shared" si="0"/>
        <v>Arjun Mehta</v>
      </c>
      <c r="J9" s="3" t="str">
        <f t="shared" si="1"/>
        <v>IT</v>
      </c>
      <c r="K9" s="3" t="str">
        <f t="shared" si="2"/>
        <v>Developer</v>
      </c>
      <c r="L9" s="3" t="str">
        <f t="shared" si="3"/>
        <v>arjunmehta@companycom</v>
      </c>
      <c r="M9" s="3" t="str">
        <f t="shared" si="4"/>
        <v>+91 9912216789</v>
      </c>
      <c r="N9" s="3" t="str">
        <f t="shared" si="5"/>
        <v>CHENNAI</v>
      </c>
      <c r="O9" s="3" t="str">
        <f>SUBSTITUTE(CLEAN(TRIM(D9)),"  "," ")</f>
        <v>Developer</v>
      </c>
      <c r="P9" s="3" t="str">
        <f t="shared" si="6"/>
        <v>Arjun</v>
      </c>
      <c r="Q9" s="3" t="str">
        <f t="shared" si="7"/>
        <v>Mehta</v>
      </c>
      <c r="R9" s="3" t="str">
        <f t="shared" si="8"/>
        <v>IT</v>
      </c>
      <c r="S9" s="3" t="str">
        <f t="shared" si="9"/>
        <v>6789</v>
      </c>
      <c r="T9" s="3" t="str">
        <f t="shared" si="10"/>
        <v>arjunmehta</v>
      </c>
      <c r="U9" s="3" t="str">
        <f t="shared" si="11"/>
        <v>Arjun Mehta</v>
      </c>
      <c r="V9" s="3" t="str">
        <f t="shared" si="12"/>
        <v>Arjun Mehta</v>
      </c>
      <c r="W9" s="3" t="str">
        <f t="shared" si="13"/>
        <v>AM6789</v>
      </c>
      <c r="X9" s="16" t="str">
        <f t="shared" si="14"/>
        <v>CHE</v>
      </c>
    </row>
    <row r="10" spans="1:24" x14ac:dyDescent="0.3">
      <c r="A10" s="5" t="s">
        <v>52</v>
      </c>
      <c r="B10" s="2" t="s">
        <v>53</v>
      </c>
      <c r="C10" s="2" t="s">
        <v>9</v>
      </c>
      <c r="D10" s="2" t="s">
        <v>30</v>
      </c>
      <c r="E10" s="2" t="s">
        <v>54</v>
      </c>
      <c r="F10" s="2" t="s">
        <v>55</v>
      </c>
      <c r="G10" s="6" t="s">
        <v>56</v>
      </c>
      <c r="H10" s="2"/>
      <c r="I10" s="15" t="str">
        <f t="shared" si="0"/>
        <v>Saurabh Sonawane</v>
      </c>
      <c r="J10" s="3" t="str">
        <f t="shared" si="1"/>
        <v>HR</v>
      </c>
      <c r="K10" s="3" t="str">
        <f t="shared" si="2"/>
        <v>Recruiter</v>
      </c>
      <c r="L10" s="3" t="str">
        <f t="shared" si="3"/>
        <v>saurabhsonawane@companycom</v>
      </c>
      <c r="M10" s="3" t="str">
        <f t="shared" si="4"/>
        <v>+91 9876888212</v>
      </c>
      <c r="N10" s="3" t="str">
        <f t="shared" si="5"/>
        <v>NASHIK</v>
      </c>
      <c r="O10" s="3" t="str">
        <f>SUBSTITUTE(CLEAN(TRIM(D10)),"  "," ")</f>
        <v>Recruiter</v>
      </c>
      <c r="P10" s="3" t="str">
        <f t="shared" si="6"/>
        <v>Saurabh</v>
      </c>
      <c r="Q10" s="3" t="str">
        <f t="shared" si="7"/>
        <v>Sonawane</v>
      </c>
      <c r="R10" s="3" t="str">
        <f t="shared" si="8"/>
        <v>HR</v>
      </c>
      <c r="S10" s="3" t="str">
        <f t="shared" si="9"/>
        <v>8212</v>
      </c>
      <c r="T10" s="3" t="str">
        <f t="shared" si="10"/>
        <v>saurabhsonawane</v>
      </c>
      <c r="U10" s="3" t="str">
        <f t="shared" si="11"/>
        <v>Saurabh Sonawane</v>
      </c>
      <c r="V10" s="3" t="str">
        <f t="shared" si="12"/>
        <v>Saurabh Sonawane</v>
      </c>
      <c r="W10" s="3" t="str">
        <f t="shared" si="13"/>
        <v>SS8212</v>
      </c>
      <c r="X10" s="16" t="str">
        <f t="shared" si="14"/>
        <v>NAS</v>
      </c>
    </row>
    <row r="11" spans="1:24" x14ac:dyDescent="0.3">
      <c r="A11" s="5" t="s">
        <v>57</v>
      </c>
      <c r="B11" s="2" t="s">
        <v>58</v>
      </c>
      <c r="C11" s="2" t="s">
        <v>23</v>
      </c>
      <c r="D11" s="2" t="s">
        <v>59</v>
      </c>
      <c r="E11" s="2" t="s">
        <v>60</v>
      </c>
      <c r="F11" s="2" t="s">
        <v>61</v>
      </c>
      <c r="G11" s="6" t="s">
        <v>62</v>
      </c>
      <c r="H11" s="2"/>
      <c r="I11" s="15" t="str">
        <f t="shared" si="0"/>
        <v>Rina Deshmukh</v>
      </c>
      <c r="J11" s="3" t="str">
        <f t="shared" si="1"/>
        <v>MARKETING</v>
      </c>
      <c r="K11" s="3" t="str">
        <f t="shared" si="2"/>
        <v>Executive</v>
      </c>
      <c r="L11" s="3" t="str">
        <f t="shared" si="3"/>
        <v>rinadeshmukh@companycom</v>
      </c>
      <c r="M11" s="3" t="str">
        <f t="shared" si="4"/>
        <v>+91 9812332211</v>
      </c>
      <c r="N11" s="3" t="str">
        <f t="shared" si="5"/>
        <v>NAGPUR</v>
      </c>
      <c r="O11" s="3" t="str">
        <f>SUBSTITUTE(CLEAN(TRIM(D11)),"  "," ")</f>
        <v>Executive</v>
      </c>
      <c r="P11" s="3" t="str">
        <f t="shared" si="6"/>
        <v>Rina</v>
      </c>
      <c r="Q11" s="3" t="str">
        <f t="shared" si="7"/>
        <v>Deshmukh</v>
      </c>
      <c r="R11" s="3" t="str">
        <f t="shared" si="8"/>
        <v>MAR</v>
      </c>
      <c r="S11" s="3" t="str">
        <f t="shared" si="9"/>
        <v>2211</v>
      </c>
      <c r="T11" s="3" t="str">
        <f t="shared" si="10"/>
        <v>rinadeshmukh</v>
      </c>
      <c r="U11" s="3" t="str">
        <f t="shared" si="11"/>
        <v>Rina Deshmukh</v>
      </c>
      <c r="V11" s="3" t="str">
        <f t="shared" si="12"/>
        <v>Rina Deshmukh</v>
      </c>
      <c r="W11" s="3" t="str">
        <f t="shared" si="13"/>
        <v>RD2211</v>
      </c>
      <c r="X11" s="16" t="str">
        <f t="shared" si="14"/>
        <v>NAG</v>
      </c>
    </row>
    <row r="12" spans="1:24" x14ac:dyDescent="0.3">
      <c r="A12" s="5" t="s">
        <v>63</v>
      </c>
      <c r="B12" s="2" t="s">
        <v>64</v>
      </c>
      <c r="C12" s="2" t="s">
        <v>42</v>
      </c>
      <c r="D12" s="2" t="s">
        <v>65</v>
      </c>
      <c r="E12" s="2" t="s">
        <v>66</v>
      </c>
      <c r="F12" s="2" t="s">
        <v>67</v>
      </c>
      <c r="G12" s="6" t="s">
        <v>13</v>
      </c>
      <c r="H12" s="2"/>
      <c r="I12" s="15" t="str">
        <f t="shared" si="0"/>
        <v>Jayesh Patil</v>
      </c>
      <c r="J12" s="3" t="str">
        <f t="shared" si="1"/>
        <v>FINANCE</v>
      </c>
      <c r="K12" s="3" t="str">
        <f t="shared" si="2"/>
        <v>Sr. Accountant</v>
      </c>
      <c r="L12" s="3" t="str">
        <f t="shared" si="3"/>
        <v>jayeshpatil@companycom</v>
      </c>
      <c r="M12" s="3" t="str">
        <f t="shared" si="4"/>
        <v>+91 823919872</v>
      </c>
      <c r="N12" s="3" t="str">
        <f t="shared" si="5"/>
        <v>PUNE</v>
      </c>
      <c r="O12" s="3" t="str">
        <f>SUBSTITUTE(CLEAN(TRIM(D12)),"  "," ")</f>
        <v>sr. accountant</v>
      </c>
      <c r="P12" s="3" t="str">
        <f t="shared" si="6"/>
        <v>Jayesh</v>
      </c>
      <c r="Q12" s="3" t="str">
        <f t="shared" si="7"/>
        <v>Patil</v>
      </c>
      <c r="R12" s="3" t="str">
        <f t="shared" si="8"/>
        <v>FIN</v>
      </c>
      <c r="S12" s="3" t="str">
        <f t="shared" si="9"/>
        <v>9872</v>
      </c>
      <c r="T12" s="3" t="str">
        <f t="shared" si="10"/>
        <v>jayeshpatil</v>
      </c>
      <c r="U12" s="3" t="str">
        <f t="shared" si="11"/>
        <v>Jayesh Patil</v>
      </c>
      <c r="V12" s="3" t="str">
        <f t="shared" si="12"/>
        <v>Jayesh Patil</v>
      </c>
      <c r="W12" s="3" t="str">
        <f t="shared" si="13"/>
        <v>JP9872</v>
      </c>
      <c r="X12" s="16" t="str">
        <f t="shared" si="14"/>
        <v>PUN</v>
      </c>
    </row>
    <row r="13" spans="1:24" x14ac:dyDescent="0.3">
      <c r="A13" s="5" t="s">
        <v>68</v>
      </c>
      <c r="B13" s="2" t="s">
        <v>69</v>
      </c>
      <c r="C13" s="2" t="s">
        <v>9</v>
      </c>
      <c r="D13" s="2" t="s">
        <v>70</v>
      </c>
      <c r="E13" s="2" t="s">
        <v>71</v>
      </c>
      <c r="F13" s="2" t="s">
        <v>72</v>
      </c>
      <c r="G13" s="6" t="s">
        <v>73</v>
      </c>
      <c r="H13" s="2"/>
      <c r="I13" s="15" t="str">
        <f t="shared" si="0"/>
        <v>Manish Bhosale</v>
      </c>
      <c r="J13" s="3" t="str">
        <f t="shared" si="1"/>
        <v>HR</v>
      </c>
      <c r="K13" s="3" t="str">
        <f t="shared" si="2"/>
        <v>Hr Assistant</v>
      </c>
      <c r="L13" s="3" t="str">
        <f t="shared" si="3"/>
        <v>manishbhosale@companycom</v>
      </c>
      <c r="M13" s="3" t="str">
        <f t="shared" si="4"/>
        <v>+91 9876002129</v>
      </c>
      <c r="N13" s="3" t="str">
        <f t="shared" si="5"/>
        <v>KOLHAPUR</v>
      </c>
      <c r="O13" s="3" t="str">
        <f>SUBSTITUTE(CLEAN(TRIM(D13)),"  "," ")</f>
        <v>HR Assistant</v>
      </c>
      <c r="P13" s="3" t="str">
        <f t="shared" si="6"/>
        <v>Manish</v>
      </c>
      <c r="Q13" s="3" t="str">
        <f t="shared" si="7"/>
        <v>Bhosale</v>
      </c>
      <c r="R13" s="3" t="str">
        <f t="shared" si="8"/>
        <v>HR</v>
      </c>
      <c r="S13" s="3" t="str">
        <f t="shared" si="9"/>
        <v>2129</v>
      </c>
      <c r="T13" s="3" t="str">
        <f t="shared" si="10"/>
        <v>manishbhosale</v>
      </c>
      <c r="U13" s="3" t="str">
        <f t="shared" si="11"/>
        <v>Manish Bhosale</v>
      </c>
      <c r="V13" s="3" t="str">
        <f t="shared" si="12"/>
        <v>Manish Bhosale</v>
      </c>
      <c r="W13" s="3" t="str">
        <f t="shared" si="13"/>
        <v>MB2129</v>
      </c>
      <c r="X13" s="16" t="str">
        <f t="shared" si="14"/>
        <v>KOL</v>
      </c>
    </row>
    <row r="14" spans="1:24" x14ac:dyDescent="0.3">
      <c r="A14" s="5" t="s">
        <v>74</v>
      </c>
      <c r="B14" s="2" t="s">
        <v>75</v>
      </c>
      <c r="C14" s="2" t="s">
        <v>23</v>
      </c>
      <c r="D14" s="2" t="s">
        <v>76</v>
      </c>
      <c r="E14" s="2" t="s">
        <v>77</v>
      </c>
      <c r="F14" s="2" t="s">
        <v>78</v>
      </c>
      <c r="G14" s="6" t="s">
        <v>79</v>
      </c>
      <c r="H14" s="2"/>
      <c r="I14" s="15" t="str">
        <f t="shared" si="0"/>
        <v>Pooja Patel</v>
      </c>
      <c r="J14" s="3" t="str">
        <f t="shared" si="1"/>
        <v>MARKETING</v>
      </c>
      <c r="K14" s="3" t="str">
        <f t="shared" si="2"/>
        <v>Brand Executive</v>
      </c>
      <c r="L14" s="3" t="str">
        <f t="shared" si="3"/>
        <v>poojapatel@companycom</v>
      </c>
      <c r="M14" s="3" t="str">
        <f t="shared" si="4"/>
        <v>+91 9987771200</v>
      </c>
      <c r="N14" s="3" t="str">
        <f t="shared" si="5"/>
        <v>AHMEDABAD</v>
      </c>
      <c r="O14" s="3" t="str">
        <f>SUBSTITUTE(CLEAN(TRIM(D14)),"  "," ")</f>
        <v>Brand Executive</v>
      </c>
      <c r="P14" s="3" t="str">
        <f t="shared" si="6"/>
        <v>Pooja</v>
      </c>
      <c r="Q14" s="3" t="str">
        <f t="shared" si="7"/>
        <v>Patel</v>
      </c>
      <c r="R14" s="3" t="str">
        <f t="shared" si="8"/>
        <v>MAR</v>
      </c>
      <c r="S14" s="3" t="str">
        <f t="shared" si="9"/>
        <v>1200</v>
      </c>
      <c r="T14" s="3" t="str">
        <f t="shared" si="10"/>
        <v>poojapatel</v>
      </c>
      <c r="U14" s="3" t="str">
        <f t="shared" si="11"/>
        <v>Pooja Patel</v>
      </c>
      <c r="V14" s="3" t="str">
        <f t="shared" si="12"/>
        <v>Pooja Patel</v>
      </c>
      <c r="W14" s="3" t="str">
        <f t="shared" si="13"/>
        <v>PP1200</v>
      </c>
      <c r="X14" s="16" t="str">
        <f t="shared" si="14"/>
        <v>AHM</v>
      </c>
    </row>
    <row r="15" spans="1:24" x14ac:dyDescent="0.3">
      <c r="A15" s="5" t="s">
        <v>80</v>
      </c>
      <c r="B15" s="2" t="s">
        <v>81</v>
      </c>
      <c r="C15" s="2" t="s">
        <v>16</v>
      </c>
      <c r="D15" s="2" t="s">
        <v>82</v>
      </c>
      <c r="E15" s="2" t="s">
        <v>83</v>
      </c>
      <c r="F15" s="2" t="s">
        <v>84</v>
      </c>
      <c r="G15" s="6" t="s">
        <v>27</v>
      </c>
      <c r="H15" s="2"/>
      <c r="I15" s="15" t="str">
        <f t="shared" si="0"/>
        <v>Amit Kumar</v>
      </c>
      <c r="J15" s="3" t="str">
        <f t="shared" si="1"/>
        <v>SALES</v>
      </c>
      <c r="K15" s="3" t="str">
        <f t="shared" si="2"/>
        <v>Sales Rep</v>
      </c>
      <c r="L15" s="3" t="str">
        <f t="shared" si="3"/>
        <v>amitkumar@companycom</v>
      </c>
      <c r="M15" s="3" t="str">
        <f t="shared" si="4"/>
        <v>+91 9823004112</v>
      </c>
      <c r="N15" s="3" t="str">
        <f t="shared" si="5"/>
        <v>DELHI</v>
      </c>
      <c r="O15" s="3" t="str">
        <f>SUBSTITUTE(CLEAN(TRIM(D15)),"  "," ")</f>
        <v>Sales Rep</v>
      </c>
      <c r="P15" s="3" t="str">
        <f t="shared" si="6"/>
        <v>Amit</v>
      </c>
      <c r="Q15" s="3" t="str">
        <f t="shared" si="7"/>
        <v>Kumar</v>
      </c>
      <c r="R15" s="3" t="str">
        <f t="shared" si="8"/>
        <v>SAL</v>
      </c>
      <c r="S15" s="3" t="str">
        <f t="shared" si="9"/>
        <v>4112</v>
      </c>
      <c r="T15" s="3" t="str">
        <f t="shared" si="10"/>
        <v>amitkumar</v>
      </c>
      <c r="U15" s="3" t="str">
        <f t="shared" si="11"/>
        <v>Amit Kumar</v>
      </c>
      <c r="V15" s="3" t="str">
        <f t="shared" si="12"/>
        <v>Amit Kumar</v>
      </c>
      <c r="W15" s="3" t="str">
        <f t="shared" si="13"/>
        <v>AK4112</v>
      </c>
      <c r="X15" s="16" t="str">
        <f t="shared" si="14"/>
        <v>DEL</v>
      </c>
    </row>
    <row r="16" spans="1:24" x14ac:dyDescent="0.3">
      <c r="A16" s="5" t="s">
        <v>85</v>
      </c>
      <c r="B16" s="2" t="s">
        <v>86</v>
      </c>
      <c r="C16" s="2" t="s">
        <v>42</v>
      </c>
      <c r="D16" s="2" t="s">
        <v>87</v>
      </c>
      <c r="E16" s="2" t="s">
        <v>88</v>
      </c>
      <c r="F16" s="2" t="s">
        <v>89</v>
      </c>
      <c r="G16" s="6" t="s">
        <v>20</v>
      </c>
      <c r="H16" s="2"/>
      <c r="I16" s="15" t="str">
        <f t="shared" si="0"/>
        <v>Sneha Chavan</v>
      </c>
      <c r="J16" s="3" t="str">
        <f t="shared" si="1"/>
        <v>FINANCE</v>
      </c>
      <c r="K16" s="3" t="str">
        <f t="shared" si="2"/>
        <v>Analyst</v>
      </c>
      <c r="L16" s="3" t="str">
        <f t="shared" si="3"/>
        <v>snehachavan@companycom</v>
      </c>
      <c r="M16" s="3" t="str">
        <f t="shared" si="4"/>
        <v>+91 9977444900</v>
      </c>
      <c r="N16" s="3" t="str">
        <f t="shared" si="5"/>
        <v>MUMBAI</v>
      </c>
      <c r="O16" s="3" t="str">
        <f>SUBSTITUTE(CLEAN(TRIM(D16)),"  "," ")</f>
        <v>Analyst</v>
      </c>
      <c r="P16" s="3" t="str">
        <f t="shared" si="6"/>
        <v>Sneha</v>
      </c>
      <c r="Q16" s="3" t="str">
        <f t="shared" si="7"/>
        <v>Chavan</v>
      </c>
      <c r="R16" s="3" t="str">
        <f t="shared" si="8"/>
        <v>FIN</v>
      </c>
      <c r="S16" s="3" t="str">
        <f t="shared" si="9"/>
        <v>4900</v>
      </c>
      <c r="T16" s="3" t="str">
        <f t="shared" si="10"/>
        <v>snehachavan</v>
      </c>
      <c r="U16" s="3" t="str">
        <f t="shared" si="11"/>
        <v>Sneha Chavan</v>
      </c>
      <c r="V16" s="3" t="str">
        <f t="shared" si="12"/>
        <v>Sneha Chavan</v>
      </c>
      <c r="W16" s="3" t="str">
        <f t="shared" si="13"/>
        <v>SC4900</v>
      </c>
      <c r="X16" s="16" t="str">
        <f t="shared" si="14"/>
        <v>MUM</v>
      </c>
    </row>
    <row r="17" spans="1:24" x14ac:dyDescent="0.3">
      <c r="A17" s="5" t="s">
        <v>90</v>
      </c>
      <c r="B17" s="2" t="s">
        <v>91</v>
      </c>
      <c r="C17" s="2" t="s">
        <v>35</v>
      </c>
      <c r="D17" s="2" t="s">
        <v>92</v>
      </c>
      <c r="E17" s="2" t="s">
        <v>93</v>
      </c>
      <c r="F17" s="2" t="s">
        <v>94</v>
      </c>
      <c r="G17" s="6" t="s">
        <v>95</v>
      </c>
      <c r="H17" s="2"/>
      <c r="I17" s="15" t="str">
        <f t="shared" si="0"/>
        <v>Rohan Desai</v>
      </c>
      <c r="J17" s="3" t="str">
        <f t="shared" si="1"/>
        <v>IT</v>
      </c>
      <c r="K17" s="3" t="str">
        <f t="shared" si="2"/>
        <v>Web Developer</v>
      </c>
      <c r="L17" s="3" t="str">
        <f t="shared" si="3"/>
        <v>rohandesai@companycom</v>
      </c>
      <c r="M17" s="3" t="str">
        <f t="shared" si="4"/>
        <v>+91 9988332776</v>
      </c>
      <c r="N17" s="3" t="str">
        <f t="shared" si="5"/>
        <v>SURAT</v>
      </c>
      <c r="O17" s="3" t="str">
        <f>SUBSTITUTE(CLEAN(TRIM(D17)),"  "," ")</f>
        <v>Web Developer</v>
      </c>
      <c r="P17" s="3" t="str">
        <f t="shared" si="6"/>
        <v>Rohan</v>
      </c>
      <c r="Q17" s="3" t="str">
        <f t="shared" si="7"/>
        <v>Desai</v>
      </c>
      <c r="R17" s="3" t="str">
        <f t="shared" si="8"/>
        <v>IT</v>
      </c>
      <c r="S17" s="3" t="str">
        <f t="shared" si="9"/>
        <v>2776</v>
      </c>
      <c r="T17" s="3" t="str">
        <f t="shared" si="10"/>
        <v>rohandesai</v>
      </c>
      <c r="U17" s="3" t="str">
        <f t="shared" si="11"/>
        <v>Rohan Desai</v>
      </c>
      <c r="V17" s="3" t="str">
        <f t="shared" si="12"/>
        <v>Rohan Desai</v>
      </c>
      <c r="W17" s="3" t="str">
        <f t="shared" si="13"/>
        <v>RD2776</v>
      </c>
      <c r="X17" s="16" t="str">
        <f t="shared" si="14"/>
        <v>SUR</v>
      </c>
    </row>
    <row r="18" spans="1:24" x14ac:dyDescent="0.3">
      <c r="A18" s="5" t="s">
        <v>96</v>
      </c>
      <c r="B18" s="2" t="s">
        <v>97</v>
      </c>
      <c r="C18" s="2" t="s">
        <v>9</v>
      </c>
      <c r="D18" s="2" t="s">
        <v>98</v>
      </c>
      <c r="E18" s="2" t="s">
        <v>99</v>
      </c>
      <c r="F18" s="2" t="s">
        <v>100</v>
      </c>
      <c r="G18" s="6" t="s">
        <v>13</v>
      </c>
      <c r="H18" s="2"/>
      <c r="I18" s="15" t="str">
        <f t="shared" si="0"/>
        <v>Shweta Gaikwad</v>
      </c>
      <c r="J18" s="3" t="str">
        <f t="shared" si="1"/>
        <v>HR</v>
      </c>
      <c r="K18" s="3" t="str">
        <f t="shared" si="2"/>
        <v>Hr Intern</v>
      </c>
      <c r="L18" s="3" t="str">
        <f t="shared" si="3"/>
        <v>shwetagaikwad@companycom</v>
      </c>
      <c r="M18" s="3" t="str">
        <f t="shared" si="4"/>
        <v>+91 9987112998</v>
      </c>
      <c r="N18" s="3" t="str">
        <f t="shared" si="5"/>
        <v>PUNE</v>
      </c>
      <c r="O18" s="3" t="str">
        <f>SUBSTITUTE(CLEAN(TRIM(D18)),"  "," ")</f>
        <v>HR intern</v>
      </c>
      <c r="P18" s="3" t="str">
        <f t="shared" si="6"/>
        <v>Shweta</v>
      </c>
      <c r="Q18" s="3" t="str">
        <f t="shared" si="7"/>
        <v>Gaikwad</v>
      </c>
      <c r="R18" s="3" t="str">
        <f t="shared" si="8"/>
        <v>HR</v>
      </c>
      <c r="S18" s="3" t="str">
        <f t="shared" si="9"/>
        <v>2998</v>
      </c>
      <c r="T18" s="3" t="str">
        <f t="shared" si="10"/>
        <v>shwetagaikwad</v>
      </c>
      <c r="U18" s="3" t="str">
        <f t="shared" si="11"/>
        <v>Shweta Gaikwad</v>
      </c>
      <c r="V18" s="3" t="str">
        <f t="shared" si="12"/>
        <v>Shweta Gaikwad</v>
      </c>
      <c r="W18" s="3" t="str">
        <f t="shared" si="13"/>
        <v>SG2998</v>
      </c>
      <c r="X18" s="16" t="str">
        <f t="shared" si="14"/>
        <v>PUN</v>
      </c>
    </row>
    <row r="19" spans="1:24" x14ac:dyDescent="0.3">
      <c r="A19" s="5" t="s">
        <v>101</v>
      </c>
      <c r="B19" s="2" t="s">
        <v>102</v>
      </c>
      <c r="C19" s="2" t="s">
        <v>16</v>
      </c>
      <c r="D19" s="2" t="s">
        <v>103</v>
      </c>
      <c r="E19" s="2" t="s">
        <v>104</v>
      </c>
      <c r="F19" s="2" t="s">
        <v>105</v>
      </c>
      <c r="G19" s="6" t="s">
        <v>20</v>
      </c>
      <c r="H19" s="2"/>
      <c r="I19" s="15" t="str">
        <f t="shared" si="0"/>
        <v>Nikhil Patil</v>
      </c>
      <c r="J19" s="3" t="str">
        <f t="shared" si="1"/>
        <v>SALES</v>
      </c>
      <c r="K19" s="3" t="str">
        <f t="shared" si="2"/>
        <v>Sales Manager</v>
      </c>
      <c r="L19" s="3" t="str">
        <f t="shared" si="3"/>
        <v>nikhilpatil@companycom</v>
      </c>
      <c r="M19" s="3" t="str">
        <f t="shared" si="4"/>
        <v>+91 9823880456</v>
      </c>
      <c r="N19" s="3" t="str">
        <f t="shared" si="5"/>
        <v>MUMBAI</v>
      </c>
      <c r="O19" s="3" t="str">
        <f>SUBSTITUTE(CLEAN(TRIM(D19)),"  "," ")</f>
        <v>Sales Manager</v>
      </c>
      <c r="P19" s="3" t="str">
        <f t="shared" si="6"/>
        <v>Nikhil</v>
      </c>
      <c r="Q19" s="3" t="str">
        <f t="shared" si="7"/>
        <v>Patil</v>
      </c>
      <c r="R19" s="3" t="str">
        <f t="shared" si="8"/>
        <v>SAL</v>
      </c>
      <c r="S19" s="3" t="str">
        <f t="shared" si="9"/>
        <v>0456</v>
      </c>
      <c r="T19" s="3" t="str">
        <f t="shared" si="10"/>
        <v>nikhilpatil</v>
      </c>
      <c r="U19" s="3" t="str">
        <f t="shared" si="11"/>
        <v>Nikhil Patil</v>
      </c>
      <c r="V19" s="3" t="str">
        <f t="shared" si="12"/>
        <v>Nikhil Patil</v>
      </c>
      <c r="W19" s="3" t="str">
        <f t="shared" si="13"/>
        <v>NP0456</v>
      </c>
      <c r="X19" s="16" t="str">
        <f t="shared" si="14"/>
        <v>MUM</v>
      </c>
    </row>
    <row r="20" spans="1:24" x14ac:dyDescent="0.3">
      <c r="A20" s="5" t="s">
        <v>106</v>
      </c>
      <c r="B20" s="2" t="s">
        <v>107</v>
      </c>
      <c r="C20" s="2" t="s">
        <v>42</v>
      </c>
      <c r="D20" s="2" t="s">
        <v>108</v>
      </c>
      <c r="E20" s="2" t="s">
        <v>109</v>
      </c>
      <c r="F20" s="2" t="s">
        <v>110</v>
      </c>
      <c r="G20" s="6" t="s">
        <v>62</v>
      </c>
      <c r="H20" s="2"/>
      <c r="I20" s="15" t="str">
        <f t="shared" si="0"/>
        <v>Aarti Joshi</v>
      </c>
      <c r="J20" s="3" t="str">
        <f t="shared" si="1"/>
        <v>FINANCE</v>
      </c>
      <c r="K20" s="3" t="str">
        <f t="shared" si="2"/>
        <v>Asst. Accountant</v>
      </c>
      <c r="L20" s="3" t="str">
        <f t="shared" si="3"/>
        <v>aartijoshi@companycom</v>
      </c>
      <c r="M20" s="3" t="str">
        <f t="shared" si="4"/>
        <v>+91 9900776211</v>
      </c>
      <c r="N20" s="3" t="str">
        <f t="shared" si="5"/>
        <v>NAGPUR</v>
      </c>
      <c r="O20" s="3" t="str">
        <f>SUBSTITUTE(CLEAN(TRIM(D20)),"  "," ")</f>
        <v>Asst. Accountant</v>
      </c>
      <c r="P20" s="3" t="str">
        <f t="shared" si="6"/>
        <v>Aarti</v>
      </c>
      <c r="Q20" s="3" t="str">
        <f t="shared" si="7"/>
        <v>Joshi</v>
      </c>
      <c r="R20" s="3" t="str">
        <f t="shared" si="8"/>
        <v>FIN</v>
      </c>
      <c r="S20" s="3" t="str">
        <f t="shared" si="9"/>
        <v>6211</v>
      </c>
      <c r="T20" s="3" t="str">
        <f t="shared" si="10"/>
        <v>aartijoshi</v>
      </c>
      <c r="U20" s="3" t="str">
        <f t="shared" si="11"/>
        <v>Aarti Joshi</v>
      </c>
      <c r="V20" s="3" t="str">
        <f t="shared" si="12"/>
        <v>Aarti Joshi</v>
      </c>
      <c r="W20" s="3" t="str">
        <f t="shared" si="13"/>
        <v>AJ6211</v>
      </c>
      <c r="X20" s="16" t="str">
        <f t="shared" si="14"/>
        <v>NAG</v>
      </c>
    </row>
    <row r="21" spans="1:24" x14ac:dyDescent="0.3">
      <c r="A21" s="5" t="s">
        <v>111</v>
      </c>
      <c r="B21" s="2" t="s">
        <v>112</v>
      </c>
      <c r="C21" s="2" t="s">
        <v>35</v>
      </c>
      <c r="D21" s="2" t="s">
        <v>113</v>
      </c>
      <c r="E21" s="2" t="s">
        <v>114</v>
      </c>
      <c r="F21" s="2" t="s">
        <v>115</v>
      </c>
      <c r="G21" s="6" t="s">
        <v>51</v>
      </c>
      <c r="H21" s="2"/>
      <c r="I21" s="15" t="str">
        <f t="shared" si="0"/>
        <v>Deepak Jain</v>
      </c>
      <c r="J21" s="3" t="str">
        <f t="shared" si="1"/>
        <v>IT</v>
      </c>
      <c r="K21" s="3" t="str">
        <f t="shared" si="2"/>
        <v>Network Engineer</v>
      </c>
      <c r="L21" s="3" t="str">
        <f t="shared" si="3"/>
        <v>deepakjain@companycom</v>
      </c>
      <c r="M21" s="3" t="str">
        <f t="shared" si="4"/>
        <v>+91 9822003411</v>
      </c>
      <c r="N21" s="3" t="str">
        <f t="shared" si="5"/>
        <v>CHENNAI</v>
      </c>
      <c r="O21" s="3" t="str">
        <f>SUBSTITUTE(CLEAN(TRIM(D21)),"  "," ")</f>
        <v>Network Engineer</v>
      </c>
      <c r="P21" s="3" t="str">
        <f t="shared" si="6"/>
        <v>Deepak</v>
      </c>
      <c r="Q21" s="3" t="str">
        <f t="shared" si="7"/>
        <v>Jain</v>
      </c>
      <c r="R21" s="3" t="str">
        <f t="shared" si="8"/>
        <v>IT</v>
      </c>
      <c r="S21" s="3" t="str">
        <f t="shared" si="9"/>
        <v>3411</v>
      </c>
      <c r="T21" s="3" t="str">
        <f t="shared" si="10"/>
        <v>deepakjain</v>
      </c>
      <c r="U21" s="3" t="str">
        <f t="shared" si="11"/>
        <v>Deepak Jain</v>
      </c>
      <c r="V21" s="3" t="str">
        <f t="shared" si="12"/>
        <v>Deepak Jain</v>
      </c>
      <c r="W21" s="3" t="str">
        <f t="shared" si="13"/>
        <v>DJ3411</v>
      </c>
      <c r="X21" s="16" t="str">
        <f t="shared" si="14"/>
        <v>CHE</v>
      </c>
    </row>
    <row r="22" spans="1:24" x14ac:dyDescent="0.3">
      <c r="A22" s="5" t="s">
        <v>116</v>
      </c>
      <c r="B22" s="2" t="s">
        <v>117</v>
      </c>
      <c r="C22" s="2" t="s">
        <v>23</v>
      </c>
      <c r="D22" s="2" t="s">
        <v>118</v>
      </c>
      <c r="E22" s="2" t="s">
        <v>119</v>
      </c>
      <c r="F22" s="2" t="s">
        <v>120</v>
      </c>
      <c r="G22" s="6" t="s">
        <v>13</v>
      </c>
      <c r="H22" s="2"/>
      <c r="I22" s="15" t="str">
        <f t="shared" si="0"/>
        <v>Kavita More</v>
      </c>
      <c r="J22" s="3" t="str">
        <f t="shared" si="1"/>
        <v>MARKETING</v>
      </c>
      <c r="K22" s="3" t="str">
        <f t="shared" si="2"/>
        <v>Social Media Lead</v>
      </c>
      <c r="L22" s="3" t="str">
        <f t="shared" si="3"/>
        <v>kavitamore@companycom</v>
      </c>
      <c r="M22" s="3" t="str">
        <f t="shared" si="4"/>
        <v>+91 9811332200</v>
      </c>
      <c r="N22" s="3" t="str">
        <f t="shared" si="5"/>
        <v>PUNE</v>
      </c>
      <c r="O22" s="3" t="str">
        <f>SUBSTITUTE(CLEAN(TRIM(D22)),"  "," ")</f>
        <v>Social Media Lead</v>
      </c>
      <c r="P22" s="3" t="str">
        <f t="shared" si="6"/>
        <v>Kavita</v>
      </c>
      <c r="Q22" s="3" t="str">
        <f t="shared" si="7"/>
        <v>More</v>
      </c>
      <c r="R22" s="3" t="str">
        <f t="shared" si="8"/>
        <v>MAR</v>
      </c>
      <c r="S22" s="3" t="str">
        <f t="shared" si="9"/>
        <v>2200</v>
      </c>
      <c r="T22" s="3" t="str">
        <f t="shared" si="10"/>
        <v>kavitamore</v>
      </c>
      <c r="U22" s="3" t="str">
        <f t="shared" si="11"/>
        <v>Kavita More</v>
      </c>
      <c r="V22" s="3" t="str">
        <f t="shared" si="12"/>
        <v>Kavita More</v>
      </c>
      <c r="W22" s="3" t="str">
        <f t="shared" si="13"/>
        <v>KM2200</v>
      </c>
      <c r="X22" s="16" t="str">
        <f t="shared" si="14"/>
        <v>PUN</v>
      </c>
    </row>
    <row r="23" spans="1:24" x14ac:dyDescent="0.3">
      <c r="A23" s="5" t="s">
        <v>121</v>
      </c>
      <c r="B23" s="2" t="s">
        <v>122</v>
      </c>
      <c r="C23" s="2" t="s">
        <v>16</v>
      </c>
      <c r="D23" s="2" t="s">
        <v>123</v>
      </c>
      <c r="E23" s="2" t="s">
        <v>124</v>
      </c>
      <c r="F23" s="2" t="s">
        <v>125</v>
      </c>
      <c r="G23" s="6" t="s">
        <v>95</v>
      </c>
      <c r="H23" s="2"/>
      <c r="I23" s="15" t="str">
        <f t="shared" si="0"/>
        <v>Gaurav Shah</v>
      </c>
      <c r="J23" s="3" t="str">
        <f t="shared" si="1"/>
        <v>SALES</v>
      </c>
      <c r="K23" s="3" t="str">
        <f t="shared" si="2"/>
        <v>Territory Manager</v>
      </c>
      <c r="L23" s="3" t="str">
        <f t="shared" si="3"/>
        <v>gauravshah@companycom</v>
      </c>
      <c r="M23" s="3" t="str">
        <f t="shared" si="4"/>
        <v>+91 9833882100</v>
      </c>
      <c r="N23" s="3" t="str">
        <f t="shared" si="5"/>
        <v>SURAT</v>
      </c>
      <c r="O23" s="3" t="str">
        <f>SUBSTITUTE(CLEAN(TRIM(D23)),"  "," ")</f>
        <v>Territory Manager</v>
      </c>
      <c r="P23" s="3" t="str">
        <f t="shared" si="6"/>
        <v>Gaurav</v>
      </c>
      <c r="Q23" s="3" t="str">
        <f t="shared" si="7"/>
        <v>Shah</v>
      </c>
      <c r="R23" s="3" t="str">
        <f t="shared" si="8"/>
        <v>SAL</v>
      </c>
      <c r="S23" s="3" t="str">
        <f t="shared" si="9"/>
        <v>2100</v>
      </c>
      <c r="T23" s="3" t="str">
        <f t="shared" si="10"/>
        <v>gauravshah</v>
      </c>
      <c r="U23" s="3" t="str">
        <f t="shared" si="11"/>
        <v>Gaurav Shah</v>
      </c>
      <c r="V23" s="3" t="str">
        <f t="shared" si="12"/>
        <v>Gaurav Shah</v>
      </c>
      <c r="W23" s="3" t="str">
        <f t="shared" si="13"/>
        <v>GS2100</v>
      </c>
      <c r="X23" s="16" t="str">
        <f t="shared" si="14"/>
        <v>SUR</v>
      </c>
    </row>
    <row r="24" spans="1:24" x14ac:dyDescent="0.3">
      <c r="A24" s="5" t="s">
        <v>126</v>
      </c>
      <c r="B24" s="2" t="s">
        <v>127</v>
      </c>
      <c r="C24" s="2" t="s">
        <v>9</v>
      </c>
      <c r="D24" s="2" t="s">
        <v>128</v>
      </c>
      <c r="E24" s="2" t="s">
        <v>129</v>
      </c>
      <c r="F24" s="2" t="s">
        <v>130</v>
      </c>
      <c r="G24" s="6" t="s">
        <v>56</v>
      </c>
      <c r="H24" s="2"/>
      <c r="I24" s="15" t="str">
        <f t="shared" si="0"/>
        <v>Kiran Khanna</v>
      </c>
      <c r="J24" s="3" t="str">
        <f t="shared" si="1"/>
        <v>HR</v>
      </c>
      <c r="K24" s="3" t="str">
        <f t="shared" si="2"/>
        <v>Hr Trainee</v>
      </c>
      <c r="L24" s="3" t="str">
        <f t="shared" si="3"/>
        <v>kirankhanna@companycom</v>
      </c>
      <c r="M24" s="3" t="str">
        <f t="shared" si="4"/>
        <v>+91 9811556002</v>
      </c>
      <c r="N24" s="3" t="str">
        <f t="shared" si="5"/>
        <v>NASHIK</v>
      </c>
      <c r="O24" s="3" t="str">
        <f>SUBSTITUTE(CLEAN(TRIM(D24)),"  "," ")</f>
        <v>HR Trainee</v>
      </c>
      <c r="P24" s="3" t="str">
        <f t="shared" si="6"/>
        <v>Kiran</v>
      </c>
      <c r="Q24" s="3" t="str">
        <f t="shared" si="7"/>
        <v>Khanna</v>
      </c>
      <c r="R24" s="3" t="str">
        <f t="shared" si="8"/>
        <v>HR</v>
      </c>
      <c r="S24" s="3" t="str">
        <f t="shared" si="9"/>
        <v>6002</v>
      </c>
      <c r="T24" s="3" t="str">
        <f t="shared" si="10"/>
        <v>kirankhanna</v>
      </c>
      <c r="U24" s="3" t="str">
        <f t="shared" si="11"/>
        <v>Kiran Khanna</v>
      </c>
      <c r="V24" s="3" t="str">
        <f t="shared" si="12"/>
        <v>Kiran Khanna</v>
      </c>
      <c r="W24" s="3" t="str">
        <f t="shared" si="13"/>
        <v>KK6002</v>
      </c>
      <c r="X24" s="16" t="str">
        <f t="shared" si="14"/>
        <v>NAS</v>
      </c>
    </row>
    <row r="25" spans="1:24" x14ac:dyDescent="0.3">
      <c r="A25" s="5" t="s">
        <v>131</v>
      </c>
      <c r="B25" s="2" t="s">
        <v>132</v>
      </c>
      <c r="C25" s="2" t="s">
        <v>35</v>
      </c>
      <c r="D25" s="2" t="s">
        <v>133</v>
      </c>
      <c r="E25" s="2" t="s">
        <v>134</v>
      </c>
      <c r="F25" s="2" t="s">
        <v>135</v>
      </c>
      <c r="G25" s="6" t="s">
        <v>13</v>
      </c>
      <c r="H25" s="2"/>
      <c r="I25" s="15" t="str">
        <f t="shared" si="0"/>
        <v>Rohit Pawar</v>
      </c>
      <c r="J25" s="3" t="str">
        <f t="shared" si="1"/>
        <v>IT</v>
      </c>
      <c r="K25" s="3" t="str">
        <f t="shared" si="2"/>
        <v>Software Tester</v>
      </c>
      <c r="L25" s="3" t="str">
        <f t="shared" si="3"/>
        <v>rohitpawar@companycom</v>
      </c>
      <c r="M25" s="3" t="str">
        <f t="shared" si="4"/>
        <v>+91 9912777889</v>
      </c>
      <c r="N25" s="3" t="str">
        <f t="shared" si="5"/>
        <v>PUNE</v>
      </c>
      <c r="O25" s="3" t="str">
        <f>SUBSTITUTE(CLEAN(TRIM(D25)),"  "," ")</f>
        <v>Software Tester</v>
      </c>
      <c r="P25" s="3" t="str">
        <f t="shared" si="6"/>
        <v>Rohit</v>
      </c>
      <c r="Q25" s="3" t="str">
        <f t="shared" si="7"/>
        <v>Pawar</v>
      </c>
      <c r="R25" s="3" t="str">
        <f t="shared" si="8"/>
        <v>IT</v>
      </c>
      <c r="S25" s="3" t="str">
        <f t="shared" si="9"/>
        <v>7889</v>
      </c>
      <c r="T25" s="3" t="str">
        <f t="shared" si="10"/>
        <v>rohitpawar</v>
      </c>
      <c r="U25" s="3" t="str">
        <f t="shared" si="11"/>
        <v>Rohit Pawar</v>
      </c>
      <c r="V25" s="3" t="str">
        <f t="shared" si="12"/>
        <v>Rohit Pawar</v>
      </c>
      <c r="W25" s="3" t="str">
        <f t="shared" si="13"/>
        <v>RP7889</v>
      </c>
      <c r="X25" s="16" t="str">
        <f t="shared" si="14"/>
        <v>PUN</v>
      </c>
    </row>
    <row r="26" spans="1:24" x14ac:dyDescent="0.3">
      <c r="A26" s="5" t="s">
        <v>136</v>
      </c>
      <c r="B26" s="2" t="s">
        <v>137</v>
      </c>
      <c r="C26" s="2" t="s">
        <v>42</v>
      </c>
      <c r="D26" s="2" t="s">
        <v>138</v>
      </c>
      <c r="E26" s="2" t="s">
        <v>139</v>
      </c>
      <c r="F26" s="2" t="s">
        <v>140</v>
      </c>
      <c r="G26" s="6" t="s">
        <v>20</v>
      </c>
      <c r="H26" s="2"/>
      <c r="I26" s="15" t="str">
        <f t="shared" si="0"/>
        <v>Shruti Deshmukh</v>
      </c>
      <c r="J26" s="3" t="str">
        <f t="shared" si="1"/>
        <v>FINANCE</v>
      </c>
      <c r="K26" s="3" t="str">
        <f t="shared" si="2"/>
        <v>Senior Accountant</v>
      </c>
      <c r="L26" s="3" t="str">
        <f t="shared" si="3"/>
        <v>shrutideshmukh@companycom</v>
      </c>
      <c r="M26" s="3" t="str">
        <f t="shared" si="4"/>
        <v>+91 9876665112</v>
      </c>
      <c r="N26" s="3" t="str">
        <f t="shared" si="5"/>
        <v>MUMBAI</v>
      </c>
      <c r="O26" s="3" t="str">
        <f>SUBSTITUTE(CLEAN(TRIM(D26)),"  "," ")</f>
        <v>Senior Accountant</v>
      </c>
      <c r="P26" s="3" t="str">
        <f t="shared" si="6"/>
        <v>Shruti</v>
      </c>
      <c r="Q26" s="3" t="str">
        <f t="shared" si="7"/>
        <v>Deshmukh</v>
      </c>
      <c r="R26" s="3" t="str">
        <f t="shared" si="8"/>
        <v>FIN</v>
      </c>
      <c r="S26" s="3" t="str">
        <f t="shared" si="9"/>
        <v>5112</v>
      </c>
      <c r="T26" s="3" t="str">
        <f t="shared" si="10"/>
        <v>shrutideshmukh</v>
      </c>
      <c r="U26" s="3" t="str">
        <f t="shared" si="11"/>
        <v>Shruti Deshmukh</v>
      </c>
      <c r="V26" s="3" t="str">
        <f t="shared" si="12"/>
        <v>Shruti Deshmukh</v>
      </c>
      <c r="W26" s="3" t="str">
        <f t="shared" si="13"/>
        <v>SD5112</v>
      </c>
      <c r="X26" s="16" t="str">
        <f t="shared" si="14"/>
        <v>MUM</v>
      </c>
    </row>
    <row r="27" spans="1:24" x14ac:dyDescent="0.3">
      <c r="A27" s="5" t="s">
        <v>141</v>
      </c>
      <c r="B27" s="2" t="s">
        <v>142</v>
      </c>
      <c r="C27" s="2" t="s">
        <v>9</v>
      </c>
      <c r="D27" s="2" t="s">
        <v>70</v>
      </c>
      <c r="E27" s="2" t="s">
        <v>143</v>
      </c>
      <c r="F27" s="2" t="s">
        <v>144</v>
      </c>
      <c r="G27" s="6" t="s">
        <v>13</v>
      </c>
      <c r="H27" s="2"/>
      <c r="I27" s="15" t="str">
        <f t="shared" si="0"/>
        <v>Meena Rane</v>
      </c>
      <c r="J27" s="3" t="str">
        <f t="shared" si="1"/>
        <v>HR</v>
      </c>
      <c r="K27" s="3" t="str">
        <f t="shared" si="2"/>
        <v>Hr Assistant</v>
      </c>
      <c r="L27" s="3" t="str">
        <f t="shared" si="3"/>
        <v>meenarane@companycom</v>
      </c>
      <c r="M27" s="3" t="str">
        <f t="shared" si="4"/>
        <v>+91 9812441331</v>
      </c>
      <c r="N27" s="3" t="str">
        <f t="shared" si="5"/>
        <v>PUNE</v>
      </c>
      <c r="O27" s="3" t="str">
        <f>SUBSTITUTE(CLEAN(TRIM(D27)),"  "," ")</f>
        <v>HR Assistant</v>
      </c>
      <c r="P27" s="3" t="str">
        <f t="shared" si="6"/>
        <v>Meena</v>
      </c>
      <c r="Q27" s="3" t="str">
        <f t="shared" si="7"/>
        <v>Rane</v>
      </c>
      <c r="R27" s="3" t="str">
        <f t="shared" si="8"/>
        <v>HR</v>
      </c>
      <c r="S27" s="3" t="str">
        <f t="shared" si="9"/>
        <v>1331</v>
      </c>
      <c r="T27" s="3" t="str">
        <f t="shared" si="10"/>
        <v>meenarane</v>
      </c>
      <c r="U27" s="3" t="str">
        <f t="shared" si="11"/>
        <v>Meena Rane</v>
      </c>
      <c r="V27" s="3" t="str">
        <f t="shared" si="12"/>
        <v>Meena Rane</v>
      </c>
      <c r="W27" s="3" t="str">
        <f t="shared" si="13"/>
        <v>MR1331</v>
      </c>
      <c r="X27" s="16" t="str">
        <f t="shared" si="14"/>
        <v>PUN</v>
      </c>
    </row>
    <row r="28" spans="1:24" x14ac:dyDescent="0.3">
      <c r="A28" s="5" t="s">
        <v>145</v>
      </c>
      <c r="B28" s="2" t="s">
        <v>146</v>
      </c>
      <c r="C28" s="2" t="s">
        <v>35</v>
      </c>
      <c r="D28" s="2" t="s">
        <v>147</v>
      </c>
      <c r="E28" s="2" t="s">
        <v>148</v>
      </c>
      <c r="F28" s="2" t="s">
        <v>149</v>
      </c>
      <c r="G28" s="6" t="s">
        <v>27</v>
      </c>
      <c r="H28" s="2"/>
      <c r="I28" s="15" t="str">
        <f t="shared" si="0"/>
        <v>Vinay Shukla</v>
      </c>
      <c r="J28" s="3" t="str">
        <f t="shared" si="1"/>
        <v>IT</v>
      </c>
      <c r="K28" s="3" t="str">
        <f t="shared" si="2"/>
        <v>Database Admin</v>
      </c>
      <c r="L28" s="3" t="str">
        <f t="shared" si="3"/>
        <v>vinayshukla@companycom</v>
      </c>
      <c r="M28" s="3" t="str">
        <f t="shared" si="4"/>
        <v>+91 9834002211</v>
      </c>
      <c r="N28" s="3" t="str">
        <f t="shared" si="5"/>
        <v>DELHI</v>
      </c>
      <c r="O28" s="3" t="str">
        <f>SUBSTITUTE(CLEAN(TRIM(D28)),"  "," ")</f>
        <v>Database Admin</v>
      </c>
      <c r="P28" s="3" t="str">
        <f t="shared" si="6"/>
        <v>Vinay</v>
      </c>
      <c r="Q28" s="3" t="str">
        <f t="shared" si="7"/>
        <v>Shukla</v>
      </c>
      <c r="R28" s="3" t="str">
        <f t="shared" si="8"/>
        <v>IT</v>
      </c>
      <c r="S28" s="3" t="str">
        <f t="shared" si="9"/>
        <v>2211</v>
      </c>
      <c r="T28" s="3" t="str">
        <f t="shared" si="10"/>
        <v>vinayshukla</v>
      </c>
      <c r="U28" s="3" t="str">
        <f t="shared" si="11"/>
        <v>Vinay Shukla</v>
      </c>
      <c r="V28" s="3" t="str">
        <f t="shared" si="12"/>
        <v>Vinay Shukla</v>
      </c>
      <c r="W28" s="3" t="str">
        <f t="shared" si="13"/>
        <v>VS2211</v>
      </c>
      <c r="X28" s="16" t="str">
        <f t="shared" si="14"/>
        <v>DEL</v>
      </c>
    </row>
    <row r="29" spans="1:24" x14ac:dyDescent="0.3">
      <c r="A29" s="5" t="s">
        <v>150</v>
      </c>
      <c r="B29" s="2" t="s">
        <v>151</v>
      </c>
      <c r="C29" s="2" t="s">
        <v>23</v>
      </c>
      <c r="D29" s="2" t="s">
        <v>152</v>
      </c>
      <c r="E29" s="2" t="s">
        <v>153</v>
      </c>
      <c r="F29" s="2" t="s">
        <v>154</v>
      </c>
      <c r="G29" s="6" t="s">
        <v>62</v>
      </c>
      <c r="H29" s="2"/>
      <c r="I29" s="15" t="str">
        <f t="shared" si="0"/>
        <v>Rajesh Jadhav</v>
      </c>
      <c r="J29" s="3" t="str">
        <f t="shared" si="1"/>
        <v>MARKETING</v>
      </c>
      <c r="K29" s="3" t="str">
        <f t="shared" si="2"/>
        <v>Campaign Lead</v>
      </c>
      <c r="L29" s="3" t="str">
        <f t="shared" si="3"/>
        <v>rajeshjadhav@companycom</v>
      </c>
      <c r="M29" s="3" t="str">
        <f t="shared" si="4"/>
        <v>+91 9983776411</v>
      </c>
      <c r="N29" s="3" t="str">
        <f t="shared" si="5"/>
        <v>NAGPUR</v>
      </c>
      <c r="O29" s="3" t="str">
        <f>SUBSTITUTE(CLEAN(TRIM(D29)),"  "," ")</f>
        <v>Campaign Lead</v>
      </c>
      <c r="P29" s="3" t="str">
        <f t="shared" si="6"/>
        <v>Rajesh</v>
      </c>
      <c r="Q29" s="3" t="str">
        <f t="shared" si="7"/>
        <v>Jadhav</v>
      </c>
      <c r="R29" s="3" t="str">
        <f t="shared" si="8"/>
        <v>MAR</v>
      </c>
      <c r="S29" s="3" t="str">
        <f t="shared" si="9"/>
        <v>6411</v>
      </c>
      <c r="T29" s="3" t="str">
        <f t="shared" si="10"/>
        <v>rajeshjadhav</v>
      </c>
      <c r="U29" s="3" t="str">
        <f t="shared" si="11"/>
        <v>Rajesh Jadhav</v>
      </c>
      <c r="V29" s="3" t="str">
        <f t="shared" si="12"/>
        <v>Rajesh Jadhav</v>
      </c>
      <c r="W29" s="3" t="str">
        <f t="shared" si="13"/>
        <v>RJ6411</v>
      </c>
      <c r="X29" s="16" t="str">
        <f t="shared" si="14"/>
        <v>NAG</v>
      </c>
    </row>
    <row r="30" spans="1:24" x14ac:dyDescent="0.3">
      <c r="A30" s="5" t="s">
        <v>155</v>
      </c>
      <c r="B30" s="2" t="s">
        <v>156</v>
      </c>
      <c r="C30" s="2" t="s">
        <v>16</v>
      </c>
      <c r="D30" s="2" t="s">
        <v>157</v>
      </c>
      <c r="E30" s="2" t="s">
        <v>158</v>
      </c>
      <c r="F30" s="2" t="s">
        <v>159</v>
      </c>
      <c r="G30" s="6" t="s">
        <v>20</v>
      </c>
      <c r="H30" s="2"/>
      <c r="I30" s="15" t="str">
        <f t="shared" si="0"/>
        <v>Anjali Naik</v>
      </c>
      <c r="J30" s="3" t="str">
        <f t="shared" si="1"/>
        <v>SALES</v>
      </c>
      <c r="K30" s="3" t="str">
        <f t="shared" si="2"/>
        <v>Sales Intern</v>
      </c>
      <c r="L30" s="3" t="str">
        <f t="shared" si="3"/>
        <v>anjalinaik@companycom</v>
      </c>
      <c r="M30" s="3" t="str">
        <f t="shared" si="4"/>
        <v>+91 9811331200</v>
      </c>
      <c r="N30" s="3" t="str">
        <f t="shared" si="5"/>
        <v>MUMBAI</v>
      </c>
      <c r="O30" s="3" t="str">
        <f>SUBSTITUTE(CLEAN(TRIM(D30)),"  "," ")</f>
        <v>Sales Intern</v>
      </c>
      <c r="P30" s="3" t="str">
        <f t="shared" si="6"/>
        <v>Anjali</v>
      </c>
      <c r="Q30" s="3" t="str">
        <f t="shared" si="7"/>
        <v>Naik</v>
      </c>
      <c r="R30" s="3" t="str">
        <f t="shared" si="8"/>
        <v>SAL</v>
      </c>
      <c r="S30" s="3" t="str">
        <f t="shared" si="9"/>
        <v>1200</v>
      </c>
      <c r="T30" s="3" t="str">
        <f t="shared" si="10"/>
        <v>anjalinaik</v>
      </c>
      <c r="U30" s="3" t="str">
        <f t="shared" si="11"/>
        <v>Anjali Naik</v>
      </c>
      <c r="V30" s="3" t="str">
        <f t="shared" si="12"/>
        <v>Anjali Naik</v>
      </c>
      <c r="W30" s="3" t="str">
        <f t="shared" si="13"/>
        <v>AN1200</v>
      </c>
      <c r="X30" s="16" t="str">
        <f t="shared" si="14"/>
        <v>MUM</v>
      </c>
    </row>
    <row r="31" spans="1:24" x14ac:dyDescent="0.3">
      <c r="A31" s="5" t="s">
        <v>160</v>
      </c>
      <c r="B31" s="2" t="s">
        <v>161</v>
      </c>
      <c r="C31" s="2" t="s">
        <v>9</v>
      </c>
      <c r="D31" s="2" t="s">
        <v>30</v>
      </c>
      <c r="E31" s="2" t="s">
        <v>162</v>
      </c>
      <c r="F31" s="2" t="s">
        <v>163</v>
      </c>
      <c r="G31" s="6" t="s">
        <v>13</v>
      </c>
      <c r="H31" s="2"/>
      <c r="I31" s="15" t="str">
        <f t="shared" si="0"/>
        <v>Yash Patil</v>
      </c>
      <c r="J31" s="3" t="str">
        <f t="shared" si="1"/>
        <v>HR</v>
      </c>
      <c r="K31" s="3" t="str">
        <f t="shared" si="2"/>
        <v>Recruiter</v>
      </c>
      <c r="L31" s="3" t="str">
        <f t="shared" si="3"/>
        <v>yashpatil@companycom</v>
      </c>
      <c r="M31" s="3" t="str">
        <f t="shared" si="4"/>
        <v>+91 9987003299</v>
      </c>
      <c r="N31" s="3" t="str">
        <f t="shared" si="5"/>
        <v>PUNE</v>
      </c>
      <c r="O31" s="3" t="str">
        <f>SUBSTITUTE(CLEAN(TRIM(D31)),"  "," ")</f>
        <v>Recruiter</v>
      </c>
      <c r="P31" s="3" t="str">
        <f t="shared" si="6"/>
        <v>Yash</v>
      </c>
      <c r="Q31" s="3" t="str">
        <f t="shared" si="7"/>
        <v>Patil</v>
      </c>
      <c r="R31" s="3" t="str">
        <f t="shared" si="8"/>
        <v>HR</v>
      </c>
      <c r="S31" s="3" t="str">
        <f t="shared" si="9"/>
        <v>3299</v>
      </c>
      <c r="T31" s="3" t="str">
        <f t="shared" si="10"/>
        <v>yashpatil</v>
      </c>
      <c r="U31" s="3" t="str">
        <f t="shared" si="11"/>
        <v>Yash Patil</v>
      </c>
      <c r="V31" s="3" t="str">
        <f t="shared" si="12"/>
        <v>Yash Patil</v>
      </c>
      <c r="W31" s="3" t="str">
        <f t="shared" si="13"/>
        <v>YP3299</v>
      </c>
      <c r="X31" s="16" t="str">
        <f t="shared" si="14"/>
        <v>PUN</v>
      </c>
    </row>
    <row r="32" spans="1:24" x14ac:dyDescent="0.3">
      <c r="A32" s="5" t="s">
        <v>164</v>
      </c>
      <c r="B32" s="2" t="s">
        <v>165</v>
      </c>
      <c r="C32" s="2" t="s">
        <v>42</v>
      </c>
      <c r="D32" s="2" t="s">
        <v>166</v>
      </c>
      <c r="E32" s="2" t="s">
        <v>167</v>
      </c>
      <c r="F32" s="2" t="s">
        <v>168</v>
      </c>
      <c r="G32" s="6" t="s">
        <v>95</v>
      </c>
      <c r="H32" s="2"/>
      <c r="I32" s="15" t="str">
        <f t="shared" si="0"/>
        <v>Monika Singh</v>
      </c>
      <c r="J32" s="3" t="str">
        <f t="shared" si="1"/>
        <v>FINANCE</v>
      </c>
      <c r="K32" s="3" t="str">
        <f t="shared" si="2"/>
        <v>Tax Executive</v>
      </c>
      <c r="L32" s="3" t="str">
        <f t="shared" si="3"/>
        <v>monikasingh@companycom</v>
      </c>
      <c r="M32" s="3" t="str">
        <f t="shared" si="4"/>
        <v>+91 9823100771</v>
      </c>
      <c r="N32" s="3" t="str">
        <f t="shared" si="5"/>
        <v>SURAT</v>
      </c>
      <c r="O32" s="3" t="str">
        <f>SUBSTITUTE(CLEAN(TRIM(D32)),"  "," ")</f>
        <v>Tax Executive</v>
      </c>
      <c r="P32" s="3" t="str">
        <f t="shared" si="6"/>
        <v>Monika</v>
      </c>
      <c r="Q32" s="3" t="str">
        <f t="shared" si="7"/>
        <v>Singh</v>
      </c>
      <c r="R32" s="3" t="str">
        <f t="shared" si="8"/>
        <v>FIN</v>
      </c>
      <c r="S32" s="3" t="str">
        <f t="shared" si="9"/>
        <v>0771</v>
      </c>
      <c r="T32" s="3" t="str">
        <f t="shared" si="10"/>
        <v>monikasingh</v>
      </c>
      <c r="U32" s="3" t="str">
        <f t="shared" si="11"/>
        <v>Monika Singh</v>
      </c>
      <c r="V32" s="3" t="str">
        <f t="shared" si="12"/>
        <v>Monika Singh</v>
      </c>
      <c r="W32" s="3" t="str">
        <f t="shared" si="13"/>
        <v>MS0771</v>
      </c>
      <c r="X32" s="16" t="str">
        <f t="shared" si="14"/>
        <v>SUR</v>
      </c>
    </row>
    <row r="33" spans="1:24" x14ac:dyDescent="0.3">
      <c r="A33" s="5" t="s">
        <v>169</v>
      </c>
      <c r="B33" s="2" t="s">
        <v>170</v>
      </c>
      <c r="C33" s="2" t="s">
        <v>35</v>
      </c>
      <c r="D33" s="2" t="s">
        <v>48</v>
      </c>
      <c r="E33" s="2" t="s">
        <v>171</v>
      </c>
      <c r="F33" s="2" t="s">
        <v>172</v>
      </c>
      <c r="G33" s="6" t="s">
        <v>39</v>
      </c>
      <c r="H33" s="2"/>
      <c r="I33" s="15" t="str">
        <f t="shared" si="0"/>
        <v>Suraj Khan</v>
      </c>
      <c r="J33" s="3" t="str">
        <f t="shared" si="1"/>
        <v>IT</v>
      </c>
      <c r="K33" s="3" t="str">
        <f t="shared" si="2"/>
        <v>Developer</v>
      </c>
      <c r="L33" s="3" t="str">
        <f t="shared" si="3"/>
        <v>surajkhan@companycom</v>
      </c>
      <c r="M33" s="3" t="str">
        <f t="shared" si="4"/>
        <v>+91 9966223200</v>
      </c>
      <c r="N33" s="3" t="str">
        <f t="shared" si="5"/>
        <v>BANGALORE</v>
      </c>
      <c r="O33" s="3" t="str">
        <f>SUBSTITUTE(CLEAN(TRIM(D33)),"  "," ")</f>
        <v>Developer</v>
      </c>
      <c r="P33" s="3" t="str">
        <f t="shared" si="6"/>
        <v>Suraj</v>
      </c>
      <c r="Q33" s="3" t="str">
        <f t="shared" si="7"/>
        <v>Khan</v>
      </c>
      <c r="R33" s="3" t="str">
        <f t="shared" si="8"/>
        <v>IT</v>
      </c>
      <c r="S33" s="3" t="str">
        <f t="shared" si="9"/>
        <v>3200</v>
      </c>
      <c r="T33" s="3" t="str">
        <f t="shared" si="10"/>
        <v>surajkhan</v>
      </c>
      <c r="U33" s="3" t="str">
        <f t="shared" si="11"/>
        <v>Suraj Khan</v>
      </c>
      <c r="V33" s="3" t="str">
        <f t="shared" si="12"/>
        <v>Suraj Khan</v>
      </c>
      <c r="W33" s="3" t="str">
        <f t="shared" si="13"/>
        <v>SK3200</v>
      </c>
      <c r="X33" s="16" t="str">
        <f t="shared" si="14"/>
        <v>BAN</v>
      </c>
    </row>
    <row r="34" spans="1:24" x14ac:dyDescent="0.3">
      <c r="A34" s="5" t="s">
        <v>173</v>
      </c>
      <c r="B34" s="2" t="s">
        <v>174</v>
      </c>
      <c r="C34" s="2" t="s">
        <v>23</v>
      </c>
      <c r="D34" s="2" t="s">
        <v>175</v>
      </c>
      <c r="E34" s="2" t="s">
        <v>176</v>
      </c>
      <c r="F34" s="2" t="s">
        <v>177</v>
      </c>
      <c r="G34" s="6" t="s">
        <v>13</v>
      </c>
      <c r="H34" s="2"/>
      <c r="I34" s="15" t="str">
        <f t="shared" si="0"/>
        <v>Manoj Kale</v>
      </c>
      <c r="J34" s="3" t="str">
        <f t="shared" si="1"/>
        <v>MARKETING</v>
      </c>
      <c r="K34" s="3" t="str">
        <f t="shared" si="2"/>
        <v>Marketing Manager</v>
      </c>
      <c r="L34" s="3" t="str">
        <f t="shared" si="3"/>
        <v>manojkale@companycom</v>
      </c>
      <c r="M34" s="3" t="str">
        <f t="shared" si="4"/>
        <v>+91 9821998100</v>
      </c>
      <c r="N34" s="3" t="str">
        <f t="shared" si="5"/>
        <v>PUNE</v>
      </c>
      <c r="O34" s="3" t="str">
        <f>SUBSTITUTE(CLEAN(TRIM(D34)),"  "," ")</f>
        <v>Marketing Manager</v>
      </c>
      <c r="P34" s="3" t="str">
        <f t="shared" si="6"/>
        <v>Manoj</v>
      </c>
      <c r="Q34" s="3" t="str">
        <f t="shared" si="7"/>
        <v>Kale</v>
      </c>
      <c r="R34" s="3" t="str">
        <f t="shared" si="8"/>
        <v>MAR</v>
      </c>
      <c r="S34" s="3" t="str">
        <f t="shared" si="9"/>
        <v>8100</v>
      </c>
      <c r="T34" s="3" t="str">
        <f t="shared" si="10"/>
        <v>manojkale</v>
      </c>
      <c r="U34" s="3" t="str">
        <f t="shared" si="11"/>
        <v>Manoj Kale</v>
      </c>
      <c r="V34" s="3" t="str">
        <f t="shared" si="12"/>
        <v>Manoj Kale</v>
      </c>
      <c r="W34" s="3" t="str">
        <f t="shared" si="13"/>
        <v>MK8100</v>
      </c>
      <c r="X34" s="16" t="str">
        <f t="shared" si="14"/>
        <v>PUN</v>
      </c>
    </row>
    <row r="35" spans="1:24" x14ac:dyDescent="0.3">
      <c r="A35" s="5" t="s">
        <v>178</v>
      </c>
      <c r="B35" s="2" t="s">
        <v>179</v>
      </c>
      <c r="C35" s="2" t="s">
        <v>42</v>
      </c>
      <c r="D35" s="2" t="s">
        <v>180</v>
      </c>
      <c r="E35" s="2" t="s">
        <v>181</v>
      </c>
      <c r="F35" s="2" t="s">
        <v>182</v>
      </c>
      <c r="G35" s="6" t="s">
        <v>20</v>
      </c>
      <c r="H35" s="2"/>
      <c r="I35" s="15" t="str">
        <f t="shared" si="0"/>
        <v>Trupti Joshi</v>
      </c>
      <c r="J35" s="3" t="str">
        <f t="shared" si="1"/>
        <v>FINANCE</v>
      </c>
      <c r="K35" s="3" t="str">
        <f t="shared" si="2"/>
        <v>Auditor</v>
      </c>
      <c r="L35" s="3" t="str">
        <f t="shared" si="3"/>
        <v>truptijoshi@companycom</v>
      </c>
      <c r="M35" s="3" t="str">
        <f t="shared" si="4"/>
        <v>+91 9988332889</v>
      </c>
      <c r="N35" s="3" t="str">
        <f t="shared" si="5"/>
        <v>MUMBAI</v>
      </c>
      <c r="O35" s="3" t="str">
        <f>SUBSTITUTE(CLEAN(TRIM(D35)),"  "," ")</f>
        <v>Auditor</v>
      </c>
      <c r="P35" s="3" t="str">
        <f t="shared" si="6"/>
        <v>Trupti</v>
      </c>
      <c r="Q35" s="3" t="str">
        <f t="shared" si="7"/>
        <v>Joshi</v>
      </c>
      <c r="R35" s="3" t="str">
        <f t="shared" si="8"/>
        <v>FIN</v>
      </c>
      <c r="S35" s="3" t="str">
        <f t="shared" si="9"/>
        <v>2889</v>
      </c>
      <c r="T35" s="3" t="str">
        <f t="shared" si="10"/>
        <v>truptijoshi</v>
      </c>
      <c r="U35" s="3" t="str">
        <f t="shared" si="11"/>
        <v>Trupti Joshi</v>
      </c>
      <c r="V35" s="3" t="str">
        <f t="shared" si="12"/>
        <v>Trupti Joshi</v>
      </c>
      <c r="W35" s="3" t="str">
        <f t="shared" si="13"/>
        <v>TJ2889</v>
      </c>
      <c r="X35" s="16" t="str">
        <f t="shared" si="14"/>
        <v>MUM</v>
      </c>
    </row>
    <row r="36" spans="1:24" x14ac:dyDescent="0.3">
      <c r="A36" s="5" t="s">
        <v>183</v>
      </c>
      <c r="B36" s="2" t="s">
        <v>184</v>
      </c>
      <c r="C36" s="2" t="s">
        <v>16</v>
      </c>
      <c r="D36" s="2" t="s">
        <v>185</v>
      </c>
      <c r="E36" s="2" t="s">
        <v>186</v>
      </c>
      <c r="F36" s="2" t="s">
        <v>187</v>
      </c>
      <c r="G36" s="6" t="s">
        <v>27</v>
      </c>
      <c r="H36" s="2"/>
      <c r="I36" s="15" t="str">
        <f t="shared" si="0"/>
        <v>Arun Chavan</v>
      </c>
      <c r="J36" s="3" t="str">
        <f t="shared" si="1"/>
        <v>SALES</v>
      </c>
      <c r="K36" s="3" t="str">
        <f t="shared" si="2"/>
        <v>Sales Lead</v>
      </c>
      <c r="L36" s="3" t="str">
        <f t="shared" si="3"/>
        <v>arunchavan@companycom</v>
      </c>
      <c r="M36" s="3" t="str">
        <f t="shared" si="4"/>
        <v>+91 9823887990</v>
      </c>
      <c r="N36" s="3" t="str">
        <f t="shared" si="5"/>
        <v>DELHI</v>
      </c>
      <c r="O36" s="3" t="str">
        <f>SUBSTITUTE(CLEAN(TRIM(D36)),"  "," ")</f>
        <v>Sales Lead</v>
      </c>
      <c r="P36" s="3" t="str">
        <f t="shared" si="6"/>
        <v>Arun</v>
      </c>
      <c r="Q36" s="3" t="str">
        <f t="shared" si="7"/>
        <v>Chavan</v>
      </c>
      <c r="R36" s="3" t="str">
        <f t="shared" si="8"/>
        <v>SAL</v>
      </c>
      <c r="S36" s="3" t="str">
        <f t="shared" si="9"/>
        <v>7990</v>
      </c>
      <c r="T36" s="3" t="str">
        <f t="shared" si="10"/>
        <v>arunchavan</v>
      </c>
      <c r="U36" s="3" t="str">
        <f t="shared" si="11"/>
        <v>Arun Chavan</v>
      </c>
      <c r="V36" s="3" t="str">
        <f t="shared" si="12"/>
        <v>Arun Chavan</v>
      </c>
      <c r="W36" s="3" t="str">
        <f t="shared" si="13"/>
        <v>AC7990</v>
      </c>
      <c r="X36" s="16" t="str">
        <f t="shared" si="14"/>
        <v>DEL</v>
      </c>
    </row>
    <row r="37" spans="1:24" x14ac:dyDescent="0.3">
      <c r="A37" s="5" t="s">
        <v>188</v>
      </c>
      <c r="B37" s="2" t="s">
        <v>189</v>
      </c>
      <c r="C37" s="2" t="s">
        <v>9</v>
      </c>
      <c r="D37" s="2" t="s">
        <v>190</v>
      </c>
      <c r="E37" s="2" t="s">
        <v>191</v>
      </c>
      <c r="F37" s="2" t="s">
        <v>192</v>
      </c>
      <c r="G37" s="6" t="s">
        <v>13</v>
      </c>
      <c r="H37" s="2"/>
      <c r="I37" s="15" t="str">
        <f t="shared" si="0"/>
        <v>Snehal Pawar</v>
      </c>
      <c r="J37" s="3" t="str">
        <f t="shared" si="1"/>
        <v>HR</v>
      </c>
      <c r="K37" s="3" t="str">
        <f t="shared" si="2"/>
        <v>Hr Analyst</v>
      </c>
      <c r="L37" s="3" t="str">
        <f t="shared" si="3"/>
        <v>snehalpawar@companycom</v>
      </c>
      <c r="M37" s="3" t="str">
        <f t="shared" si="4"/>
        <v>+91 9911221888</v>
      </c>
      <c r="N37" s="3" t="str">
        <f t="shared" si="5"/>
        <v>PUNE</v>
      </c>
      <c r="O37" s="3" t="str">
        <f>SUBSTITUTE(CLEAN(TRIM(D37)),"  "," ")</f>
        <v>HR Analyst</v>
      </c>
      <c r="P37" s="3" t="str">
        <f t="shared" si="6"/>
        <v>Snehal</v>
      </c>
      <c r="Q37" s="3" t="str">
        <f t="shared" si="7"/>
        <v>Pawar</v>
      </c>
      <c r="R37" s="3" t="str">
        <f t="shared" si="8"/>
        <v>HR</v>
      </c>
      <c r="S37" s="3" t="str">
        <f t="shared" si="9"/>
        <v>1888</v>
      </c>
      <c r="T37" s="3" t="str">
        <f t="shared" si="10"/>
        <v>snehalpawar</v>
      </c>
      <c r="U37" s="3" t="str">
        <f t="shared" si="11"/>
        <v>Snehal Pawar</v>
      </c>
      <c r="V37" s="3" t="str">
        <f t="shared" si="12"/>
        <v>Snehal Pawar</v>
      </c>
      <c r="W37" s="3" t="str">
        <f t="shared" si="13"/>
        <v>SP1888</v>
      </c>
      <c r="X37" s="16" t="str">
        <f t="shared" si="14"/>
        <v>PUN</v>
      </c>
    </row>
    <row r="38" spans="1:24" x14ac:dyDescent="0.3">
      <c r="A38" s="5" t="s">
        <v>193</v>
      </c>
      <c r="B38" s="2" t="s">
        <v>194</v>
      </c>
      <c r="C38" s="2" t="s">
        <v>23</v>
      </c>
      <c r="D38" s="2" t="s">
        <v>195</v>
      </c>
      <c r="E38" s="2" t="s">
        <v>196</v>
      </c>
      <c r="F38" s="2" t="s">
        <v>197</v>
      </c>
      <c r="G38" s="6" t="s">
        <v>62</v>
      </c>
      <c r="H38" s="2"/>
      <c r="I38" s="15" t="str">
        <f t="shared" si="0"/>
        <v>Tejas Gaikwad</v>
      </c>
      <c r="J38" s="3" t="str">
        <f t="shared" si="1"/>
        <v>MARKETING</v>
      </c>
      <c r="K38" s="3" t="str">
        <f t="shared" si="2"/>
        <v>Brand Manager</v>
      </c>
      <c r="L38" s="3" t="str">
        <f t="shared" si="3"/>
        <v>tejasgaikwad@companycom</v>
      </c>
      <c r="M38" s="3" t="str">
        <f t="shared" si="4"/>
        <v>+91 9823665200</v>
      </c>
      <c r="N38" s="3" t="str">
        <f t="shared" si="5"/>
        <v>NAGPUR</v>
      </c>
      <c r="O38" s="3" t="str">
        <f>SUBSTITUTE(CLEAN(TRIM(D38)),"  "," ")</f>
        <v>Brand Manager</v>
      </c>
      <c r="P38" s="3" t="str">
        <f t="shared" si="6"/>
        <v>Tejas</v>
      </c>
      <c r="Q38" s="3" t="str">
        <f t="shared" si="7"/>
        <v>Gaikwad</v>
      </c>
      <c r="R38" s="3" t="str">
        <f t="shared" si="8"/>
        <v>MAR</v>
      </c>
      <c r="S38" s="3" t="str">
        <f t="shared" si="9"/>
        <v>5200</v>
      </c>
      <c r="T38" s="3" t="str">
        <f t="shared" si="10"/>
        <v>tejasgaikwad</v>
      </c>
      <c r="U38" s="3" t="str">
        <f t="shared" si="11"/>
        <v>Tejas Gaikwad</v>
      </c>
      <c r="V38" s="3" t="str">
        <f t="shared" si="12"/>
        <v>Tejas Gaikwad</v>
      </c>
      <c r="W38" s="3" t="str">
        <f t="shared" si="13"/>
        <v>TG5200</v>
      </c>
      <c r="X38" s="16" t="str">
        <f t="shared" si="14"/>
        <v>NAG</v>
      </c>
    </row>
    <row r="39" spans="1:24" x14ac:dyDescent="0.3">
      <c r="A39" s="5" t="s">
        <v>198</v>
      </c>
      <c r="B39" s="2" t="s">
        <v>199</v>
      </c>
      <c r="C39" s="2" t="s">
        <v>42</v>
      </c>
      <c r="D39" s="2" t="s">
        <v>200</v>
      </c>
      <c r="E39" s="2" t="s">
        <v>201</v>
      </c>
      <c r="F39" s="2" t="s">
        <v>202</v>
      </c>
      <c r="G39" s="6" t="s">
        <v>20</v>
      </c>
      <c r="H39" s="2"/>
      <c r="I39" s="15" t="str">
        <f t="shared" si="0"/>
        <v>Divya Thakur</v>
      </c>
      <c r="J39" s="3" t="str">
        <f t="shared" si="1"/>
        <v>FINANCE</v>
      </c>
      <c r="K39" s="3" t="str">
        <f t="shared" si="2"/>
        <v>Junior Accountant</v>
      </c>
      <c r="L39" s="3" t="str">
        <f t="shared" si="3"/>
        <v>divyathakur@companycom</v>
      </c>
      <c r="M39" s="3" t="str">
        <f t="shared" si="4"/>
        <v>+91 9988111990</v>
      </c>
      <c r="N39" s="3" t="str">
        <f t="shared" si="5"/>
        <v>MUMBAI</v>
      </c>
      <c r="O39" s="3" t="str">
        <f>SUBSTITUTE(CLEAN(TRIM(D39)),"  "," ")</f>
        <v>Junior Accountant</v>
      </c>
      <c r="P39" s="3" t="str">
        <f t="shared" si="6"/>
        <v>Divya</v>
      </c>
      <c r="Q39" s="3" t="str">
        <f t="shared" si="7"/>
        <v>Thakur</v>
      </c>
      <c r="R39" s="3" t="str">
        <f t="shared" si="8"/>
        <v>FIN</v>
      </c>
      <c r="S39" s="3" t="str">
        <f t="shared" si="9"/>
        <v>1990</v>
      </c>
      <c r="T39" s="3" t="str">
        <f t="shared" si="10"/>
        <v>divyathakur</v>
      </c>
      <c r="U39" s="3" t="str">
        <f t="shared" si="11"/>
        <v>Divya Thakur</v>
      </c>
      <c r="V39" s="3" t="str">
        <f t="shared" si="12"/>
        <v>Divya Thakur</v>
      </c>
      <c r="W39" s="3" t="str">
        <f t="shared" si="13"/>
        <v>DT1990</v>
      </c>
      <c r="X39" s="16" t="str">
        <f t="shared" si="14"/>
        <v>MUM</v>
      </c>
    </row>
    <row r="40" spans="1:24" x14ac:dyDescent="0.3">
      <c r="A40" s="5" t="s">
        <v>203</v>
      </c>
      <c r="B40" s="2" t="s">
        <v>204</v>
      </c>
      <c r="C40" s="2" t="s">
        <v>35</v>
      </c>
      <c r="D40" s="2" t="s">
        <v>205</v>
      </c>
      <c r="E40" s="2" t="s">
        <v>206</v>
      </c>
      <c r="F40" s="2" t="s">
        <v>207</v>
      </c>
      <c r="G40" s="6" t="s">
        <v>51</v>
      </c>
      <c r="H40" s="2"/>
      <c r="I40" s="15" t="str">
        <f t="shared" si="0"/>
        <v>Ravi Khandelwal</v>
      </c>
      <c r="J40" s="3" t="str">
        <f t="shared" si="1"/>
        <v>IT</v>
      </c>
      <c r="K40" s="3" t="str">
        <f t="shared" si="2"/>
        <v>App Developer</v>
      </c>
      <c r="L40" s="3" t="str">
        <f t="shared" si="3"/>
        <v>ravikhandelwal@companycom</v>
      </c>
      <c r="M40" s="3" t="str">
        <f t="shared" si="4"/>
        <v>+91 9811223919</v>
      </c>
      <c r="N40" s="3" t="str">
        <f t="shared" si="5"/>
        <v>CHENNAI</v>
      </c>
      <c r="O40" s="3" t="str">
        <f>SUBSTITUTE(CLEAN(TRIM(D40)),"  "," ")</f>
        <v>App Developer</v>
      </c>
      <c r="P40" s="3" t="str">
        <f t="shared" si="6"/>
        <v>Ravi</v>
      </c>
      <c r="Q40" s="3" t="str">
        <f t="shared" si="7"/>
        <v>Khandelwal</v>
      </c>
      <c r="R40" s="3" t="str">
        <f t="shared" si="8"/>
        <v>IT</v>
      </c>
      <c r="S40" s="3" t="str">
        <f t="shared" si="9"/>
        <v>3919</v>
      </c>
      <c r="T40" s="3" t="str">
        <f t="shared" si="10"/>
        <v>ravikhandelwal</v>
      </c>
      <c r="U40" s="3" t="str">
        <f t="shared" si="11"/>
        <v>Ravi Khandelwal</v>
      </c>
      <c r="V40" s="3" t="str">
        <f t="shared" si="12"/>
        <v>Ravi Khandelwal</v>
      </c>
      <c r="W40" s="3" t="str">
        <f t="shared" si="13"/>
        <v>RK3919</v>
      </c>
      <c r="X40" s="16" t="str">
        <f t="shared" si="14"/>
        <v>CHE</v>
      </c>
    </row>
    <row r="41" spans="1:24" x14ac:dyDescent="0.3">
      <c r="A41" s="5" t="s">
        <v>208</v>
      </c>
      <c r="B41" s="2" t="s">
        <v>209</v>
      </c>
      <c r="C41" s="2" t="s">
        <v>16</v>
      </c>
      <c r="D41" s="2" t="s">
        <v>210</v>
      </c>
      <c r="E41" s="2" t="s">
        <v>211</v>
      </c>
      <c r="F41" s="2" t="s">
        <v>212</v>
      </c>
      <c r="G41" s="6" t="s">
        <v>27</v>
      </c>
      <c r="H41" s="2"/>
      <c r="I41" s="15" t="str">
        <f t="shared" si="0"/>
        <v>Priya Soni</v>
      </c>
      <c r="J41" s="3" t="str">
        <f t="shared" si="1"/>
        <v>SALES</v>
      </c>
      <c r="K41" s="3" t="str">
        <f t="shared" si="2"/>
        <v>Sr. Sales Executive</v>
      </c>
      <c r="L41" s="3" t="str">
        <f t="shared" si="3"/>
        <v>priyasoni@companycom</v>
      </c>
      <c r="M41" s="3" t="str">
        <f t="shared" si="4"/>
        <v>+91 9822440221</v>
      </c>
      <c r="N41" s="3" t="str">
        <f t="shared" si="5"/>
        <v>DELHI</v>
      </c>
      <c r="O41" s="3" t="str">
        <f>SUBSTITUTE(CLEAN(TRIM(D41)),"  "," ")</f>
        <v>Sr. Sales Executive</v>
      </c>
      <c r="P41" s="3" t="str">
        <f t="shared" si="6"/>
        <v>Priya</v>
      </c>
      <c r="Q41" s="3" t="str">
        <f t="shared" si="7"/>
        <v>Soni</v>
      </c>
      <c r="R41" s="3" t="str">
        <f t="shared" si="8"/>
        <v>SAL</v>
      </c>
      <c r="S41" s="3" t="str">
        <f t="shared" si="9"/>
        <v>0221</v>
      </c>
      <c r="T41" s="3" t="str">
        <f t="shared" si="10"/>
        <v>priyasoni</v>
      </c>
      <c r="U41" s="3" t="str">
        <f t="shared" si="11"/>
        <v>Priya Soni</v>
      </c>
      <c r="V41" s="3" t="str">
        <f t="shared" si="12"/>
        <v>Priya Soni</v>
      </c>
      <c r="W41" s="3" t="str">
        <f t="shared" si="13"/>
        <v>PS0221</v>
      </c>
      <c r="X41" s="16" t="str">
        <f t="shared" si="14"/>
        <v>DEL</v>
      </c>
    </row>
    <row r="42" spans="1:24" x14ac:dyDescent="0.3">
      <c r="A42" s="5" t="s">
        <v>213</v>
      </c>
      <c r="B42" s="2" t="s">
        <v>214</v>
      </c>
      <c r="C42" s="2" t="s">
        <v>42</v>
      </c>
      <c r="D42" s="2" t="s">
        <v>215</v>
      </c>
      <c r="E42" s="2" t="s">
        <v>216</v>
      </c>
      <c r="F42" s="2" t="s">
        <v>217</v>
      </c>
      <c r="G42" s="6" t="s">
        <v>20</v>
      </c>
      <c r="H42" s="2"/>
      <c r="I42" s="15" t="str">
        <f t="shared" si="0"/>
        <v>Harsh Patil</v>
      </c>
      <c r="J42" s="3" t="str">
        <f t="shared" si="1"/>
        <v>FINANCE</v>
      </c>
      <c r="K42" s="3" t="str">
        <f t="shared" si="2"/>
        <v>Finance Manager</v>
      </c>
      <c r="L42" s="3" t="str">
        <f t="shared" si="3"/>
        <v>harshpatil@companycom</v>
      </c>
      <c r="M42" s="3" t="str">
        <f t="shared" si="4"/>
        <v>+91 9833990771</v>
      </c>
      <c r="N42" s="3" t="str">
        <f t="shared" si="5"/>
        <v>MUMBAI</v>
      </c>
      <c r="O42" s="3" t="str">
        <f>SUBSTITUTE(CLEAN(TRIM(D42)),"  "," ")</f>
        <v>Finance Manager</v>
      </c>
      <c r="P42" s="3" t="str">
        <f t="shared" si="6"/>
        <v>Harsh</v>
      </c>
      <c r="Q42" s="3" t="str">
        <f t="shared" si="7"/>
        <v>Patil</v>
      </c>
      <c r="R42" s="3" t="str">
        <f t="shared" si="8"/>
        <v>FIN</v>
      </c>
      <c r="S42" s="3" t="str">
        <f t="shared" si="9"/>
        <v>0771</v>
      </c>
      <c r="T42" s="3" t="str">
        <f t="shared" si="10"/>
        <v>harshpatil</v>
      </c>
      <c r="U42" s="3" t="str">
        <f t="shared" si="11"/>
        <v>Harsh Patil</v>
      </c>
      <c r="V42" s="3" t="str">
        <f t="shared" si="12"/>
        <v>Harsh Patil</v>
      </c>
      <c r="W42" s="3" t="str">
        <f t="shared" si="13"/>
        <v>HP0771</v>
      </c>
      <c r="X42" s="16" t="str">
        <f t="shared" si="14"/>
        <v>MUM</v>
      </c>
    </row>
    <row r="43" spans="1:24" x14ac:dyDescent="0.3">
      <c r="A43" s="5" t="s">
        <v>218</v>
      </c>
      <c r="B43" s="2" t="s">
        <v>219</v>
      </c>
      <c r="C43" s="2" t="s">
        <v>35</v>
      </c>
      <c r="D43" s="2" t="s">
        <v>220</v>
      </c>
      <c r="E43" s="2" t="s">
        <v>221</v>
      </c>
      <c r="F43" s="2" t="s">
        <v>222</v>
      </c>
      <c r="G43" s="6" t="s">
        <v>13</v>
      </c>
      <c r="H43" s="2"/>
      <c r="I43" s="15" t="str">
        <f t="shared" si="0"/>
        <v>Samir Kamble</v>
      </c>
      <c r="J43" s="3" t="str">
        <f t="shared" si="1"/>
        <v>IT</v>
      </c>
      <c r="K43" s="3" t="str">
        <f t="shared" si="2"/>
        <v>Support Engineer</v>
      </c>
      <c r="L43" s="3" t="str">
        <f t="shared" si="3"/>
        <v>samirkamble@companycom</v>
      </c>
      <c r="M43" s="3" t="str">
        <f t="shared" si="4"/>
        <v>+91 9922110334</v>
      </c>
      <c r="N43" s="3" t="str">
        <f t="shared" si="5"/>
        <v>PUNE</v>
      </c>
      <c r="O43" s="3" t="str">
        <f>SUBSTITUTE(CLEAN(TRIM(D43)),"  "," ")</f>
        <v>Support Engineer</v>
      </c>
      <c r="P43" s="3" t="str">
        <f t="shared" si="6"/>
        <v>Samir</v>
      </c>
      <c r="Q43" s="3" t="str">
        <f t="shared" si="7"/>
        <v>Kamble</v>
      </c>
      <c r="R43" s="3" t="str">
        <f t="shared" si="8"/>
        <v>IT</v>
      </c>
      <c r="S43" s="3" t="str">
        <f t="shared" si="9"/>
        <v>0334</v>
      </c>
      <c r="T43" s="3" t="str">
        <f t="shared" si="10"/>
        <v>samirkamble</v>
      </c>
      <c r="U43" s="3" t="str">
        <f t="shared" si="11"/>
        <v>Samir Kamble</v>
      </c>
      <c r="V43" s="3" t="str">
        <f t="shared" si="12"/>
        <v>Samir Kamble</v>
      </c>
      <c r="W43" s="3" t="str">
        <f t="shared" si="13"/>
        <v>SK0334</v>
      </c>
      <c r="X43" s="16" t="str">
        <f t="shared" si="14"/>
        <v>PUN</v>
      </c>
    </row>
    <row r="44" spans="1:24" x14ac:dyDescent="0.3">
      <c r="A44" s="5" t="s">
        <v>223</v>
      </c>
      <c r="B44" s="2" t="s">
        <v>224</v>
      </c>
      <c r="C44" s="2" t="s">
        <v>9</v>
      </c>
      <c r="D44" s="2" t="s">
        <v>225</v>
      </c>
      <c r="E44" s="2" t="s">
        <v>226</v>
      </c>
      <c r="F44" s="2" t="s">
        <v>227</v>
      </c>
      <c r="G44" s="6" t="s">
        <v>56</v>
      </c>
      <c r="H44" s="2"/>
      <c r="I44" s="15" t="str">
        <f t="shared" si="0"/>
        <v>Aditi Pawar</v>
      </c>
      <c r="J44" s="3" t="str">
        <f t="shared" si="1"/>
        <v>HR</v>
      </c>
      <c r="K44" s="3" t="str">
        <f t="shared" si="2"/>
        <v>Hr Recruiter</v>
      </c>
      <c r="L44" s="3" t="str">
        <f t="shared" si="3"/>
        <v>aditipawar@companycom</v>
      </c>
      <c r="M44" s="3" t="str">
        <f t="shared" si="4"/>
        <v>+91 9811777228</v>
      </c>
      <c r="N44" s="3" t="str">
        <f t="shared" si="5"/>
        <v>NASHIK</v>
      </c>
      <c r="O44" s="3" t="str">
        <f>SUBSTITUTE(CLEAN(TRIM(D44)),"  "," ")</f>
        <v>HR Recruiter</v>
      </c>
      <c r="P44" s="3" t="str">
        <f t="shared" si="6"/>
        <v>Aditi</v>
      </c>
      <c r="Q44" s="3" t="str">
        <f t="shared" si="7"/>
        <v>Pawar</v>
      </c>
      <c r="R44" s="3" t="str">
        <f t="shared" si="8"/>
        <v>HR</v>
      </c>
      <c r="S44" s="3" t="str">
        <f t="shared" si="9"/>
        <v>7228</v>
      </c>
      <c r="T44" s="3" t="str">
        <f t="shared" si="10"/>
        <v>aditipawar</v>
      </c>
      <c r="U44" s="3" t="str">
        <f t="shared" si="11"/>
        <v>Aditi Pawar</v>
      </c>
      <c r="V44" s="3" t="str">
        <f t="shared" si="12"/>
        <v>Aditi Pawar</v>
      </c>
      <c r="W44" s="3" t="str">
        <f t="shared" si="13"/>
        <v>AP7228</v>
      </c>
      <c r="X44" s="16" t="str">
        <f t="shared" si="14"/>
        <v>NAS</v>
      </c>
    </row>
    <row r="45" spans="1:24" x14ac:dyDescent="0.3">
      <c r="A45" s="5" t="s">
        <v>228</v>
      </c>
      <c r="B45" s="2" t="s">
        <v>229</v>
      </c>
      <c r="C45" s="2" t="s">
        <v>42</v>
      </c>
      <c r="D45" s="2" t="s">
        <v>230</v>
      </c>
      <c r="E45" s="2" t="s">
        <v>231</v>
      </c>
      <c r="F45" s="2" t="s">
        <v>232</v>
      </c>
      <c r="G45" s="6" t="s">
        <v>95</v>
      </c>
      <c r="H45" s="2"/>
      <c r="I45" s="15" t="str">
        <f t="shared" si="0"/>
        <v>Naina Joshi</v>
      </c>
      <c r="J45" s="3" t="str">
        <f t="shared" si="1"/>
        <v>FINANCE</v>
      </c>
      <c r="K45" s="3" t="str">
        <f t="shared" si="2"/>
        <v>Payroll Assistant</v>
      </c>
      <c r="L45" s="3" t="str">
        <f t="shared" si="3"/>
        <v>nainajoshi@companycom</v>
      </c>
      <c r="M45" s="3" t="str">
        <f t="shared" si="4"/>
        <v>+91 9822555772</v>
      </c>
      <c r="N45" s="3" t="str">
        <f t="shared" si="5"/>
        <v>SURAT</v>
      </c>
      <c r="O45" s="3" t="str">
        <f>SUBSTITUTE(CLEAN(TRIM(D45)),"  "," ")</f>
        <v>Payroll Assistant</v>
      </c>
      <c r="P45" s="3" t="str">
        <f t="shared" si="6"/>
        <v>Naina</v>
      </c>
      <c r="Q45" s="3" t="str">
        <f t="shared" si="7"/>
        <v>Joshi</v>
      </c>
      <c r="R45" s="3" t="str">
        <f t="shared" si="8"/>
        <v>FIN</v>
      </c>
      <c r="S45" s="3" t="str">
        <f t="shared" si="9"/>
        <v>5772</v>
      </c>
      <c r="T45" s="3" t="str">
        <f t="shared" si="10"/>
        <v>nainajoshi</v>
      </c>
      <c r="U45" s="3" t="str">
        <f t="shared" si="11"/>
        <v>Naina Joshi</v>
      </c>
      <c r="V45" s="3" t="str">
        <f t="shared" si="12"/>
        <v>Naina Joshi</v>
      </c>
      <c r="W45" s="3" t="str">
        <f t="shared" si="13"/>
        <v>NJ5772</v>
      </c>
      <c r="X45" s="16" t="str">
        <f t="shared" si="14"/>
        <v>SUR</v>
      </c>
    </row>
    <row r="46" spans="1:24" x14ac:dyDescent="0.3">
      <c r="A46" s="5" t="s">
        <v>233</v>
      </c>
      <c r="B46" s="2" t="s">
        <v>234</v>
      </c>
      <c r="C46" s="2" t="s">
        <v>35</v>
      </c>
      <c r="D46" s="2" t="s">
        <v>235</v>
      </c>
      <c r="E46" s="2" t="s">
        <v>236</v>
      </c>
      <c r="F46" s="2" t="s">
        <v>237</v>
      </c>
      <c r="G46" s="6" t="s">
        <v>39</v>
      </c>
      <c r="H46" s="2"/>
      <c r="I46" s="15" t="str">
        <f t="shared" si="0"/>
        <v>Roshan Singh</v>
      </c>
      <c r="J46" s="3" t="str">
        <f t="shared" si="1"/>
        <v>IT</v>
      </c>
      <c r="K46" s="3" t="str">
        <f t="shared" si="2"/>
        <v>Cloud Engineer</v>
      </c>
      <c r="L46" s="3" t="str">
        <f t="shared" si="3"/>
        <v>roshansingh@companycom</v>
      </c>
      <c r="M46" s="3" t="str">
        <f t="shared" si="4"/>
        <v>+91 9911220556</v>
      </c>
      <c r="N46" s="3" t="str">
        <f t="shared" si="5"/>
        <v>BANGALORE</v>
      </c>
      <c r="O46" s="3" t="str">
        <f>SUBSTITUTE(CLEAN(TRIM(D46)),"  "," ")</f>
        <v>Cloud Engineer</v>
      </c>
      <c r="P46" s="3" t="str">
        <f t="shared" si="6"/>
        <v>Roshan</v>
      </c>
      <c r="Q46" s="3" t="str">
        <f t="shared" si="7"/>
        <v>Singh</v>
      </c>
      <c r="R46" s="3" t="str">
        <f t="shared" si="8"/>
        <v>IT</v>
      </c>
      <c r="S46" s="3" t="str">
        <f t="shared" si="9"/>
        <v>0556</v>
      </c>
      <c r="T46" s="3" t="str">
        <f t="shared" si="10"/>
        <v>roshansingh</v>
      </c>
      <c r="U46" s="3" t="str">
        <f t="shared" si="11"/>
        <v>Roshan Singh</v>
      </c>
      <c r="V46" s="3" t="str">
        <f t="shared" si="12"/>
        <v>Roshan Singh</v>
      </c>
      <c r="W46" s="3" t="str">
        <f t="shared" si="13"/>
        <v>RS0556</v>
      </c>
      <c r="X46" s="16" t="str">
        <f t="shared" si="14"/>
        <v>BAN</v>
      </c>
    </row>
    <row r="47" spans="1:24" x14ac:dyDescent="0.3">
      <c r="A47" s="5" t="s">
        <v>238</v>
      </c>
      <c r="B47" s="2" t="s">
        <v>239</v>
      </c>
      <c r="C47" s="2" t="s">
        <v>23</v>
      </c>
      <c r="D47" s="2" t="s">
        <v>240</v>
      </c>
      <c r="E47" s="2" t="s">
        <v>241</v>
      </c>
      <c r="F47" s="2" t="s">
        <v>242</v>
      </c>
      <c r="G47" s="6" t="s">
        <v>13</v>
      </c>
      <c r="H47" s="2"/>
      <c r="I47" s="15" t="str">
        <f t="shared" si="0"/>
        <v>Tanya Agarwal</v>
      </c>
      <c r="J47" s="3" t="str">
        <f t="shared" si="1"/>
        <v>MARKETING</v>
      </c>
      <c r="K47" s="3" t="str">
        <f t="shared" si="2"/>
        <v>Digital Strategist</v>
      </c>
      <c r="L47" s="3" t="str">
        <f t="shared" si="3"/>
        <v>tanyaagarwal@companycom</v>
      </c>
      <c r="M47" s="3" t="str">
        <f t="shared" si="4"/>
        <v>+91 9987300887</v>
      </c>
      <c r="N47" s="3" t="str">
        <f t="shared" si="5"/>
        <v>PUNE</v>
      </c>
      <c r="O47" s="3" t="str">
        <f>SUBSTITUTE(CLEAN(TRIM(D47)),"  "," ")</f>
        <v>Digital Strategist</v>
      </c>
      <c r="P47" s="3" t="str">
        <f t="shared" si="6"/>
        <v>Tanya</v>
      </c>
      <c r="Q47" s="3" t="str">
        <f t="shared" si="7"/>
        <v>Agarwal</v>
      </c>
      <c r="R47" s="3" t="str">
        <f t="shared" si="8"/>
        <v>MAR</v>
      </c>
      <c r="S47" s="3" t="str">
        <f t="shared" si="9"/>
        <v>0887</v>
      </c>
      <c r="T47" s="3" t="str">
        <f t="shared" si="10"/>
        <v>tanyaagarwal</v>
      </c>
      <c r="U47" s="3" t="str">
        <f t="shared" si="11"/>
        <v>Tanya Agarwal</v>
      </c>
      <c r="V47" s="3" t="str">
        <f t="shared" si="12"/>
        <v>Tanya Agarwal</v>
      </c>
      <c r="W47" s="3" t="str">
        <f t="shared" si="13"/>
        <v>TA0887</v>
      </c>
      <c r="X47" s="16" t="str">
        <f t="shared" si="14"/>
        <v>PUN</v>
      </c>
    </row>
    <row r="48" spans="1:24" x14ac:dyDescent="0.3">
      <c r="A48" s="5" t="s">
        <v>243</v>
      </c>
      <c r="B48" s="2" t="s">
        <v>244</v>
      </c>
      <c r="C48" s="2" t="s">
        <v>16</v>
      </c>
      <c r="D48" s="2" t="s">
        <v>245</v>
      </c>
      <c r="E48" s="2" t="s">
        <v>246</v>
      </c>
      <c r="F48" s="2" t="s">
        <v>247</v>
      </c>
      <c r="G48" s="6" t="s">
        <v>20</v>
      </c>
      <c r="H48" s="2"/>
      <c r="I48" s="15" t="str">
        <f t="shared" si="0"/>
        <v>Amar Patil</v>
      </c>
      <c r="J48" s="3" t="str">
        <f t="shared" si="1"/>
        <v>SALES</v>
      </c>
      <c r="K48" s="3" t="str">
        <f t="shared" si="2"/>
        <v>Sales Executive</v>
      </c>
      <c r="L48" s="3" t="str">
        <f t="shared" si="3"/>
        <v>amarpatil@companycom</v>
      </c>
      <c r="M48" s="3" t="str">
        <f t="shared" si="4"/>
        <v>+91 9911880004</v>
      </c>
      <c r="N48" s="3" t="str">
        <f t="shared" si="5"/>
        <v>MUMBAI</v>
      </c>
      <c r="O48" s="3" t="str">
        <f>SUBSTITUTE(CLEAN(TRIM(D48)),"  "," ")</f>
        <v>Sales Executive</v>
      </c>
      <c r="P48" s="3" t="str">
        <f t="shared" si="6"/>
        <v>Amar</v>
      </c>
      <c r="Q48" s="3" t="str">
        <f t="shared" si="7"/>
        <v>Patil</v>
      </c>
      <c r="R48" s="3" t="str">
        <f t="shared" si="8"/>
        <v>SAL</v>
      </c>
      <c r="S48" s="3" t="str">
        <f t="shared" si="9"/>
        <v>0004</v>
      </c>
      <c r="T48" s="3" t="str">
        <f t="shared" si="10"/>
        <v>amarpatil</v>
      </c>
      <c r="U48" s="3" t="str">
        <f t="shared" si="11"/>
        <v>Amar Patil</v>
      </c>
      <c r="V48" s="3" t="str">
        <f t="shared" si="12"/>
        <v>Amar Patil</v>
      </c>
      <c r="W48" s="3" t="str">
        <f t="shared" si="13"/>
        <v>AP0004</v>
      </c>
      <c r="X48" s="16" t="str">
        <f t="shared" si="14"/>
        <v>MUM</v>
      </c>
    </row>
    <row r="49" spans="1:24" x14ac:dyDescent="0.3">
      <c r="A49" s="5" t="s">
        <v>248</v>
      </c>
      <c r="B49" s="2" t="s">
        <v>249</v>
      </c>
      <c r="C49" s="2" t="s">
        <v>42</v>
      </c>
      <c r="D49" s="2" t="s">
        <v>250</v>
      </c>
      <c r="E49" s="2" t="s">
        <v>251</v>
      </c>
      <c r="F49" s="2" t="s">
        <v>252</v>
      </c>
      <c r="G49" s="6" t="s">
        <v>62</v>
      </c>
      <c r="H49" s="2"/>
      <c r="I49" s="15" t="str">
        <f t="shared" si="0"/>
        <v>Ketan Sharma</v>
      </c>
      <c r="J49" s="3" t="str">
        <f t="shared" si="1"/>
        <v>FINANCE</v>
      </c>
      <c r="K49" s="3" t="str">
        <f t="shared" si="2"/>
        <v>Accounts Officer</v>
      </c>
      <c r="L49" s="3" t="str">
        <f t="shared" si="3"/>
        <v>ketansharma@companycom</v>
      </c>
      <c r="M49" s="3" t="str">
        <f t="shared" si="4"/>
        <v>+91 9822778910</v>
      </c>
      <c r="N49" s="3" t="str">
        <f t="shared" si="5"/>
        <v>NAGPUR</v>
      </c>
      <c r="O49" s="3" t="str">
        <f>SUBSTITUTE(CLEAN(TRIM(D49)),"  "," ")</f>
        <v>Accounts Officer</v>
      </c>
      <c r="P49" s="3" t="str">
        <f t="shared" si="6"/>
        <v>Ketan</v>
      </c>
      <c r="Q49" s="3" t="str">
        <f t="shared" si="7"/>
        <v>Sharma</v>
      </c>
      <c r="R49" s="3" t="str">
        <f t="shared" si="8"/>
        <v>FIN</v>
      </c>
      <c r="S49" s="3" t="str">
        <f t="shared" si="9"/>
        <v>8910</v>
      </c>
      <c r="T49" s="3" t="str">
        <f t="shared" si="10"/>
        <v>ketansharma</v>
      </c>
      <c r="U49" s="3" t="str">
        <f t="shared" si="11"/>
        <v>Ketan Sharma</v>
      </c>
      <c r="V49" s="3" t="str">
        <f t="shared" si="12"/>
        <v>Ketan Sharma</v>
      </c>
      <c r="W49" s="3" t="str">
        <f t="shared" si="13"/>
        <v>KS8910</v>
      </c>
      <c r="X49" s="16" t="str">
        <f t="shared" si="14"/>
        <v>NAG</v>
      </c>
    </row>
    <row r="50" spans="1:24" x14ac:dyDescent="0.3">
      <c r="A50" s="5" t="s">
        <v>253</v>
      </c>
      <c r="B50" s="2" t="s">
        <v>254</v>
      </c>
      <c r="C50" s="2" t="s">
        <v>9</v>
      </c>
      <c r="D50" s="2" t="s">
        <v>255</v>
      </c>
      <c r="E50" s="2" t="s">
        <v>256</v>
      </c>
      <c r="F50" s="2" t="s">
        <v>257</v>
      </c>
      <c r="G50" s="6" t="s">
        <v>13</v>
      </c>
      <c r="H50" s="2"/>
      <c r="I50" s="15" t="str">
        <f t="shared" si="0"/>
        <v>Sangeeta Naik</v>
      </c>
      <c r="J50" s="3" t="str">
        <f t="shared" si="1"/>
        <v>HR</v>
      </c>
      <c r="K50" s="3" t="str">
        <f t="shared" si="2"/>
        <v>Hr Specialist</v>
      </c>
      <c r="L50" s="3" t="str">
        <f t="shared" si="3"/>
        <v>sangeetanaik@companycom</v>
      </c>
      <c r="M50" s="3" t="str">
        <f t="shared" si="4"/>
        <v>+91 9876661112</v>
      </c>
      <c r="N50" s="3" t="str">
        <f t="shared" si="5"/>
        <v>PUNE</v>
      </c>
      <c r="O50" s="3" t="str">
        <f>SUBSTITUTE(CLEAN(TRIM(D50)),"  "," ")</f>
        <v>HR Specialist</v>
      </c>
      <c r="P50" s="3" t="str">
        <f t="shared" si="6"/>
        <v>Sangeeta</v>
      </c>
      <c r="Q50" s="3" t="str">
        <f t="shared" si="7"/>
        <v>Naik</v>
      </c>
      <c r="R50" s="3" t="str">
        <f t="shared" si="8"/>
        <v>HR</v>
      </c>
      <c r="S50" s="3" t="str">
        <f t="shared" si="9"/>
        <v>1112</v>
      </c>
      <c r="T50" s="3" t="str">
        <f t="shared" si="10"/>
        <v>sangeetanaik</v>
      </c>
      <c r="U50" s="3" t="str">
        <f t="shared" si="11"/>
        <v>Sangeeta Naik</v>
      </c>
      <c r="V50" s="3" t="str">
        <f t="shared" si="12"/>
        <v>Sangeeta Naik</v>
      </c>
      <c r="W50" s="3" t="str">
        <f t="shared" si="13"/>
        <v>SN1112</v>
      </c>
      <c r="X50" s="16" t="str">
        <f t="shared" si="14"/>
        <v>PUN</v>
      </c>
    </row>
    <row r="51" spans="1:24" x14ac:dyDescent="0.3">
      <c r="A51" s="5" t="s">
        <v>258</v>
      </c>
      <c r="B51" s="2" t="s">
        <v>259</v>
      </c>
      <c r="C51" s="2" t="s">
        <v>35</v>
      </c>
      <c r="D51" s="2" t="s">
        <v>260</v>
      </c>
      <c r="E51" s="2" t="s">
        <v>261</v>
      </c>
      <c r="F51" s="2" t="s">
        <v>262</v>
      </c>
      <c r="G51" s="6" t="s">
        <v>27</v>
      </c>
      <c r="H51" s="2"/>
      <c r="I51" s="15" t="str">
        <f t="shared" si="0"/>
        <v>Rohit Mehta</v>
      </c>
      <c r="J51" s="3" t="str">
        <f t="shared" si="1"/>
        <v>IT</v>
      </c>
      <c r="K51" s="3" t="str">
        <f t="shared" si="2"/>
        <v>Data Analyst</v>
      </c>
      <c r="L51" s="3" t="str">
        <f t="shared" si="3"/>
        <v>rohitmehta@companycom</v>
      </c>
      <c r="M51" s="3" t="str">
        <f t="shared" si="4"/>
        <v>+91 9811119191</v>
      </c>
      <c r="N51" s="3" t="str">
        <f t="shared" si="5"/>
        <v>DELHI</v>
      </c>
      <c r="O51" s="3" t="str">
        <f>SUBSTITUTE(CLEAN(TRIM(D51)),"  "," ")</f>
        <v>Data Analyst</v>
      </c>
      <c r="P51" s="3" t="str">
        <f t="shared" si="6"/>
        <v>Rohit</v>
      </c>
      <c r="Q51" s="3" t="str">
        <f t="shared" si="7"/>
        <v>Mehta</v>
      </c>
      <c r="R51" s="3" t="str">
        <f t="shared" si="8"/>
        <v>IT</v>
      </c>
      <c r="S51" s="3" t="str">
        <f t="shared" si="9"/>
        <v>9191</v>
      </c>
      <c r="T51" s="3" t="str">
        <f t="shared" si="10"/>
        <v>rohitmehta</v>
      </c>
      <c r="U51" s="3" t="str">
        <f t="shared" si="11"/>
        <v>Rohit Mehta</v>
      </c>
      <c r="V51" s="3" t="str">
        <f t="shared" si="12"/>
        <v>Rohit Mehta</v>
      </c>
      <c r="W51" s="3" t="str">
        <f t="shared" si="13"/>
        <v>RM9191</v>
      </c>
      <c r="X51" s="16" t="str">
        <f t="shared" si="14"/>
        <v>DEL</v>
      </c>
    </row>
    <row r="52" spans="1:24" x14ac:dyDescent="0.3">
      <c r="A52" s="10" t="s">
        <v>263</v>
      </c>
      <c r="B52" s="11" t="s">
        <v>264</v>
      </c>
      <c r="C52" s="11" t="s">
        <v>23</v>
      </c>
      <c r="D52" s="11" t="s">
        <v>265</v>
      </c>
      <c r="E52" s="11" t="s">
        <v>266</v>
      </c>
      <c r="F52" s="11" t="s">
        <v>267</v>
      </c>
      <c r="G52" s="12" t="s">
        <v>20</v>
      </c>
      <c r="H52" s="2"/>
      <c r="I52" s="14" t="str">
        <f t="shared" si="0"/>
        <v>Neelam Shinde</v>
      </c>
      <c r="J52" s="20" t="str">
        <f t="shared" si="1"/>
        <v>MARKETING</v>
      </c>
      <c r="K52" s="20" t="str">
        <f t="shared" si="2"/>
        <v>Brand Designer</v>
      </c>
      <c r="L52" s="20" t="str">
        <f t="shared" si="3"/>
        <v>neelamshinde@companycom</v>
      </c>
      <c r="M52" s="20" t="str">
        <f t="shared" si="4"/>
        <v>+91 9833665432</v>
      </c>
      <c r="N52" s="20" t="str">
        <f t="shared" si="5"/>
        <v>MUMBAI</v>
      </c>
      <c r="O52" s="20" t="str">
        <f>SUBSTITUTE(CLEAN(TRIM(D52)),"  "," ")</f>
        <v>Brand Designer</v>
      </c>
      <c r="P52" s="20" t="str">
        <f t="shared" si="6"/>
        <v>Neelam</v>
      </c>
      <c r="Q52" s="20" t="str">
        <f t="shared" si="7"/>
        <v>Shinde</v>
      </c>
      <c r="R52" s="20" t="str">
        <f t="shared" si="8"/>
        <v>MAR</v>
      </c>
      <c r="S52" s="20" t="str">
        <f t="shared" si="9"/>
        <v>5432</v>
      </c>
      <c r="T52" s="20" t="str">
        <f t="shared" si="10"/>
        <v>neelamshinde</v>
      </c>
      <c r="U52" s="20" t="str">
        <f t="shared" si="11"/>
        <v>Neelam Shinde</v>
      </c>
      <c r="V52" s="20" t="str">
        <f t="shared" si="12"/>
        <v>Neelam Shinde</v>
      </c>
      <c r="W52" s="20" t="str">
        <f t="shared" si="13"/>
        <v>NS5432</v>
      </c>
      <c r="X52" s="13" t="str">
        <f t="shared" si="14"/>
        <v>MUM</v>
      </c>
    </row>
  </sheetData>
  <mergeCells count="2">
    <mergeCell ref="A1:G1"/>
    <mergeCell ref="I1:X1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- | Emp_ID | Full_Name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saurabh sonawane</cp:lastModifiedBy>
  <dcterms:created xsi:type="dcterms:W3CDTF">2015-06-05T18:17:20Z</dcterms:created>
  <dcterms:modified xsi:type="dcterms:W3CDTF">2025-10-30T07:43:38Z</dcterms:modified>
</cp:coreProperties>
</file>