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Lookup\Vlookup Files\"/>
    </mc:Choice>
  </mc:AlternateContent>
  <xr:revisionPtr revIDLastSave="0" documentId="13_ncr:1_{BC5D128F-2A35-4CBC-9E70-86BF907F738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Xlookup 1" sheetId="1" r:id="rId1"/>
    <sheet name="Xlookup Dynamic" sheetId="2" r:id="rId2"/>
    <sheet name="If Not Found" sheetId="3" r:id="rId3"/>
    <sheet name="Match Type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5" l="1"/>
  <c r="H11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K3" i="3"/>
  <c r="K5" i="2" a="1"/>
  <c r="K5" i="2" s="1"/>
  <c r="K6" i="2" a="1"/>
  <c r="K6" i="2" s="1"/>
  <c r="K7" i="2" a="1"/>
  <c r="K7" i="2" s="1"/>
  <c r="K8" i="2" a="1"/>
  <c r="K8" i="2"/>
  <c r="K9" i="2" a="1"/>
  <c r="K9" i="2" s="1"/>
  <c r="K4" i="2" a="1"/>
  <c r="K4" i="2" s="1"/>
  <c r="K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<sst xmlns="http://schemas.openxmlformats.org/spreadsheetml/2006/main" count="3084" uniqueCount="446">
  <si>
    <t>Customer Name</t>
  </si>
  <si>
    <t>Account Number</t>
  </si>
  <si>
    <t>Balance (INR)</t>
  </si>
  <si>
    <t>City</t>
  </si>
  <si>
    <t>Account Type</t>
  </si>
  <si>
    <t>Email</t>
  </si>
  <si>
    <t>Phone Number</t>
  </si>
  <si>
    <t>Aarav Sharma</t>
  </si>
  <si>
    <t>Mumbai</t>
  </si>
  <si>
    <t>Savings</t>
  </si>
  <si>
    <t>customer1@email.com</t>
  </si>
  <si>
    <t>+91-987650000</t>
  </si>
  <si>
    <t>Ananya Singh</t>
  </si>
  <si>
    <t>Delhi</t>
  </si>
  <si>
    <t>Current</t>
  </si>
  <si>
    <t>customer2@email.com</t>
  </si>
  <si>
    <t>+91-987650001</t>
  </si>
  <si>
    <t>Vivaan Kumar</t>
  </si>
  <si>
    <t>Bangalore</t>
  </si>
  <si>
    <t>customer3@email.com</t>
  </si>
  <si>
    <t>+91-987650002</t>
  </si>
  <si>
    <t>Diya Gupta</t>
  </si>
  <si>
    <t>Pune</t>
  </si>
  <si>
    <t>customer4@email.com</t>
  </si>
  <si>
    <t>+91-987650003</t>
  </si>
  <si>
    <t>Ishaan Joshi</t>
  </si>
  <si>
    <t>Hyderabad</t>
  </si>
  <si>
    <t>customer5@email.com</t>
  </si>
  <si>
    <t>+91-987650004</t>
  </si>
  <si>
    <t>Kiara Verma</t>
  </si>
  <si>
    <t>Chennai</t>
  </si>
  <si>
    <t>customer6@email.com</t>
  </si>
  <si>
    <t>+91-987650005</t>
  </si>
  <si>
    <t>Rohan Patel</t>
  </si>
  <si>
    <t>Ahmedabad</t>
  </si>
  <si>
    <t>customer7@email.com</t>
  </si>
  <si>
    <t>+91-987650006</t>
  </si>
  <si>
    <t>Meera Nair</t>
  </si>
  <si>
    <t>Kolkata</t>
  </si>
  <si>
    <t>customer8@email.com</t>
  </si>
  <si>
    <t>+91-987650007</t>
  </si>
  <si>
    <t>Aditya Malhotra</t>
  </si>
  <si>
    <t>Surat</t>
  </si>
  <si>
    <t>customer9@email.com</t>
  </si>
  <si>
    <t>+91-987650008</t>
  </si>
  <si>
    <t>Saanvi Deshmukh</t>
  </si>
  <si>
    <t>Jaipur</t>
  </si>
  <si>
    <t>customer10@email.com</t>
  </si>
  <si>
    <t>+91-987650009</t>
  </si>
  <si>
    <t>customer11@email.com</t>
  </si>
  <si>
    <t>+91-987650010</t>
  </si>
  <si>
    <t>customer12@email.com</t>
  </si>
  <si>
    <t>+91-987650011</t>
  </si>
  <si>
    <t>customer13@email.com</t>
  </si>
  <si>
    <t>+91-987650012</t>
  </si>
  <si>
    <t>customer14@email.com</t>
  </si>
  <si>
    <t>+91-987650013</t>
  </si>
  <si>
    <t>customer15@email.com</t>
  </si>
  <si>
    <t>+91-987650014</t>
  </si>
  <si>
    <t>customer16@email.com</t>
  </si>
  <si>
    <t>+91-987650015</t>
  </si>
  <si>
    <t>customer17@email.com</t>
  </si>
  <si>
    <t>+91-987650016</t>
  </si>
  <si>
    <t>customer18@email.com</t>
  </si>
  <si>
    <t>+91-987650017</t>
  </si>
  <si>
    <t>customer19@email.com</t>
  </si>
  <si>
    <t>+91-987650018</t>
  </si>
  <si>
    <t>customer20@email.com</t>
  </si>
  <si>
    <t>+91-987650019</t>
  </si>
  <si>
    <t>customer21@email.com</t>
  </si>
  <si>
    <t>+91-987650020</t>
  </si>
  <si>
    <t>customer22@email.com</t>
  </si>
  <si>
    <t>+91-987650021</t>
  </si>
  <si>
    <t>customer23@email.com</t>
  </si>
  <si>
    <t>+91-987650022</t>
  </si>
  <si>
    <t>customer24@email.com</t>
  </si>
  <si>
    <t>+91-987650023</t>
  </si>
  <si>
    <t>customer25@email.com</t>
  </si>
  <si>
    <t>+91-987650024</t>
  </si>
  <si>
    <t>customer26@email.com</t>
  </si>
  <si>
    <t>+91-987650025</t>
  </si>
  <si>
    <t>customer27@email.com</t>
  </si>
  <si>
    <t>+91-987650026</t>
  </si>
  <si>
    <t>customer28@email.com</t>
  </si>
  <si>
    <t>+91-987650027</t>
  </si>
  <si>
    <t>customer29@email.com</t>
  </si>
  <si>
    <t>+91-987650028</t>
  </si>
  <si>
    <t>customer30@email.com</t>
  </si>
  <si>
    <t>+91-987650029</t>
  </si>
  <si>
    <t>customer31@email.com</t>
  </si>
  <si>
    <t>+91-987650030</t>
  </si>
  <si>
    <t>customer32@email.com</t>
  </si>
  <si>
    <t>+91-987650031</t>
  </si>
  <si>
    <t>customer33@email.com</t>
  </si>
  <si>
    <t>+91-987650032</t>
  </si>
  <si>
    <t>customer34@email.com</t>
  </si>
  <si>
    <t>+91-987650033</t>
  </si>
  <si>
    <t>customer35@email.com</t>
  </si>
  <si>
    <t>+91-987650034</t>
  </si>
  <si>
    <t>customer36@email.com</t>
  </si>
  <si>
    <t>+91-987650035</t>
  </si>
  <si>
    <t>customer37@email.com</t>
  </si>
  <si>
    <t>+91-987650036</t>
  </si>
  <si>
    <t>customer38@email.com</t>
  </si>
  <si>
    <t>+91-987650037</t>
  </si>
  <si>
    <t>customer39@email.com</t>
  </si>
  <si>
    <t>+91-987650038</t>
  </si>
  <si>
    <t>customer40@email.com</t>
  </si>
  <si>
    <t>+91-987650039</t>
  </si>
  <si>
    <t>customer41@email.com</t>
  </si>
  <si>
    <t>+91-987650040</t>
  </si>
  <si>
    <t>customer42@email.com</t>
  </si>
  <si>
    <t>+91-987650041</t>
  </si>
  <si>
    <t>customer43@email.com</t>
  </si>
  <si>
    <t>+91-987650042</t>
  </si>
  <si>
    <t>customer44@email.com</t>
  </si>
  <si>
    <t>+91-987650043</t>
  </si>
  <si>
    <t>customer45@email.com</t>
  </si>
  <si>
    <t>+91-987650044</t>
  </si>
  <si>
    <t>customer46@email.com</t>
  </si>
  <si>
    <t>+91-987650045</t>
  </si>
  <si>
    <t>customer47@email.com</t>
  </si>
  <si>
    <t>+91-987650046</t>
  </si>
  <si>
    <t>customer48@email.com</t>
  </si>
  <si>
    <t>+91-987650047</t>
  </si>
  <si>
    <t>customer49@email.com</t>
  </si>
  <si>
    <t>+91-987650048</t>
  </si>
  <si>
    <t>customer50@email.com</t>
  </si>
  <si>
    <t>+91-987650049</t>
  </si>
  <si>
    <t>customer51@email.com</t>
  </si>
  <si>
    <t>+91-987650050</t>
  </si>
  <si>
    <t>customer52@email.com</t>
  </si>
  <si>
    <t>+91-987650051</t>
  </si>
  <si>
    <t>customer53@email.com</t>
  </si>
  <si>
    <t>+91-987650052</t>
  </si>
  <si>
    <t>customer54@email.com</t>
  </si>
  <si>
    <t>+91-987650053</t>
  </si>
  <si>
    <t>customer55@email.com</t>
  </si>
  <si>
    <t>+91-987650054</t>
  </si>
  <si>
    <t>customer56@email.com</t>
  </si>
  <si>
    <t>+91-987650055</t>
  </si>
  <si>
    <t>customer57@email.com</t>
  </si>
  <si>
    <t>+91-987650056</t>
  </si>
  <si>
    <t>customer58@email.com</t>
  </si>
  <si>
    <t>+91-987650057</t>
  </si>
  <si>
    <t>customer59@email.com</t>
  </si>
  <si>
    <t>+91-987650058</t>
  </si>
  <si>
    <t>customer60@email.com</t>
  </si>
  <si>
    <t>+91-987650059</t>
  </si>
  <si>
    <t>customer61@email.com</t>
  </si>
  <si>
    <t>+91-987650060</t>
  </si>
  <si>
    <t>customer62@email.com</t>
  </si>
  <si>
    <t>+91-987650061</t>
  </si>
  <si>
    <t>customer63@email.com</t>
  </si>
  <si>
    <t>+91-987650062</t>
  </si>
  <si>
    <t>customer64@email.com</t>
  </si>
  <si>
    <t>+91-987650063</t>
  </si>
  <si>
    <t>customer65@email.com</t>
  </si>
  <si>
    <t>+91-987650064</t>
  </si>
  <si>
    <t>customer66@email.com</t>
  </si>
  <si>
    <t>+91-987650065</t>
  </si>
  <si>
    <t>customer67@email.com</t>
  </si>
  <si>
    <t>+91-987650066</t>
  </si>
  <si>
    <t>customer68@email.com</t>
  </si>
  <si>
    <t>+91-987650067</t>
  </si>
  <si>
    <t>customer69@email.com</t>
  </si>
  <si>
    <t>+91-987650068</t>
  </si>
  <si>
    <t>customer70@email.com</t>
  </si>
  <si>
    <t>+91-987650069</t>
  </si>
  <si>
    <t>customer71@email.com</t>
  </si>
  <si>
    <t>+91-987650070</t>
  </si>
  <si>
    <t>customer72@email.com</t>
  </si>
  <si>
    <t>+91-987650071</t>
  </si>
  <si>
    <t>customer73@email.com</t>
  </si>
  <si>
    <t>+91-987650072</t>
  </si>
  <si>
    <t>customer74@email.com</t>
  </si>
  <si>
    <t>+91-987650073</t>
  </si>
  <si>
    <t>customer75@email.com</t>
  </si>
  <si>
    <t>+91-987650074</t>
  </si>
  <si>
    <t>customer76@email.com</t>
  </si>
  <si>
    <t>+91-987650075</t>
  </si>
  <si>
    <t>customer77@email.com</t>
  </si>
  <si>
    <t>+91-987650076</t>
  </si>
  <si>
    <t>customer78@email.com</t>
  </si>
  <si>
    <t>+91-987650077</t>
  </si>
  <si>
    <t>customer79@email.com</t>
  </si>
  <si>
    <t>+91-987650078</t>
  </si>
  <si>
    <t>customer80@email.com</t>
  </si>
  <si>
    <t>+91-987650079</t>
  </si>
  <si>
    <t>customer81@email.com</t>
  </si>
  <si>
    <t>+91-987650080</t>
  </si>
  <si>
    <t>customer82@email.com</t>
  </si>
  <si>
    <t>+91-987650081</t>
  </si>
  <si>
    <t>customer83@email.com</t>
  </si>
  <si>
    <t>+91-987650082</t>
  </si>
  <si>
    <t>customer84@email.com</t>
  </si>
  <si>
    <t>+91-987650083</t>
  </si>
  <si>
    <t>customer85@email.com</t>
  </si>
  <si>
    <t>+91-987650084</t>
  </si>
  <si>
    <t>customer86@email.com</t>
  </si>
  <si>
    <t>+91-987650085</t>
  </si>
  <si>
    <t>customer87@email.com</t>
  </si>
  <si>
    <t>+91-987650086</t>
  </si>
  <si>
    <t>customer88@email.com</t>
  </si>
  <si>
    <t>+91-987650087</t>
  </si>
  <si>
    <t>customer89@email.com</t>
  </si>
  <si>
    <t>+91-987650088</t>
  </si>
  <si>
    <t>customer90@email.com</t>
  </si>
  <si>
    <t>+91-987650089</t>
  </si>
  <si>
    <t>customer91@email.com</t>
  </si>
  <si>
    <t>+91-987650090</t>
  </si>
  <si>
    <t>customer92@email.com</t>
  </si>
  <si>
    <t>+91-987650091</t>
  </si>
  <si>
    <t>customer93@email.com</t>
  </si>
  <si>
    <t>+91-987650092</t>
  </si>
  <si>
    <t>customer94@email.com</t>
  </si>
  <si>
    <t>+91-987650093</t>
  </si>
  <si>
    <t>customer95@email.com</t>
  </si>
  <si>
    <t>+91-987650094</t>
  </si>
  <si>
    <t>customer96@email.com</t>
  </si>
  <si>
    <t>+91-987650095</t>
  </si>
  <si>
    <t>customer97@email.com</t>
  </si>
  <si>
    <t>+91-987650096</t>
  </si>
  <si>
    <t>customer98@email.com</t>
  </si>
  <si>
    <t>+91-987650097</t>
  </si>
  <si>
    <t>customer99@email.com</t>
  </si>
  <si>
    <t>+91-987650098</t>
  </si>
  <si>
    <t>customer100@email.com</t>
  </si>
  <si>
    <t>+91-987650099</t>
  </si>
  <si>
    <t>customer101@email.com</t>
  </si>
  <si>
    <t>+91-987650100</t>
  </si>
  <si>
    <t>customer102@email.com</t>
  </si>
  <si>
    <t>+91-987650101</t>
  </si>
  <si>
    <t>customer103@email.com</t>
  </si>
  <si>
    <t>+91-987650102</t>
  </si>
  <si>
    <t>customer104@email.com</t>
  </si>
  <si>
    <t>+91-987650103</t>
  </si>
  <si>
    <t>customer105@email.com</t>
  </si>
  <si>
    <t>+91-987650104</t>
  </si>
  <si>
    <t>customer106@email.com</t>
  </si>
  <si>
    <t>+91-987650105</t>
  </si>
  <si>
    <t>customer107@email.com</t>
  </si>
  <si>
    <t>+91-987650106</t>
  </si>
  <si>
    <t>customer108@email.com</t>
  </si>
  <si>
    <t>+91-987650107</t>
  </si>
  <si>
    <t>customer109@email.com</t>
  </si>
  <si>
    <t>+91-987650108</t>
  </si>
  <si>
    <t>customer110@email.com</t>
  </si>
  <si>
    <t>+91-987650109</t>
  </si>
  <si>
    <t>customer111@email.com</t>
  </si>
  <si>
    <t>+91-987650110</t>
  </si>
  <si>
    <t>customer112@email.com</t>
  </si>
  <si>
    <t>+91-987650111</t>
  </si>
  <si>
    <t>customer113@email.com</t>
  </si>
  <si>
    <t>+91-987650112</t>
  </si>
  <si>
    <t>customer114@email.com</t>
  </si>
  <si>
    <t>+91-987650113</t>
  </si>
  <si>
    <t>customer115@email.com</t>
  </si>
  <si>
    <t>+91-987650114</t>
  </si>
  <si>
    <t>customer116@email.com</t>
  </si>
  <si>
    <t>+91-987650115</t>
  </si>
  <si>
    <t>customer117@email.com</t>
  </si>
  <si>
    <t>+91-987650116</t>
  </si>
  <si>
    <t>customer118@email.com</t>
  </si>
  <si>
    <t>+91-987650117</t>
  </si>
  <si>
    <t>customer119@email.com</t>
  </si>
  <si>
    <t>+91-987650118</t>
  </si>
  <si>
    <t>customer120@email.com</t>
  </si>
  <si>
    <t>+91-987650119</t>
  </si>
  <si>
    <t>customer121@email.com</t>
  </si>
  <si>
    <t>+91-987650120</t>
  </si>
  <si>
    <t>customer122@email.com</t>
  </si>
  <si>
    <t>+91-987650121</t>
  </si>
  <si>
    <t>customer123@email.com</t>
  </si>
  <si>
    <t>+91-987650122</t>
  </si>
  <si>
    <t>customer124@email.com</t>
  </si>
  <si>
    <t>+91-987650123</t>
  </si>
  <si>
    <t>customer125@email.com</t>
  </si>
  <si>
    <t>+91-987650124</t>
  </si>
  <si>
    <t>customer126@email.com</t>
  </si>
  <si>
    <t>+91-987650125</t>
  </si>
  <si>
    <t>customer127@email.com</t>
  </si>
  <si>
    <t>+91-987650126</t>
  </si>
  <si>
    <t>customer128@email.com</t>
  </si>
  <si>
    <t>+91-987650127</t>
  </si>
  <si>
    <t>customer129@email.com</t>
  </si>
  <si>
    <t>+91-987650128</t>
  </si>
  <si>
    <t>customer130@email.com</t>
  </si>
  <si>
    <t>+91-987650129</t>
  </si>
  <si>
    <t>customer131@email.com</t>
  </si>
  <si>
    <t>+91-987650130</t>
  </si>
  <si>
    <t>customer132@email.com</t>
  </si>
  <si>
    <t>+91-987650131</t>
  </si>
  <si>
    <t>customer133@email.com</t>
  </si>
  <si>
    <t>+91-987650132</t>
  </si>
  <si>
    <t>customer134@email.com</t>
  </si>
  <si>
    <t>+91-987650133</t>
  </si>
  <si>
    <t>customer135@email.com</t>
  </si>
  <si>
    <t>+91-987650134</t>
  </si>
  <si>
    <t>customer136@email.com</t>
  </si>
  <si>
    <t>+91-987650135</t>
  </si>
  <si>
    <t>customer137@email.com</t>
  </si>
  <si>
    <t>+91-987650136</t>
  </si>
  <si>
    <t>customer138@email.com</t>
  </si>
  <si>
    <t>+91-987650137</t>
  </si>
  <si>
    <t>customer139@email.com</t>
  </si>
  <si>
    <t>+91-987650138</t>
  </si>
  <si>
    <t>customer140@email.com</t>
  </si>
  <si>
    <t>+91-987650139</t>
  </si>
  <si>
    <t>customer141@email.com</t>
  </si>
  <si>
    <t>+91-987650140</t>
  </si>
  <si>
    <t>customer142@email.com</t>
  </si>
  <si>
    <t>+91-987650141</t>
  </si>
  <si>
    <t>customer143@email.com</t>
  </si>
  <si>
    <t>+91-987650142</t>
  </si>
  <si>
    <t>customer144@email.com</t>
  </si>
  <si>
    <t>+91-987650143</t>
  </si>
  <si>
    <t>customer145@email.com</t>
  </si>
  <si>
    <t>+91-987650144</t>
  </si>
  <si>
    <t>customer146@email.com</t>
  </si>
  <si>
    <t>+91-987650145</t>
  </si>
  <si>
    <t>customer147@email.com</t>
  </si>
  <si>
    <t>+91-987650146</t>
  </si>
  <si>
    <t>customer148@email.com</t>
  </si>
  <si>
    <t>+91-987650147</t>
  </si>
  <si>
    <t>customer149@email.com</t>
  </si>
  <si>
    <t>+91-987650148</t>
  </si>
  <si>
    <t>customer150@email.com</t>
  </si>
  <si>
    <t>+91-987650149</t>
  </si>
  <si>
    <t>customer151@email.com</t>
  </si>
  <si>
    <t>+91-987650150</t>
  </si>
  <si>
    <t>customer152@email.com</t>
  </si>
  <si>
    <t>+91-987650151</t>
  </si>
  <si>
    <t>customer153@email.com</t>
  </si>
  <si>
    <t>+91-987650152</t>
  </si>
  <si>
    <t>customer154@email.com</t>
  </si>
  <si>
    <t>+91-987650153</t>
  </si>
  <si>
    <t>customer155@email.com</t>
  </si>
  <si>
    <t>+91-987650154</t>
  </si>
  <si>
    <t>customer156@email.com</t>
  </si>
  <si>
    <t>+91-987650155</t>
  </si>
  <si>
    <t>customer157@email.com</t>
  </si>
  <si>
    <t>+91-987650156</t>
  </si>
  <si>
    <t>customer158@email.com</t>
  </si>
  <si>
    <t>+91-987650157</t>
  </si>
  <si>
    <t>customer159@email.com</t>
  </si>
  <si>
    <t>+91-987650158</t>
  </si>
  <si>
    <t>customer160@email.com</t>
  </si>
  <si>
    <t>+91-987650159</t>
  </si>
  <si>
    <t>customer161@email.com</t>
  </si>
  <si>
    <t>+91-987650160</t>
  </si>
  <si>
    <t>customer162@email.com</t>
  </si>
  <si>
    <t>+91-987650161</t>
  </si>
  <si>
    <t>customer163@email.com</t>
  </si>
  <si>
    <t>+91-987650162</t>
  </si>
  <si>
    <t>customer164@email.com</t>
  </si>
  <si>
    <t>+91-987650163</t>
  </si>
  <si>
    <t>customer165@email.com</t>
  </si>
  <si>
    <t>+91-987650164</t>
  </si>
  <si>
    <t>customer166@email.com</t>
  </si>
  <si>
    <t>+91-987650165</t>
  </si>
  <si>
    <t>customer167@email.com</t>
  </si>
  <si>
    <t>+91-987650166</t>
  </si>
  <si>
    <t>customer168@email.com</t>
  </si>
  <si>
    <t>+91-987650167</t>
  </si>
  <si>
    <t>customer169@email.com</t>
  </si>
  <si>
    <t>+91-987650168</t>
  </si>
  <si>
    <t>customer170@email.com</t>
  </si>
  <si>
    <t>+91-987650169</t>
  </si>
  <si>
    <t>customer171@email.com</t>
  </si>
  <si>
    <t>+91-987650170</t>
  </si>
  <si>
    <t>customer172@email.com</t>
  </si>
  <si>
    <t>+91-987650171</t>
  </si>
  <si>
    <t>customer173@email.com</t>
  </si>
  <si>
    <t>+91-987650172</t>
  </si>
  <si>
    <t>customer174@email.com</t>
  </si>
  <si>
    <t>+91-987650173</t>
  </si>
  <si>
    <t>customer175@email.com</t>
  </si>
  <si>
    <t>+91-987650174</t>
  </si>
  <si>
    <t>customer176@email.com</t>
  </si>
  <si>
    <t>+91-987650175</t>
  </si>
  <si>
    <t>customer177@email.com</t>
  </si>
  <si>
    <t>+91-987650176</t>
  </si>
  <si>
    <t>customer178@email.com</t>
  </si>
  <si>
    <t>+91-987650177</t>
  </si>
  <si>
    <t>customer179@email.com</t>
  </si>
  <si>
    <t>+91-987650178</t>
  </si>
  <si>
    <t>customer180@email.com</t>
  </si>
  <si>
    <t>+91-987650179</t>
  </si>
  <si>
    <t>customer181@email.com</t>
  </si>
  <si>
    <t>+91-987650180</t>
  </si>
  <si>
    <t>customer182@email.com</t>
  </si>
  <si>
    <t>+91-987650181</t>
  </si>
  <si>
    <t>customer183@email.com</t>
  </si>
  <si>
    <t>+91-987650182</t>
  </si>
  <si>
    <t>customer184@email.com</t>
  </si>
  <si>
    <t>+91-987650183</t>
  </si>
  <si>
    <t>customer185@email.com</t>
  </si>
  <si>
    <t>+91-987650184</t>
  </si>
  <si>
    <t>customer186@email.com</t>
  </si>
  <si>
    <t>+91-987650185</t>
  </si>
  <si>
    <t>customer187@email.com</t>
  </si>
  <si>
    <t>+91-987650186</t>
  </si>
  <si>
    <t>customer188@email.com</t>
  </si>
  <si>
    <t>+91-987650187</t>
  </si>
  <si>
    <t>customer189@email.com</t>
  </si>
  <si>
    <t>+91-987650188</t>
  </si>
  <si>
    <t>customer190@email.com</t>
  </si>
  <si>
    <t>+91-987650189</t>
  </si>
  <si>
    <t>customer191@email.com</t>
  </si>
  <si>
    <t>+91-987650190</t>
  </si>
  <si>
    <t>customer192@email.com</t>
  </si>
  <si>
    <t>+91-987650191</t>
  </si>
  <si>
    <t>customer193@email.com</t>
  </si>
  <si>
    <t>+91-987650192</t>
  </si>
  <si>
    <t>customer194@email.com</t>
  </si>
  <si>
    <t>+91-987650193</t>
  </si>
  <si>
    <t>customer195@email.com</t>
  </si>
  <si>
    <t>+91-987650194</t>
  </si>
  <si>
    <t>customer196@email.com</t>
  </si>
  <si>
    <t>+91-987650195</t>
  </si>
  <si>
    <t>customer197@email.com</t>
  </si>
  <si>
    <t>+91-987650196</t>
  </si>
  <si>
    <t>customer198@email.com</t>
  </si>
  <si>
    <t>+91-987650197</t>
  </si>
  <si>
    <t>customer199@email.com</t>
  </si>
  <si>
    <t>+91-987650198</t>
  </si>
  <si>
    <t>customer200@email.com</t>
  </si>
  <si>
    <t>+91-987650199</t>
  </si>
  <si>
    <t>while using index select columns exactly as array same</t>
  </si>
  <si>
    <t>Saving Account</t>
  </si>
  <si>
    <t>Current Account</t>
  </si>
  <si>
    <t>Last 3 Months Average Balance</t>
  </si>
  <si>
    <t>Credit Card Limit</t>
  </si>
  <si>
    <t>Ankit Gupta</t>
  </si>
  <si>
    <t>Vinod Singh</t>
  </si>
  <si>
    <t>Vijay Mehta</t>
  </si>
  <si>
    <t>Sayali Pandey</t>
  </si>
  <si>
    <t>Vikas Singh</t>
  </si>
  <si>
    <t>Sohail Khan</t>
  </si>
  <si>
    <t>Rupali Deskmukh</t>
  </si>
  <si>
    <t>Lakshi Gupta</t>
  </si>
  <si>
    <t>Radha Gupta</t>
  </si>
  <si>
    <t>Sanket Mehra</t>
  </si>
  <si>
    <t>Wildcard</t>
  </si>
  <si>
    <t>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</si>
</sst>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selection activeCell="A8" sqref="A1:G20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2.33203125" bestFit="1" customWidth="1"/>
    <col min="4" max="4" width="10.6640625" bestFit="1" customWidth="1"/>
    <col min="5" max="5" width="12.5546875" bestFit="1" customWidth="1"/>
    <col min="6" max="6" width="22.33203125" bestFit="1" customWidth="1"/>
    <col min="7" max="7" width="13.88671875" bestFit="1" customWidth="1"/>
    <col min="8" max="8" width="11.33203125" customWidth="1"/>
    <col min="10" max="10" width="16.77734375" customWidth="1"/>
    <col min="11" max="11" width="15.1093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1" x14ac:dyDescent="0.3">
      <c r="A2" s="4" t="s">
        <v>7</v>
      </c>
      <c r="B2" s="4">
        <v>1000000001</v>
      </c>
      <c r="C2" s="4">
        <v>50000</v>
      </c>
      <c r="D2" s="4" t="s">
        <v>8</v>
      </c>
      <c r="E2" s="4" t="s">
        <v>9</v>
      </c>
      <c r="F2" s="4" t="s">
        <v>10</v>
      </c>
      <c r="G2" s="4" t="s">
        <v>11</v>
      </c>
    </row>
    <row r="3" spans="1:11" x14ac:dyDescent="0.3">
      <c r="A3" s="4" t="s">
        <v>12</v>
      </c>
      <c r="B3" s="4">
        <v>1000000002</v>
      </c>
      <c r="C3" s="4">
        <v>75000</v>
      </c>
      <c r="D3" s="4" t="s">
        <v>13</v>
      </c>
      <c r="E3" s="4" t="s">
        <v>14</v>
      </c>
      <c r="F3" s="4" t="s">
        <v>15</v>
      </c>
      <c r="G3" s="4" t="s">
        <v>16</v>
      </c>
      <c r="J3" s="2" t="s">
        <v>1</v>
      </c>
      <c r="K3" s="4">
        <v>1000000003</v>
      </c>
    </row>
    <row r="4" spans="1:11" x14ac:dyDescent="0.3">
      <c r="A4" s="4" t="s">
        <v>17</v>
      </c>
      <c r="B4" s="4">
        <v>1000000003</v>
      </c>
      <c r="C4" s="4">
        <v>120000</v>
      </c>
      <c r="D4" s="4" t="s">
        <v>18</v>
      </c>
      <c r="E4" s="4" t="s">
        <v>9</v>
      </c>
      <c r="F4" s="4" t="s">
        <v>19</v>
      </c>
      <c r="G4" s="4" t="s">
        <v>20</v>
      </c>
      <c r="J4" s="2" t="s">
        <v>0</v>
      </c>
      <c r="K4" t="str">
        <f>_xlfn.XLOOKUP(K3,B:B,A:A)</f>
        <v>Vivaan Kumar</v>
      </c>
    </row>
    <row r="5" spans="1:11" x14ac:dyDescent="0.3">
      <c r="A5" s="4" t="s">
        <v>21</v>
      </c>
      <c r="B5" s="4">
        <v>1000000004</v>
      </c>
      <c r="C5" s="4">
        <v>45000</v>
      </c>
      <c r="D5" s="4" t="s">
        <v>22</v>
      </c>
      <c r="E5" s="4" t="s">
        <v>14</v>
      </c>
      <c r="F5" s="4" t="s">
        <v>23</v>
      </c>
      <c r="G5" s="4" t="s">
        <v>24</v>
      </c>
      <c r="J5" s="2"/>
    </row>
    <row r="6" spans="1:11" x14ac:dyDescent="0.3">
      <c r="A6" s="4" t="s">
        <v>25</v>
      </c>
      <c r="B6" s="4">
        <v>1000000005</v>
      </c>
      <c r="C6" s="4">
        <v>98000</v>
      </c>
      <c r="D6" s="4" t="s">
        <v>26</v>
      </c>
      <c r="E6" s="4" t="s">
        <v>9</v>
      </c>
      <c r="F6" s="4" t="s">
        <v>27</v>
      </c>
      <c r="G6" s="4" t="s">
        <v>28</v>
      </c>
      <c r="J6" s="2"/>
    </row>
    <row r="7" spans="1:11" x14ac:dyDescent="0.3">
      <c r="A7" s="4" t="s">
        <v>29</v>
      </c>
      <c r="B7" s="4">
        <v>1000000006</v>
      </c>
      <c r="C7" s="4">
        <v>67000</v>
      </c>
      <c r="D7" s="4" t="s">
        <v>30</v>
      </c>
      <c r="E7" s="4" t="s">
        <v>14</v>
      </c>
      <c r="F7" s="4" t="s">
        <v>31</v>
      </c>
      <c r="G7" s="4" t="s">
        <v>32</v>
      </c>
      <c r="J7" s="2"/>
    </row>
    <row r="8" spans="1:11" x14ac:dyDescent="0.3">
      <c r="A8" s="4" t="s">
        <v>33</v>
      </c>
      <c r="B8" s="4">
        <v>1000000007</v>
      </c>
      <c r="C8" s="4">
        <v>56000</v>
      </c>
      <c r="D8" s="4" t="s">
        <v>34</v>
      </c>
      <c r="E8" s="4" t="s">
        <v>9</v>
      </c>
      <c r="F8" s="4" t="s">
        <v>35</v>
      </c>
      <c r="G8" s="4" t="s">
        <v>36</v>
      </c>
      <c r="J8" s="2"/>
    </row>
    <row r="9" spans="1:11" x14ac:dyDescent="0.3">
      <c r="A9" s="4" t="s">
        <v>37</v>
      </c>
      <c r="B9" s="4">
        <v>1000000008</v>
      </c>
      <c r="C9" s="4">
        <v>89000</v>
      </c>
      <c r="D9" s="4" t="s">
        <v>38</v>
      </c>
      <c r="E9" s="4" t="s">
        <v>14</v>
      </c>
      <c r="F9" s="4" t="s">
        <v>39</v>
      </c>
      <c r="G9" s="4" t="s">
        <v>40</v>
      </c>
      <c r="J9" s="2"/>
    </row>
    <row r="10" spans="1:11" x14ac:dyDescent="0.3">
      <c r="A10" s="4" t="s">
        <v>41</v>
      </c>
      <c r="B10" s="4">
        <v>1000000009</v>
      </c>
      <c r="C10" s="4">
        <v>46000</v>
      </c>
      <c r="D10" s="4" t="s">
        <v>42</v>
      </c>
      <c r="E10" s="4" t="s">
        <v>9</v>
      </c>
      <c r="F10" s="4" t="s">
        <v>43</v>
      </c>
      <c r="G10" s="4" t="s">
        <v>44</v>
      </c>
    </row>
    <row r="11" spans="1:11" x14ac:dyDescent="0.3">
      <c r="A11" s="4" t="s">
        <v>45</v>
      </c>
      <c r="B11" s="4">
        <v>1000000010</v>
      </c>
      <c r="C11" s="4">
        <v>77000</v>
      </c>
      <c r="D11" s="4" t="s">
        <v>46</v>
      </c>
      <c r="E11" s="4" t="s">
        <v>14</v>
      </c>
      <c r="F11" s="4" t="s">
        <v>47</v>
      </c>
      <c r="G11" s="4" t="s">
        <v>48</v>
      </c>
      <c r="J11" s="4">
        <v>1000000003</v>
      </c>
    </row>
    <row r="12" spans="1:11" x14ac:dyDescent="0.3">
      <c r="A12" s="4" t="s">
        <v>7</v>
      </c>
      <c r="B12" s="4">
        <v>1000000011</v>
      </c>
      <c r="C12" s="4">
        <v>50000</v>
      </c>
      <c r="D12" s="4" t="s">
        <v>8</v>
      </c>
      <c r="E12" s="4" t="s">
        <v>9</v>
      </c>
      <c r="F12" s="4" t="s">
        <v>49</v>
      </c>
      <c r="G12" s="4" t="s">
        <v>50</v>
      </c>
    </row>
    <row r="13" spans="1:11" x14ac:dyDescent="0.3">
      <c r="A13" s="4" t="s">
        <v>12</v>
      </c>
      <c r="B13" s="4">
        <v>1000000012</v>
      </c>
      <c r="C13" s="4">
        <v>75000</v>
      </c>
      <c r="D13" s="4" t="s">
        <v>13</v>
      </c>
      <c r="E13" s="4" t="s">
        <v>14</v>
      </c>
      <c r="F13" s="4" t="s">
        <v>51</v>
      </c>
      <c r="G13" s="4" t="s">
        <v>52</v>
      </c>
    </row>
    <row r="14" spans="1:11" x14ac:dyDescent="0.3">
      <c r="A14" s="4" t="s">
        <v>17</v>
      </c>
      <c r="B14" s="4">
        <v>1000000013</v>
      </c>
      <c r="C14" s="4">
        <v>120000</v>
      </c>
      <c r="D14" s="4" t="s">
        <v>18</v>
      </c>
      <c r="E14" s="4" t="s">
        <v>9</v>
      </c>
      <c r="F14" s="4" t="s">
        <v>53</v>
      </c>
      <c r="G14" s="4" t="s">
        <v>54</v>
      </c>
    </row>
    <row r="15" spans="1:11" x14ac:dyDescent="0.3">
      <c r="A15" s="4" t="s">
        <v>21</v>
      </c>
      <c r="B15" s="4">
        <v>1000000014</v>
      </c>
      <c r="C15" s="4">
        <v>45000</v>
      </c>
      <c r="D15" s="4" t="s">
        <v>22</v>
      </c>
      <c r="E15" s="4" t="s">
        <v>14</v>
      </c>
      <c r="F15" s="4" t="s">
        <v>55</v>
      </c>
      <c r="G15" s="4" t="s">
        <v>56</v>
      </c>
    </row>
    <row r="16" spans="1:11" x14ac:dyDescent="0.3">
      <c r="A16" s="4" t="s">
        <v>25</v>
      </c>
      <c r="B16" s="4">
        <v>1000000015</v>
      </c>
      <c r="C16" s="4">
        <v>98000</v>
      </c>
      <c r="D16" s="4" t="s">
        <v>26</v>
      </c>
      <c r="E16" s="4" t="s">
        <v>9</v>
      </c>
      <c r="F16" s="4" t="s">
        <v>57</v>
      </c>
      <c r="G16" s="4" t="s">
        <v>58</v>
      </c>
    </row>
    <row r="17" spans="1:7" x14ac:dyDescent="0.3">
      <c r="A17" s="4" t="s">
        <v>29</v>
      </c>
      <c r="B17" s="4">
        <v>1000000016</v>
      </c>
      <c r="C17" s="4">
        <v>67000</v>
      </c>
      <c r="D17" s="4" t="s">
        <v>30</v>
      </c>
      <c r="E17" s="4" t="s">
        <v>14</v>
      </c>
      <c r="F17" s="4" t="s">
        <v>59</v>
      </c>
      <c r="G17" s="4" t="s">
        <v>60</v>
      </c>
    </row>
    <row r="18" spans="1:7" x14ac:dyDescent="0.3">
      <c r="A18" s="4" t="s">
        <v>33</v>
      </c>
      <c r="B18" s="4">
        <v>1000000017</v>
      </c>
      <c r="C18" s="4">
        <v>56000</v>
      </c>
      <c r="D18" s="4" t="s">
        <v>34</v>
      </c>
      <c r="E18" s="4" t="s">
        <v>9</v>
      </c>
      <c r="F18" s="4" t="s">
        <v>61</v>
      </c>
      <c r="G18" s="4" t="s">
        <v>62</v>
      </c>
    </row>
    <row r="19" spans="1:7" x14ac:dyDescent="0.3">
      <c r="A19" s="4" t="s">
        <v>37</v>
      </c>
      <c r="B19" s="4">
        <v>1000000018</v>
      </c>
      <c r="C19" s="4">
        <v>89000</v>
      </c>
      <c r="D19" s="4" t="s">
        <v>38</v>
      </c>
      <c r="E19" s="4" t="s">
        <v>14</v>
      </c>
      <c r="F19" s="4" t="s">
        <v>63</v>
      </c>
      <c r="G19" s="4" t="s">
        <v>64</v>
      </c>
    </row>
    <row r="20" spans="1:7" x14ac:dyDescent="0.3">
      <c r="A20" s="4" t="s">
        <v>41</v>
      </c>
      <c r="B20" s="4">
        <v>1000000019</v>
      </c>
      <c r="C20" s="4">
        <v>46000</v>
      </c>
      <c r="D20" s="4" t="s">
        <v>42</v>
      </c>
      <c r="E20" s="4" t="s">
        <v>9</v>
      </c>
      <c r="F20" s="4" t="s">
        <v>65</v>
      </c>
      <c r="G20" s="4" t="s">
        <v>66</v>
      </c>
    </row>
    <row r="21" spans="1:7" x14ac:dyDescent="0.3">
      <c r="A21" s="4" t="s">
        <v>45</v>
      </c>
      <c r="B21" s="4">
        <v>1000000020</v>
      </c>
      <c r="C21" s="4">
        <v>77000</v>
      </c>
      <c r="D21" s="4" t="s">
        <v>46</v>
      </c>
      <c r="E21" s="4" t="s">
        <v>14</v>
      </c>
      <c r="F21" s="4" t="s">
        <v>67</v>
      </c>
      <c r="G21" s="4" t="s">
        <v>68</v>
      </c>
    </row>
    <row r="22" spans="1:7" x14ac:dyDescent="0.3">
      <c r="A22" s="4" t="s">
        <v>7</v>
      </c>
      <c r="B22" s="4">
        <v>1000000021</v>
      </c>
      <c r="C22" s="4">
        <v>50000</v>
      </c>
      <c r="D22" s="4" t="s">
        <v>8</v>
      </c>
      <c r="E22" s="4" t="s">
        <v>9</v>
      </c>
      <c r="F22" s="4" t="s">
        <v>69</v>
      </c>
      <c r="G22" s="4" t="s">
        <v>70</v>
      </c>
    </row>
    <row r="23" spans="1:7" x14ac:dyDescent="0.3">
      <c r="A23" s="4" t="s">
        <v>12</v>
      </c>
      <c r="B23" s="4">
        <v>1000000022</v>
      </c>
      <c r="C23" s="4">
        <v>75000</v>
      </c>
      <c r="D23" s="4" t="s">
        <v>13</v>
      </c>
      <c r="E23" s="4" t="s">
        <v>14</v>
      </c>
      <c r="F23" s="4" t="s">
        <v>71</v>
      </c>
      <c r="G23" s="4" t="s">
        <v>72</v>
      </c>
    </row>
    <row r="24" spans="1:7" x14ac:dyDescent="0.3">
      <c r="A24" s="4" t="s">
        <v>17</v>
      </c>
      <c r="B24" s="4">
        <v>1000000023</v>
      </c>
      <c r="C24" s="4">
        <v>120000</v>
      </c>
      <c r="D24" s="4" t="s">
        <v>18</v>
      </c>
      <c r="E24" s="4" t="s">
        <v>9</v>
      </c>
      <c r="F24" s="4" t="s">
        <v>73</v>
      </c>
      <c r="G24" s="4" t="s">
        <v>74</v>
      </c>
    </row>
    <row r="25" spans="1:7" x14ac:dyDescent="0.3">
      <c r="A25" s="4" t="s">
        <v>21</v>
      </c>
      <c r="B25" s="4">
        <v>1000000024</v>
      </c>
      <c r="C25" s="4">
        <v>45000</v>
      </c>
      <c r="D25" s="4" t="s">
        <v>22</v>
      </c>
      <c r="E25" s="4" t="s">
        <v>14</v>
      </c>
      <c r="F25" s="4" t="s">
        <v>75</v>
      </c>
      <c r="G25" s="4" t="s">
        <v>76</v>
      </c>
    </row>
    <row r="26" spans="1:7" x14ac:dyDescent="0.3">
      <c r="A26" s="4" t="s">
        <v>25</v>
      </c>
      <c r="B26" s="4">
        <v>1000000025</v>
      </c>
      <c r="C26" s="4">
        <v>98000</v>
      </c>
      <c r="D26" s="4" t="s">
        <v>26</v>
      </c>
      <c r="E26" s="4" t="s">
        <v>9</v>
      </c>
      <c r="F26" s="4" t="s">
        <v>77</v>
      </c>
      <c r="G26" s="4" t="s">
        <v>78</v>
      </c>
    </row>
    <row r="27" spans="1:7" x14ac:dyDescent="0.3">
      <c r="A27" s="4" t="s">
        <v>29</v>
      </c>
      <c r="B27" s="4">
        <v>1000000026</v>
      </c>
      <c r="C27" s="4">
        <v>67000</v>
      </c>
      <c r="D27" s="4" t="s">
        <v>30</v>
      </c>
      <c r="E27" s="4" t="s">
        <v>14</v>
      </c>
      <c r="F27" s="4" t="s">
        <v>79</v>
      </c>
      <c r="G27" s="4" t="s">
        <v>80</v>
      </c>
    </row>
    <row r="28" spans="1:7" x14ac:dyDescent="0.3">
      <c r="A28" s="4" t="s">
        <v>33</v>
      </c>
      <c r="B28" s="4">
        <v>1000000027</v>
      </c>
      <c r="C28" s="4">
        <v>56000</v>
      </c>
      <c r="D28" s="4" t="s">
        <v>34</v>
      </c>
      <c r="E28" s="4" t="s">
        <v>9</v>
      </c>
      <c r="F28" s="4" t="s">
        <v>81</v>
      </c>
      <c r="G28" s="4" t="s">
        <v>82</v>
      </c>
    </row>
    <row r="29" spans="1:7" x14ac:dyDescent="0.3">
      <c r="A29" s="4" t="s">
        <v>37</v>
      </c>
      <c r="B29" s="4">
        <v>1000000028</v>
      </c>
      <c r="C29" s="4">
        <v>89000</v>
      </c>
      <c r="D29" s="4" t="s">
        <v>38</v>
      </c>
      <c r="E29" s="4" t="s">
        <v>14</v>
      </c>
      <c r="F29" s="4" t="s">
        <v>83</v>
      </c>
      <c r="G29" s="4" t="s">
        <v>84</v>
      </c>
    </row>
    <row r="30" spans="1:7" x14ac:dyDescent="0.3">
      <c r="A30" s="4" t="s">
        <v>41</v>
      </c>
      <c r="B30" s="4">
        <v>1000000029</v>
      </c>
      <c r="C30" s="4">
        <v>46000</v>
      </c>
      <c r="D30" s="4" t="s">
        <v>42</v>
      </c>
      <c r="E30" s="4" t="s">
        <v>9</v>
      </c>
      <c r="F30" s="4" t="s">
        <v>85</v>
      </c>
      <c r="G30" s="4" t="s">
        <v>86</v>
      </c>
    </row>
    <row r="31" spans="1:7" x14ac:dyDescent="0.3">
      <c r="A31" s="4" t="s">
        <v>45</v>
      </c>
      <c r="B31" s="4">
        <v>1000000030</v>
      </c>
      <c r="C31" s="4">
        <v>77000</v>
      </c>
      <c r="D31" s="4" t="s">
        <v>46</v>
      </c>
      <c r="E31" s="4" t="s">
        <v>14</v>
      </c>
      <c r="F31" s="4" t="s">
        <v>87</v>
      </c>
      <c r="G31" s="4" t="s">
        <v>88</v>
      </c>
    </row>
    <row r="32" spans="1:7" x14ac:dyDescent="0.3">
      <c r="A32" s="4" t="s">
        <v>7</v>
      </c>
      <c r="B32" s="4">
        <v>1000000031</v>
      </c>
      <c r="C32" s="4">
        <v>50000</v>
      </c>
      <c r="D32" s="4" t="s">
        <v>8</v>
      </c>
      <c r="E32" s="4" t="s">
        <v>9</v>
      </c>
      <c r="F32" s="4" t="s">
        <v>89</v>
      </c>
      <c r="G32" s="4" t="s">
        <v>90</v>
      </c>
    </row>
    <row r="33" spans="1:7" x14ac:dyDescent="0.3">
      <c r="A33" s="4" t="s">
        <v>12</v>
      </c>
      <c r="B33" s="4">
        <v>1000000032</v>
      </c>
      <c r="C33" s="4">
        <v>75000</v>
      </c>
      <c r="D33" s="4" t="s">
        <v>13</v>
      </c>
      <c r="E33" s="4" t="s">
        <v>14</v>
      </c>
      <c r="F33" s="4" t="s">
        <v>91</v>
      </c>
      <c r="G33" s="4" t="s">
        <v>92</v>
      </c>
    </row>
    <row r="34" spans="1:7" x14ac:dyDescent="0.3">
      <c r="A34" s="4" t="s">
        <v>17</v>
      </c>
      <c r="B34" s="4">
        <v>1000000033</v>
      </c>
      <c r="C34" s="4">
        <v>120000</v>
      </c>
      <c r="D34" s="4" t="s">
        <v>18</v>
      </c>
      <c r="E34" s="4" t="s">
        <v>9</v>
      </c>
      <c r="F34" s="4" t="s">
        <v>93</v>
      </c>
      <c r="G34" s="4" t="s">
        <v>94</v>
      </c>
    </row>
    <row r="35" spans="1:7" x14ac:dyDescent="0.3">
      <c r="A35" s="4" t="s">
        <v>21</v>
      </c>
      <c r="B35" s="4">
        <v>1000000034</v>
      </c>
      <c r="C35" s="4">
        <v>45000</v>
      </c>
      <c r="D35" s="4" t="s">
        <v>22</v>
      </c>
      <c r="E35" s="4" t="s">
        <v>14</v>
      </c>
      <c r="F35" s="4" t="s">
        <v>95</v>
      </c>
      <c r="G35" s="4" t="s">
        <v>96</v>
      </c>
    </row>
    <row r="36" spans="1:7" x14ac:dyDescent="0.3">
      <c r="A36" s="4" t="s">
        <v>25</v>
      </c>
      <c r="B36" s="4">
        <v>1000000035</v>
      </c>
      <c r="C36" s="4">
        <v>98000</v>
      </c>
      <c r="D36" s="4" t="s">
        <v>26</v>
      </c>
      <c r="E36" s="4" t="s">
        <v>9</v>
      </c>
      <c r="F36" s="4" t="s">
        <v>97</v>
      </c>
      <c r="G36" s="4" t="s">
        <v>98</v>
      </c>
    </row>
    <row r="37" spans="1:7" x14ac:dyDescent="0.3">
      <c r="A37" s="4" t="s">
        <v>29</v>
      </c>
      <c r="B37" s="4">
        <v>1000000036</v>
      </c>
      <c r="C37" s="4">
        <v>67000</v>
      </c>
      <c r="D37" s="4" t="s">
        <v>30</v>
      </c>
      <c r="E37" s="4" t="s">
        <v>14</v>
      </c>
      <c r="F37" s="4" t="s">
        <v>99</v>
      </c>
      <c r="G37" s="4" t="s">
        <v>100</v>
      </c>
    </row>
    <row r="38" spans="1:7" x14ac:dyDescent="0.3">
      <c r="A38" s="4" t="s">
        <v>33</v>
      </c>
      <c r="B38" s="4">
        <v>1000000037</v>
      </c>
      <c r="C38" s="4">
        <v>56000</v>
      </c>
      <c r="D38" s="4" t="s">
        <v>34</v>
      </c>
      <c r="E38" s="4" t="s">
        <v>9</v>
      </c>
      <c r="F38" s="4" t="s">
        <v>101</v>
      </c>
      <c r="G38" s="4" t="s">
        <v>102</v>
      </c>
    </row>
    <row r="39" spans="1:7" x14ac:dyDescent="0.3">
      <c r="A39" s="4" t="s">
        <v>37</v>
      </c>
      <c r="B39" s="4">
        <v>1000000038</v>
      </c>
      <c r="C39" s="4">
        <v>89000</v>
      </c>
      <c r="D39" s="4" t="s">
        <v>38</v>
      </c>
      <c r="E39" s="4" t="s">
        <v>14</v>
      </c>
      <c r="F39" s="4" t="s">
        <v>103</v>
      </c>
      <c r="G39" s="4" t="s">
        <v>104</v>
      </c>
    </row>
    <row r="40" spans="1:7" x14ac:dyDescent="0.3">
      <c r="A40" s="4" t="s">
        <v>41</v>
      </c>
      <c r="B40" s="4">
        <v>1000000039</v>
      </c>
      <c r="C40" s="4">
        <v>46000</v>
      </c>
      <c r="D40" s="4" t="s">
        <v>42</v>
      </c>
      <c r="E40" s="4" t="s">
        <v>9</v>
      </c>
      <c r="F40" s="4" t="s">
        <v>105</v>
      </c>
      <c r="G40" s="4" t="s">
        <v>106</v>
      </c>
    </row>
    <row r="41" spans="1:7" x14ac:dyDescent="0.3">
      <c r="A41" s="4" t="s">
        <v>45</v>
      </c>
      <c r="B41" s="4">
        <v>1000000040</v>
      </c>
      <c r="C41" s="4">
        <v>77000</v>
      </c>
      <c r="D41" s="4" t="s">
        <v>46</v>
      </c>
      <c r="E41" s="4" t="s">
        <v>14</v>
      </c>
      <c r="F41" s="4" t="s">
        <v>107</v>
      </c>
      <c r="G41" s="4" t="s">
        <v>108</v>
      </c>
    </row>
    <row r="42" spans="1:7" x14ac:dyDescent="0.3">
      <c r="A42" s="4" t="s">
        <v>7</v>
      </c>
      <c r="B42" s="4">
        <v>1000000041</v>
      </c>
      <c r="C42" s="4">
        <v>50000</v>
      </c>
      <c r="D42" s="4" t="s">
        <v>8</v>
      </c>
      <c r="E42" s="4" t="s">
        <v>9</v>
      </c>
      <c r="F42" s="4" t="s">
        <v>109</v>
      </c>
      <c r="G42" s="4" t="s">
        <v>110</v>
      </c>
    </row>
    <row r="43" spans="1:7" x14ac:dyDescent="0.3">
      <c r="A43" s="4" t="s">
        <v>12</v>
      </c>
      <c r="B43" s="4">
        <v>1000000042</v>
      </c>
      <c r="C43" s="4">
        <v>75000</v>
      </c>
      <c r="D43" s="4" t="s">
        <v>13</v>
      </c>
      <c r="E43" s="4" t="s">
        <v>14</v>
      </c>
      <c r="F43" s="4" t="s">
        <v>111</v>
      </c>
      <c r="G43" s="4" t="s">
        <v>112</v>
      </c>
    </row>
    <row r="44" spans="1:7" x14ac:dyDescent="0.3">
      <c r="A44" s="4" t="s">
        <v>17</v>
      </c>
      <c r="B44" s="4">
        <v>1000000043</v>
      </c>
      <c r="C44" s="4">
        <v>120000</v>
      </c>
      <c r="D44" s="4" t="s">
        <v>18</v>
      </c>
      <c r="E44" s="4" t="s">
        <v>9</v>
      </c>
      <c r="F44" s="4" t="s">
        <v>113</v>
      </c>
      <c r="G44" s="4" t="s">
        <v>114</v>
      </c>
    </row>
    <row r="45" spans="1:7" x14ac:dyDescent="0.3">
      <c r="A45" s="4" t="s">
        <v>21</v>
      </c>
      <c r="B45" s="4">
        <v>1000000044</v>
      </c>
      <c r="C45" s="4">
        <v>45000</v>
      </c>
      <c r="D45" s="4" t="s">
        <v>22</v>
      </c>
      <c r="E45" s="4" t="s">
        <v>14</v>
      </c>
      <c r="F45" s="4" t="s">
        <v>115</v>
      </c>
      <c r="G45" s="4" t="s">
        <v>116</v>
      </c>
    </row>
    <row r="46" spans="1:7" x14ac:dyDescent="0.3">
      <c r="A46" s="4" t="s">
        <v>25</v>
      </c>
      <c r="B46" s="4">
        <v>1000000045</v>
      </c>
      <c r="C46" s="4">
        <v>98000</v>
      </c>
      <c r="D46" s="4" t="s">
        <v>26</v>
      </c>
      <c r="E46" s="4" t="s">
        <v>9</v>
      </c>
      <c r="F46" s="4" t="s">
        <v>117</v>
      </c>
      <c r="G46" s="4" t="s">
        <v>118</v>
      </c>
    </row>
    <row r="47" spans="1:7" x14ac:dyDescent="0.3">
      <c r="A47" s="4" t="s">
        <v>29</v>
      </c>
      <c r="B47" s="4">
        <v>1000000046</v>
      </c>
      <c r="C47" s="4">
        <v>67000</v>
      </c>
      <c r="D47" s="4" t="s">
        <v>30</v>
      </c>
      <c r="E47" s="4" t="s">
        <v>14</v>
      </c>
      <c r="F47" s="4" t="s">
        <v>119</v>
      </c>
      <c r="G47" s="4" t="s">
        <v>120</v>
      </c>
    </row>
    <row r="48" spans="1:7" x14ac:dyDescent="0.3">
      <c r="A48" s="4" t="s">
        <v>33</v>
      </c>
      <c r="B48" s="4">
        <v>1000000047</v>
      </c>
      <c r="C48" s="4">
        <v>56000</v>
      </c>
      <c r="D48" s="4" t="s">
        <v>34</v>
      </c>
      <c r="E48" s="4" t="s">
        <v>9</v>
      </c>
      <c r="F48" s="4" t="s">
        <v>121</v>
      </c>
      <c r="G48" s="4" t="s">
        <v>122</v>
      </c>
    </row>
    <row r="49" spans="1:7" x14ac:dyDescent="0.3">
      <c r="A49" s="4" t="s">
        <v>37</v>
      </c>
      <c r="B49" s="4">
        <v>1000000048</v>
      </c>
      <c r="C49" s="4">
        <v>89000</v>
      </c>
      <c r="D49" s="4" t="s">
        <v>38</v>
      </c>
      <c r="E49" s="4" t="s">
        <v>14</v>
      </c>
      <c r="F49" s="4" t="s">
        <v>123</v>
      </c>
      <c r="G49" s="4" t="s">
        <v>124</v>
      </c>
    </row>
    <row r="50" spans="1:7" x14ac:dyDescent="0.3">
      <c r="A50" s="4" t="s">
        <v>41</v>
      </c>
      <c r="B50" s="4">
        <v>1000000049</v>
      </c>
      <c r="C50" s="4">
        <v>46000</v>
      </c>
      <c r="D50" s="4" t="s">
        <v>42</v>
      </c>
      <c r="E50" s="4" t="s">
        <v>9</v>
      </c>
      <c r="F50" s="4" t="s">
        <v>125</v>
      </c>
      <c r="G50" s="4" t="s">
        <v>126</v>
      </c>
    </row>
    <row r="51" spans="1:7" x14ac:dyDescent="0.3">
      <c r="A51" s="4" t="s">
        <v>45</v>
      </c>
      <c r="B51" s="4">
        <v>1000000050</v>
      </c>
      <c r="C51" s="4">
        <v>77000</v>
      </c>
      <c r="D51" s="4" t="s">
        <v>46</v>
      </c>
      <c r="E51" s="4" t="s">
        <v>14</v>
      </c>
      <c r="F51" s="4" t="s">
        <v>127</v>
      </c>
      <c r="G51" s="4" t="s">
        <v>128</v>
      </c>
    </row>
    <row r="52" spans="1:7" x14ac:dyDescent="0.3">
      <c r="A52" s="4" t="s">
        <v>7</v>
      </c>
      <c r="B52" s="4">
        <v>1000000051</v>
      </c>
      <c r="C52" s="4">
        <v>50000</v>
      </c>
      <c r="D52" s="4" t="s">
        <v>8</v>
      </c>
      <c r="E52" s="4" t="s">
        <v>9</v>
      </c>
      <c r="F52" s="4" t="s">
        <v>129</v>
      </c>
      <c r="G52" s="4" t="s">
        <v>130</v>
      </c>
    </row>
    <row r="53" spans="1:7" x14ac:dyDescent="0.3">
      <c r="A53" s="4" t="s">
        <v>12</v>
      </c>
      <c r="B53" s="4">
        <v>1000000052</v>
      </c>
      <c r="C53" s="4">
        <v>75000</v>
      </c>
      <c r="D53" s="4" t="s">
        <v>13</v>
      </c>
      <c r="E53" s="4" t="s">
        <v>14</v>
      </c>
      <c r="F53" s="4" t="s">
        <v>131</v>
      </c>
      <c r="G53" s="4" t="s">
        <v>132</v>
      </c>
    </row>
    <row r="54" spans="1:7" x14ac:dyDescent="0.3">
      <c r="A54" s="4" t="s">
        <v>17</v>
      </c>
      <c r="B54" s="4">
        <v>1000000053</v>
      </c>
      <c r="C54" s="4">
        <v>120000</v>
      </c>
      <c r="D54" s="4" t="s">
        <v>18</v>
      </c>
      <c r="E54" s="4" t="s">
        <v>9</v>
      </c>
      <c r="F54" s="4" t="s">
        <v>133</v>
      </c>
      <c r="G54" s="4" t="s">
        <v>134</v>
      </c>
    </row>
    <row r="55" spans="1:7" x14ac:dyDescent="0.3">
      <c r="A55" s="4" t="s">
        <v>21</v>
      </c>
      <c r="B55" s="4">
        <v>1000000054</v>
      </c>
      <c r="C55" s="4">
        <v>45000</v>
      </c>
      <c r="D55" s="4" t="s">
        <v>22</v>
      </c>
      <c r="E55" s="4" t="s">
        <v>14</v>
      </c>
      <c r="F55" s="4" t="s">
        <v>135</v>
      </c>
      <c r="G55" s="4" t="s">
        <v>136</v>
      </c>
    </row>
    <row r="56" spans="1:7" x14ac:dyDescent="0.3">
      <c r="A56" s="4" t="s">
        <v>25</v>
      </c>
      <c r="B56" s="4">
        <v>1000000055</v>
      </c>
      <c r="C56" s="4">
        <v>98000</v>
      </c>
      <c r="D56" s="4" t="s">
        <v>26</v>
      </c>
      <c r="E56" s="4" t="s">
        <v>9</v>
      </c>
      <c r="F56" s="4" t="s">
        <v>137</v>
      </c>
      <c r="G56" s="4" t="s">
        <v>138</v>
      </c>
    </row>
    <row r="57" spans="1:7" x14ac:dyDescent="0.3">
      <c r="A57" s="4" t="s">
        <v>29</v>
      </c>
      <c r="B57" s="4">
        <v>1000000056</v>
      </c>
      <c r="C57" s="4">
        <v>67000</v>
      </c>
      <c r="D57" s="4" t="s">
        <v>30</v>
      </c>
      <c r="E57" s="4" t="s">
        <v>14</v>
      </c>
      <c r="F57" s="4" t="s">
        <v>139</v>
      </c>
      <c r="G57" s="4" t="s">
        <v>140</v>
      </c>
    </row>
    <row r="58" spans="1:7" x14ac:dyDescent="0.3">
      <c r="A58" s="4" t="s">
        <v>33</v>
      </c>
      <c r="B58" s="4">
        <v>1000000057</v>
      </c>
      <c r="C58" s="4">
        <v>56000</v>
      </c>
      <c r="D58" s="4" t="s">
        <v>34</v>
      </c>
      <c r="E58" s="4" t="s">
        <v>9</v>
      </c>
      <c r="F58" s="4" t="s">
        <v>141</v>
      </c>
      <c r="G58" s="4" t="s">
        <v>142</v>
      </c>
    </row>
    <row r="59" spans="1:7" x14ac:dyDescent="0.3">
      <c r="A59" s="4" t="s">
        <v>37</v>
      </c>
      <c r="B59" s="4">
        <v>1000000058</v>
      </c>
      <c r="C59" s="4">
        <v>89000</v>
      </c>
      <c r="D59" s="4" t="s">
        <v>38</v>
      </c>
      <c r="E59" s="4" t="s">
        <v>14</v>
      </c>
      <c r="F59" s="4" t="s">
        <v>143</v>
      </c>
      <c r="G59" s="4" t="s">
        <v>144</v>
      </c>
    </row>
    <row r="60" spans="1:7" x14ac:dyDescent="0.3">
      <c r="A60" s="4" t="s">
        <v>41</v>
      </c>
      <c r="B60" s="4">
        <v>1000000059</v>
      </c>
      <c r="C60" s="4">
        <v>46000</v>
      </c>
      <c r="D60" s="4" t="s">
        <v>42</v>
      </c>
      <c r="E60" s="4" t="s">
        <v>9</v>
      </c>
      <c r="F60" s="4" t="s">
        <v>145</v>
      </c>
      <c r="G60" s="4" t="s">
        <v>146</v>
      </c>
    </row>
    <row r="61" spans="1:7" x14ac:dyDescent="0.3">
      <c r="A61" s="4" t="s">
        <v>45</v>
      </c>
      <c r="B61" s="4">
        <v>1000000060</v>
      </c>
      <c r="C61" s="4">
        <v>77000</v>
      </c>
      <c r="D61" s="4" t="s">
        <v>46</v>
      </c>
      <c r="E61" s="4" t="s">
        <v>14</v>
      </c>
      <c r="F61" s="4" t="s">
        <v>147</v>
      </c>
      <c r="G61" s="4" t="s">
        <v>148</v>
      </c>
    </row>
    <row r="62" spans="1:7" x14ac:dyDescent="0.3">
      <c r="A62" s="4" t="s">
        <v>7</v>
      </c>
      <c r="B62" s="4">
        <v>1000000061</v>
      </c>
      <c r="C62" s="4">
        <v>50000</v>
      </c>
      <c r="D62" s="4" t="s">
        <v>8</v>
      </c>
      <c r="E62" s="4" t="s">
        <v>9</v>
      </c>
      <c r="F62" s="4" t="s">
        <v>149</v>
      </c>
      <c r="G62" s="4" t="s">
        <v>150</v>
      </c>
    </row>
    <row r="63" spans="1:7" x14ac:dyDescent="0.3">
      <c r="A63" s="4" t="s">
        <v>12</v>
      </c>
      <c r="B63" s="4">
        <v>1000000062</v>
      </c>
      <c r="C63" s="4">
        <v>75000</v>
      </c>
      <c r="D63" s="4" t="s">
        <v>13</v>
      </c>
      <c r="E63" s="4" t="s">
        <v>14</v>
      </c>
      <c r="F63" s="4" t="s">
        <v>151</v>
      </c>
      <c r="G63" s="4" t="s">
        <v>152</v>
      </c>
    </row>
    <row r="64" spans="1:7" x14ac:dyDescent="0.3">
      <c r="A64" s="4" t="s">
        <v>17</v>
      </c>
      <c r="B64" s="4">
        <v>1000000063</v>
      </c>
      <c r="C64" s="4">
        <v>120000</v>
      </c>
      <c r="D64" s="4" t="s">
        <v>18</v>
      </c>
      <c r="E64" s="4" t="s">
        <v>9</v>
      </c>
      <c r="F64" s="4" t="s">
        <v>153</v>
      </c>
      <c r="G64" s="4" t="s">
        <v>154</v>
      </c>
    </row>
    <row r="65" spans="1:7" x14ac:dyDescent="0.3">
      <c r="A65" s="4" t="s">
        <v>21</v>
      </c>
      <c r="B65" s="4">
        <v>1000000064</v>
      </c>
      <c r="C65" s="4">
        <v>45000</v>
      </c>
      <c r="D65" s="4" t="s">
        <v>22</v>
      </c>
      <c r="E65" s="4" t="s">
        <v>14</v>
      </c>
      <c r="F65" s="4" t="s">
        <v>155</v>
      </c>
      <c r="G65" s="4" t="s">
        <v>156</v>
      </c>
    </row>
    <row r="66" spans="1:7" x14ac:dyDescent="0.3">
      <c r="A66" s="4" t="s">
        <v>25</v>
      </c>
      <c r="B66" s="4">
        <v>1000000065</v>
      </c>
      <c r="C66" s="4">
        <v>98000</v>
      </c>
      <c r="D66" s="4" t="s">
        <v>26</v>
      </c>
      <c r="E66" s="4" t="s">
        <v>9</v>
      </c>
      <c r="F66" s="4" t="s">
        <v>157</v>
      </c>
      <c r="G66" s="4" t="s">
        <v>158</v>
      </c>
    </row>
    <row r="67" spans="1:7" x14ac:dyDescent="0.3">
      <c r="A67" s="4" t="s">
        <v>29</v>
      </c>
      <c r="B67" s="4">
        <v>1000000066</v>
      </c>
      <c r="C67" s="4">
        <v>67000</v>
      </c>
      <c r="D67" s="4" t="s">
        <v>30</v>
      </c>
      <c r="E67" s="4" t="s">
        <v>14</v>
      </c>
      <c r="F67" s="4" t="s">
        <v>159</v>
      </c>
      <c r="G67" s="4" t="s">
        <v>160</v>
      </c>
    </row>
    <row r="68" spans="1:7" x14ac:dyDescent="0.3">
      <c r="A68" s="4" t="s">
        <v>33</v>
      </c>
      <c r="B68" s="4">
        <v>1000000067</v>
      </c>
      <c r="C68" s="4">
        <v>56000</v>
      </c>
      <c r="D68" s="4" t="s">
        <v>34</v>
      </c>
      <c r="E68" s="4" t="s">
        <v>9</v>
      </c>
      <c r="F68" s="4" t="s">
        <v>161</v>
      </c>
      <c r="G68" s="4" t="s">
        <v>162</v>
      </c>
    </row>
    <row r="69" spans="1:7" x14ac:dyDescent="0.3">
      <c r="A69" s="4" t="s">
        <v>37</v>
      </c>
      <c r="B69" s="4">
        <v>1000000068</v>
      </c>
      <c r="C69" s="4">
        <v>89000</v>
      </c>
      <c r="D69" s="4" t="s">
        <v>38</v>
      </c>
      <c r="E69" s="4" t="s">
        <v>14</v>
      </c>
      <c r="F69" s="4" t="s">
        <v>163</v>
      </c>
      <c r="G69" s="4" t="s">
        <v>164</v>
      </c>
    </row>
    <row r="70" spans="1:7" x14ac:dyDescent="0.3">
      <c r="A70" s="4" t="s">
        <v>41</v>
      </c>
      <c r="B70" s="4">
        <v>1000000069</v>
      </c>
      <c r="C70" s="4">
        <v>46000</v>
      </c>
      <c r="D70" s="4" t="s">
        <v>42</v>
      </c>
      <c r="E70" s="4" t="s">
        <v>9</v>
      </c>
      <c r="F70" s="4" t="s">
        <v>165</v>
      </c>
      <c r="G70" s="4" t="s">
        <v>166</v>
      </c>
    </row>
    <row r="71" spans="1:7" x14ac:dyDescent="0.3">
      <c r="A71" s="4" t="s">
        <v>45</v>
      </c>
      <c r="B71" s="4">
        <v>1000000070</v>
      </c>
      <c r="C71" s="4">
        <v>77000</v>
      </c>
      <c r="D71" s="4" t="s">
        <v>46</v>
      </c>
      <c r="E71" s="4" t="s">
        <v>14</v>
      </c>
      <c r="F71" s="4" t="s">
        <v>167</v>
      </c>
      <c r="G71" s="4" t="s">
        <v>168</v>
      </c>
    </row>
    <row r="72" spans="1:7" x14ac:dyDescent="0.3">
      <c r="A72" s="4" t="s">
        <v>7</v>
      </c>
      <c r="B72" s="4">
        <v>1000000071</v>
      </c>
      <c r="C72" s="4">
        <v>50000</v>
      </c>
      <c r="D72" s="4" t="s">
        <v>8</v>
      </c>
      <c r="E72" s="4" t="s">
        <v>9</v>
      </c>
      <c r="F72" s="4" t="s">
        <v>169</v>
      </c>
      <c r="G72" s="4" t="s">
        <v>170</v>
      </c>
    </row>
    <row r="73" spans="1:7" x14ac:dyDescent="0.3">
      <c r="A73" s="4" t="s">
        <v>12</v>
      </c>
      <c r="B73" s="4">
        <v>1000000072</v>
      </c>
      <c r="C73" s="4">
        <v>75000</v>
      </c>
      <c r="D73" s="4" t="s">
        <v>13</v>
      </c>
      <c r="E73" s="4" t="s">
        <v>14</v>
      </c>
      <c r="F73" s="4" t="s">
        <v>171</v>
      </c>
      <c r="G73" s="4" t="s">
        <v>172</v>
      </c>
    </row>
    <row r="74" spans="1:7" x14ac:dyDescent="0.3">
      <c r="A74" s="4" t="s">
        <v>17</v>
      </c>
      <c r="B74" s="4">
        <v>1000000073</v>
      </c>
      <c r="C74" s="4">
        <v>120000</v>
      </c>
      <c r="D74" s="4" t="s">
        <v>18</v>
      </c>
      <c r="E74" s="4" t="s">
        <v>9</v>
      </c>
      <c r="F74" s="4" t="s">
        <v>173</v>
      </c>
      <c r="G74" s="4" t="s">
        <v>174</v>
      </c>
    </row>
    <row r="75" spans="1:7" x14ac:dyDescent="0.3">
      <c r="A75" s="4" t="s">
        <v>21</v>
      </c>
      <c r="B75" s="4">
        <v>1000000074</v>
      </c>
      <c r="C75" s="4">
        <v>45000</v>
      </c>
      <c r="D75" s="4" t="s">
        <v>22</v>
      </c>
      <c r="E75" s="4" t="s">
        <v>14</v>
      </c>
      <c r="F75" s="4" t="s">
        <v>175</v>
      </c>
      <c r="G75" s="4" t="s">
        <v>176</v>
      </c>
    </row>
    <row r="76" spans="1:7" x14ac:dyDescent="0.3">
      <c r="A76" s="4" t="s">
        <v>25</v>
      </c>
      <c r="B76" s="4">
        <v>1000000075</v>
      </c>
      <c r="C76" s="4">
        <v>98000</v>
      </c>
      <c r="D76" s="4" t="s">
        <v>26</v>
      </c>
      <c r="E76" s="4" t="s">
        <v>9</v>
      </c>
      <c r="F76" s="4" t="s">
        <v>177</v>
      </c>
      <c r="G76" s="4" t="s">
        <v>178</v>
      </c>
    </row>
    <row r="77" spans="1:7" x14ac:dyDescent="0.3">
      <c r="A77" s="4" t="s">
        <v>29</v>
      </c>
      <c r="B77" s="4">
        <v>1000000076</v>
      </c>
      <c r="C77" s="4">
        <v>67000</v>
      </c>
      <c r="D77" s="4" t="s">
        <v>30</v>
      </c>
      <c r="E77" s="4" t="s">
        <v>14</v>
      </c>
      <c r="F77" s="4" t="s">
        <v>179</v>
      </c>
      <c r="G77" s="4" t="s">
        <v>180</v>
      </c>
    </row>
    <row r="78" spans="1:7" x14ac:dyDescent="0.3">
      <c r="A78" s="4" t="s">
        <v>33</v>
      </c>
      <c r="B78" s="4">
        <v>1000000077</v>
      </c>
      <c r="C78" s="4">
        <v>56000</v>
      </c>
      <c r="D78" s="4" t="s">
        <v>34</v>
      </c>
      <c r="E78" s="4" t="s">
        <v>9</v>
      </c>
      <c r="F78" s="4" t="s">
        <v>181</v>
      </c>
      <c r="G78" s="4" t="s">
        <v>182</v>
      </c>
    </row>
    <row r="79" spans="1:7" x14ac:dyDescent="0.3">
      <c r="A79" s="4" t="s">
        <v>37</v>
      </c>
      <c r="B79" s="4">
        <v>1000000078</v>
      </c>
      <c r="C79" s="4">
        <v>89000</v>
      </c>
      <c r="D79" s="4" t="s">
        <v>38</v>
      </c>
      <c r="E79" s="4" t="s">
        <v>14</v>
      </c>
      <c r="F79" s="4" t="s">
        <v>183</v>
      </c>
      <c r="G79" s="4" t="s">
        <v>184</v>
      </c>
    </row>
    <row r="80" spans="1:7" x14ac:dyDescent="0.3">
      <c r="A80" s="4" t="s">
        <v>41</v>
      </c>
      <c r="B80" s="4">
        <v>1000000079</v>
      </c>
      <c r="C80" s="4">
        <v>46000</v>
      </c>
      <c r="D80" s="4" t="s">
        <v>42</v>
      </c>
      <c r="E80" s="4" t="s">
        <v>9</v>
      </c>
      <c r="F80" s="4" t="s">
        <v>185</v>
      </c>
      <c r="G80" s="4" t="s">
        <v>186</v>
      </c>
    </row>
    <row r="81" spans="1:7" x14ac:dyDescent="0.3">
      <c r="A81" s="4" t="s">
        <v>45</v>
      </c>
      <c r="B81" s="4">
        <v>1000000080</v>
      </c>
      <c r="C81" s="4">
        <v>77000</v>
      </c>
      <c r="D81" s="4" t="s">
        <v>46</v>
      </c>
      <c r="E81" s="4" t="s">
        <v>14</v>
      </c>
      <c r="F81" s="4" t="s">
        <v>187</v>
      </c>
      <c r="G81" s="4" t="s">
        <v>188</v>
      </c>
    </row>
    <row r="82" spans="1:7" x14ac:dyDescent="0.3">
      <c r="A82" s="4" t="s">
        <v>7</v>
      </c>
      <c r="B82" s="4">
        <v>1000000081</v>
      </c>
      <c r="C82" s="4">
        <v>50000</v>
      </c>
      <c r="D82" s="4" t="s">
        <v>8</v>
      </c>
      <c r="E82" s="4" t="s">
        <v>9</v>
      </c>
      <c r="F82" s="4" t="s">
        <v>189</v>
      </c>
      <c r="G82" s="4" t="s">
        <v>190</v>
      </c>
    </row>
    <row r="83" spans="1:7" x14ac:dyDescent="0.3">
      <c r="A83" s="4" t="s">
        <v>12</v>
      </c>
      <c r="B83" s="4">
        <v>1000000082</v>
      </c>
      <c r="C83" s="4">
        <v>75000</v>
      </c>
      <c r="D83" s="4" t="s">
        <v>13</v>
      </c>
      <c r="E83" s="4" t="s">
        <v>14</v>
      </c>
      <c r="F83" s="4" t="s">
        <v>191</v>
      </c>
      <c r="G83" s="4" t="s">
        <v>192</v>
      </c>
    </row>
    <row r="84" spans="1:7" x14ac:dyDescent="0.3">
      <c r="A84" s="4" t="s">
        <v>17</v>
      </c>
      <c r="B84" s="4">
        <v>1000000083</v>
      </c>
      <c r="C84" s="4">
        <v>120000</v>
      </c>
      <c r="D84" s="4" t="s">
        <v>18</v>
      </c>
      <c r="E84" s="4" t="s">
        <v>9</v>
      </c>
      <c r="F84" s="4" t="s">
        <v>193</v>
      </c>
      <c r="G84" s="4" t="s">
        <v>194</v>
      </c>
    </row>
    <row r="85" spans="1:7" x14ac:dyDescent="0.3">
      <c r="A85" s="4" t="s">
        <v>21</v>
      </c>
      <c r="B85" s="4">
        <v>1000000084</v>
      </c>
      <c r="C85" s="4">
        <v>45000</v>
      </c>
      <c r="D85" s="4" t="s">
        <v>22</v>
      </c>
      <c r="E85" s="4" t="s">
        <v>14</v>
      </c>
      <c r="F85" s="4" t="s">
        <v>195</v>
      </c>
      <c r="G85" s="4" t="s">
        <v>196</v>
      </c>
    </row>
    <row r="86" spans="1:7" x14ac:dyDescent="0.3">
      <c r="A86" s="4" t="s">
        <v>25</v>
      </c>
      <c r="B86" s="4">
        <v>1000000085</v>
      </c>
      <c r="C86" s="4">
        <v>98000</v>
      </c>
      <c r="D86" s="4" t="s">
        <v>26</v>
      </c>
      <c r="E86" s="4" t="s">
        <v>9</v>
      </c>
      <c r="F86" s="4" t="s">
        <v>197</v>
      </c>
      <c r="G86" s="4" t="s">
        <v>198</v>
      </c>
    </row>
    <row r="87" spans="1:7" x14ac:dyDescent="0.3">
      <c r="A87" s="4" t="s">
        <v>29</v>
      </c>
      <c r="B87" s="4">
        <v>1000000086</v>
      </c>
      <c r="C87" s="4">
        <v>67000</v>
      </c>
      <c r="D87" s="4" t="s">
        <v>30</v>
      </c>
      <c r="E87" s="4" t="s">
        <v>14</v>
      </c>
      <c r="F87" s="4" t="s">
        <v>199</v>
      </c>
      <c r="G87" s="4" t="s">
        <v>200</v>
      </c>
    </row>
    <row r="88" spans="1:7" x14ac:dyDescent="0.3">
      <c r="A88" s="4" t="s">
        <v>33</v>
      </c>
      <c r="B88" s="4">
        <v>1000000087</v>
      </c>
      <c r="C88" s="4">
        <v>56000</v>
      </c>
      <c r="D88" s="4" t="s">
        <v>34</v>
      </c>
      <c r="E88" s="4" t="s">
        <v>9</v>
      </c>
      <c r="F88" s="4" t="s">
        <v>201</v>
      </c>
      <c r="G88" s="4" t="s">
        <v>202</v>
      </c>
    </row>
    <row r="89" spans="1:7" x14ac:dyDescent="0.3">
      <c r="A89" s="4" t="s">
        <v>37</v>
      </c>
      <c r="B89" s="4">
        <v>1000000088</v>
      </c>
      <c r="C89" s="4">
        <v>89000</v>
      </c>
      <c r="D89" s="4" t="s">
        <v>38</v>
      </c>
      <c r="E89" s="4" t="s">
        <v>14</v>
      </c>
      <c r="F89" s="4" t="s">
        <v>203</v>
      </c>
      <c r="G89" s="4" t="s">
        <v>204</v>
      </c>
    </row>
    <row r="90" spans="1:7" x14ac:dyDescent="0.3">
      <c r="A90" s="4" t="s">
        <v>41</v>
      </c>
      <c r="B90" s="4">
        <v>1000000089</v>
      </c>
      <c r="C90" s="4">
        <v>46000</v>
      </c>
      <c r="D90" s="4" t="s">
        <v>42</v>
      </c>
      <c r="E90" s="4" t="s">
        <v>9</v>
      </c>
      <c r="F90" s="4" t="s">
        <v>205</v>
      </c>
      <c r="G90" s="4" t="s">
        <v>206</v>
      </c>
    </row>
    <row r="91" spans="1:7" x14ac:dyDescent="0.3">
      <c r="A91" s="4" t="s">
        <v>45</v>
      </c>
      <c r="B91" s="4">
        <v>1000000090</v>
      </c>
      <c r="C91" s="4">
        <v>77000</v>
      </c>
      <c r="D91" s="4" t="s">
        <v>46</v>
      </c>
      <c r="E91" s="4" t="s">
        <v>14</v>
      </c>
      <c r="F91" s="4" t="s">
        <v>207</v>
      </c>
      <c r="G91" s="4" t="s">
        <v>208</v>
      </c>
    </row>
    <row r="92" spans="1:7" x14ac:dyDescent="0.3">
      <c r="A92" s="4" t="s">
        <v>7</v>
      </c>
      <c r="B92" s="4">
        <v>1000000091</v>
      </c>
      <c r="C92" s="4">
        <v>50000</v>
      </c>
      <c r="D92" s="4" t="s">
        <v>8</v>
      </c>
      <c r="E92" s="4" t="s">
        <v>9</v>
      </c>
      <c r="F92" s="4" t="s">
        <v>209</v>
      </c>
      <c r="G92" s="4" t="s">
        <v>210</v>
      </c>
    </row>
    <row r="93" spans="1:7" x14ac:dyDescent="0.3">
      <c r="A93" s="4" t="s">
        <v>12</v>
      </c>
      <c r="B93" s="4">
        <v>1000000092</v>
      </c>
      <c r="C93" s="4">
        <v>75000</v>
      </c>
      <c r="D93" s="4" t="s">
        <v>13</v>
      </c>
      <c r="E93" s="4" t="s">
        <v>14</v>
      </c>
      <c r="F93" s="4" t="s">
        <v>211</v>
      </c>
      <c r="G93" s="4" t="s">
        <v>212</v>
      </c>
    </row>
    <row r="94" spans="1:7" x14ac:dyDescent="0.3">
      <c r="A94" s="4" t="s">
        <v>17</v>
      </c>
      <c r="B94" s="4">
        <v>1000000093</v>
      </c>
      <c r="C94" s="4">
        <v>120000</v>
      </c>
      <c r="D94" s="4" t="s">
        <v>18</v>
      </c>
      <c r="E94" s="4" t="s">
        <v>9</v>
      </c>
      <c r="F94" s="4" t="s">
        <v>213</v>
      </c>
      <c r="G94" s="4" t="s">
        <v>214</v>
      </c>
    </row>
    <row r="95" spans="1:7" x14ac:dyDescent="0.3">
      <c r="A95" s="4" t="s">
        <v>21</v>
      </c>
      <c r="B95" s="4">
        <v>1000000094</v>
      </c>
      <c r="C95" s="4">
        <v>45000</v>
      </c>
      <c r="D95" s="4" t="s">
        <v>22</v>
      </c>
      <c r="E95" s="4" t="s">
        <v>14</v>
      </c>
      <c r="F95" s="4" t="s">
        <v>215</v>
      </c>
      <c r="G95" s="4" t="s">
        <v>216</v>
      </c>
    </row>
    <row r="96" spans="1:7" x14ac:dyDescent="0.3">
      <c r="A96" s="4" t="s">
        <v>25</v>
      </c>
      <c r="B96" s="4">
        <v>1000000095</v>
      </c>
      <c r="C96" s="4">
        <v>98000</v>
      </c>
      <c r="D96" s="4" t="s">
        <v>26</v>
      </c>
      <c r="E96" s="4" t="s">
        <v>9</v>
      </c>
      <c r="F96" s="4" t="s">
        <v>217</v>
      </c>
      <c r="G96" s="4" t="s">
        <v>218</v>
      </c>
    </row>
    <row r="97" spans="1:7" x14ac:dyDescent="0.3">
      <c r="A97" s="4" t="s">
        <v>29</v>
      </c>
      <c r="B97" s="4">
        <v>1000000096</v>
      </c>
      <c r="C97" s="4">
        <v>67000</v>
      </c>
      <c r="D97" s="4" t="s">
        <v>30</v>
      </c>
      <c r="E97" s="4" t="s">
        <v>14</v>
      </c>
      <c r="F97" s="4" t="s">
        <v>219</v>
      </c>
      <c r="G97" s="4" t="s">
        <v>220</v>
      </c>
    </row>
    <row r="98" spans="1:7" x14ac:dyDescent="0.3">
      <c r="A98" s="4" t="s">
        <v>33</v>
      </c>
      <c r="B98" s="4">
        <v>1000000097</v>
      </c>
      <c r="C98" s="4">
        <v>56000</v>
      </c>
      <c r="D98" s="4" t="s">
        <v>34</v>
      </c>
      <c r="E98" s="4" t="s">
        <v>9</v>
      </c>
      <c r="F98" s="4" t="s">
        <v>221</v>
      </c>
      <c r="G98" s="4" t="s">
        <v>222</v>
      </c>
    </row>
    <row r="99" spans="1:7" x14ac:dyDescent="0.3">
      <c r="A99" s="4" t="s">
        <v>37</v>
      </c>
      <c r="B99" s="4">
        <v>1000000098</v>
      </c>
      <c r="C99" s="4">
        <v>89000</v>
      </c>
      <c r="D99" s="4" t="s">
        <v>38</v>
      </c>
      <c r="E99" s="4" t="s">
        <v>14</v>
      </c>
      <c r="F99" s="4" t="s">
        <v>223</v>
      </c>
      <c r="G99" s="4" t="s">
        <v>224</v>
      </c>
    </row>
    <row r="100" spans="1:7" x14ac:dyDescent="0.3">
      <c r="A100" s="4" t="s">
        <v>41</v>
      </c>
      <c r="B100" s="4">
        <v>1000000099</v>
      </c>
      <c r="C100" s="4">
        <v>46000</v>
      </c>
      <c r="D100" s="4" t="s">
        <v>42</v>
      </c>
      <c r="E100" s="4" t="s">
        <v>9</v>
      </c>
      <c r="F100" s="4" t="s">
        <v>225</v>
      </c>
      <c r="G100" s="4" t="s">
        <v>226</v>
      </c>
    </row>
    <row r="101" spans="1:7" x14ac:dyDescent="0.3">
      <c r="A101" s="4" t="s">
        <v>45</v>
      </c>
      <c r="B101" s="4">
        <v>1000000100</v>
      </c>
      <c r="C101" s="4">
        <v>77000</v>
      </c>
      <c r="D101" s="4" t="s">
        <v>46</v>
      </c>
      <c r="E101" s="4" t="s">
        <v>14</v>
      </c>
      <c r="F101" s="4" t="s">
        <v>227</v>
      </c>
      <c r="G101" s="4" t="s">
        <v>228</v>
      </c>
    </row>
    <row r="102" spans="1:7" x14ac:dyDescent="0.3">
      <c r="A102" s="4" t="s">
        <v>7</v>
      </c>
      <c r="B102" s="4">
        <v>1000000101</v>
      </c>
      <c r="C102" s="4">
        <v>50000</v>
      </c>
      <c r="D102" s="4" t="s">
        <v>8</v>
      </c>
      <c r="E102" s="4" t="s">
        <v>9</v>
      </c>
      <c r="F102" s="4" t="s">
        <v>229</v>
      </c>
      <c r="G102" s="4" t="s">
        <v>230</v>
      </c>
    </row>
    <row r="103" spans="1:7" x14ac:dyDescent="0.3">
      <c r="A103" s="4" t="s">
        <v>12</v>
      </c>
      <c r="B103" s="4">
        <v>1000000102</v>
      </c>
      <c r="C103" s="4">
        <v>75000</v>
      </c>
      <c r="D103" s="4" t="s">
        <v>13</v>
      </c>
      <c r="E103" s="4" t="s">
        <v>14</v>
      </c>
      <c r="F103" s="4" t="s">
        <v>231</v>
      </c>
      <c r="G103" s="4" t="s">
        <v>232</v>
      </c>
    </row>
    <row r="104" spans="1:7" x14ac:dyDescent="0.3">
      <c r="A104" s="4" t="s">
        <v>17</v>
      </c>
      <c r="B104" s="4">
        <v>1000000103</v>
      </c>
      <c r="C104" s="4">
        <v>120000</v>
      </c>
      <c r="D104" s="4" t="s">
        <v>18</v>
      </c>
      <c r="E104" s="4" t="s">
        <v>9</v>
      </c>
      <c r="F104" s="4" t="s">
        <v>233</v>
      </c>
      <c r="G104" s="4" t="s">
        <v>234</v>
      </c>
    </row>
    <row r="105" spans="1:7" x14ac:dyDescent="0.3">
      <c r="A105" s="4" t="s">
        <v>21</v>
      </c>
      <c r="B105" s="4">
        <v>1000000104</v>
      </c>
      <c r="C105" s="4">
        <v>45000</v>
      </c>
      <c r="D105" s="4" t="s">
        <v>22</v>
      </c>
      <c r="E105" s="4" t="s">
        <v>14</v>
      </c>
      <c r="F105" s="4" t="s">
        <v>235</v>
      </c>
      <c r="G105" s="4" t="s">
        <v>236</v>
      </c>
    </row>
    <row r="106" spans="1:7" x14ac:dyDescent="0.3">
      <c r="A106" s="4" t="s">
        <v>25</v>
      </c>
      <c r="B106" s="4">
        <v>1000000105</v>
      </c>
      <c r="C106" s="4">
        <v>98000</v>
      </c>
      <c r="D106" s="4" t="s">
        <v>26</v>
      </c>
      <c r="E106" s="4" t="s">
        <v>9</v>
      </c>
      <c r="F106" s="4" t="s">
        <v>237</v>
      </c>
      <c r="G106" s="4" t="s">
        <v>238</v>
      </c>
    </row>
    <row r="107" spans="1:7" x14ac:dyDescent="0.3">
      <c r="A107" s="4" t="s">
        <v>29</v>
      </c>
      <c r="B107" s="4">
        <v>1000000106</v>
      </c>
      <c r="C107" s="4">
        <v>67000</v>
      </c>
      <c r="D107" s="4" t="s">
        <v>30</v>
      </c>
      <c r="E107" s="4" t="s">
        <v>14</v>
      </c>
      <c r="F107" s="4" t="s">
        <v>239</v>
      </c>
      <c r="G107" s="4" t="s">
        <v>240</v>
      </c>
    </row>
    <row r="108" spans="1:7" x14ac:dyDescent="0.3">
      <c r="A108" s="4" t="s">
        <v>33</v>
      </c>
      <c r="B108" s="4">
        <v>1000000107</v>
      </c>
      <c r="C108" s="4">
        <v>56000</v>
      </c>
      <c r="D108" s="4" t="s">
        <v>34</v>
      </c>
      <c r="E108" s="4" t="s">
        <v>9</v>
      </c>
      <c r="F108" s="4" t="s">
        <v>241</v>
      </c>
      <c r="G108" s="4" t="s">
        <v>242</v>
      </c>
    </row>
    <row r="109" spans="1:7" x14ac:dyDescent="0.3">
      <c r="A109" s="4" t="s">
        <v>37</v>
      </c>
      <c r="B109" s="4">
        <v>1000000108</v>
      </c>
      <c r="C109" s="4">
        <v>89000</v>
      </c>
      <c r="D109" s="4" t="s">
        <v>38</v>
      </c>
      <c r="E109" s="4" t="s">
        <v>14</v>
      </c>
      <c r="F109" s="4" t="s">
        <v>243</v>
      </c>
      <c r="G109" s="4" t="s">
        <v>244</v>
      </c>
    </row>
    <row r="110" spans="1:7" x14ac:dyDescent="0.3">
      <c r="A110" s="4" t="s">
        <v>41</v>
      </c>
      <c r="B110" s="4">
        <v>1000000109</v>
      </c>
      <c r="C110" s="4">
        <v>46000</v>
      </c>
      <c r="D110" s="4" t="s">
        <v>42</v>
      </c>
      <c r="E110" s="4" t="s">
        <v>9</v>
      </c>
      <c r="F110" s="4" t="s">
        <v>245</v>
      </c>
      <c r="G110" s="4" t="s">
        <v>246</v>
      </c>
    </row>
    <row r="111" spans="1:7" x14ac:dyDescent="0.3">
      <c r="A111" s="4" t="s">
        <v>45</v>
      </c>
      <c r="B111" s="4">
        <v>1000000110</v>
      </c>
      <c r="C111" s="4">
        <v>77000</v>
      </c>
      <c r="D111" s="4" t="s">
        <v>46</v>
      </c>
      <c r="E111" s="4" t="s">
        <v>14</v>
      </c>
      <c r="F111" s="4" t="s">
        <v>247</v>
      </c>
      <c r="G111" s="4" t="s">
        <v>248</v>
      </c>
    </row>
    <row r="112" spans="1:7" x14ac:dyDescent="0.3">
      <c r="A112" s="4" t="s">
        <v>7</v>
      </c>
      <c r="B112" s="4">
        <v>1000000111</v>
      </c>
      <c r="C112" s="4">
        <v>50000</v>
      </c>
      <c r="D112" s="4" t="s">
        <v>8</v>
      </c>
      <c r="E112" s="4" t="s">
        <v>9</v>
      </c>
      <c r="F112" s="4" t="s">
        <v>249</v>
      </c>
      <c r="G112" s="4" t="s">
        <v>250</v>
      </c>
    </row>
    <row r="113" spans="1:7" x14ac:dyDescent="0.3">
      <c r="A113" s="4" t="s">
        <v>12</v>
      </c>
      <c r="B113" s="4">
        <v>1000000112</v>
      </c>
      <c r="C113" s="4">
        <v>75000</v>
      </c>
      <c r="D113" s="4" t="s">
        <v>13</v>
      </c>
      <c r="E113" s="4" t="s">
        <v>14</v>
      </c>
      <c r="F113" s="4" t="s">
        <v>251</v>
      </c>
      <c r="G113" s="4" t="s">
        <v>252</v>
      </c>
    </row>
    <row r="114" spans="1:7" x14ac:dyDescent="0.3">
      <c r="A114" s="4" t="s">
        <v>17</v>
      </c>
      <c r="B114" s="4">
        <v>1000000113</v>
      </c>
      <c r="C114" s="4">
        <v>120000</v>
      </c>
      <c r="D114" s="4" t="s">
        <v>18</v>
      </c>
      <c r="E114" s="4" t="s">
        <v>9</v>
      </c>
      <c r="F114" s="4" t="s">
        <v>253</v>
      </c>
      <c r="G114" s="4" t="s">
        <v>254</v>
      </c>
    </row>
    <row r="115" spans="1:7" x14ac:dyDescent="0.3">
      <c r="A115" s="4" t="s">
        <v>21</v>
      </c>
      <c r="B115" s="4">
        <v>1000000114</v>
      </c>
      <c r="C115" s="4">
        <v>45000</v>
      </c>
      <c r="D115" s="4" t="s">
        <v>22</v>
      </c>
      <c r="E115" s="4" t="s">
        <v>14</v>
      </c>
      <c r="F115" s="4" t="s">
        <v>255</v>
      </c>
      <c r="G115" s="4" t="s">
        <v>256</v>
      </c>
    </row>
    <row r="116" spans="1:7" x14ac:dyDescent="0.3">
      <c r="A116" s="4" t="s">
        <v>25</v>
      </c>
      <c r="B116" s="4">
        <v>1000000115</v>
      </c>
      <c r="C116" s="4">
        <v>98000</v>
      </c>
      <c r="D116" s="4" t="s">
        <v>26</v>
      </c>
      <c r="E116" s="4" t="s">
        <v>9</v>
      </c>
      <c r="F116" s="4" t="s">
        <v>257</v>
      </c>
      <c r="G116" s="4" t="s">
        <v>258</v>
      </c>
    </row>
    <row r="117" spans="1:7" x14ac:dyDescent="0.3">
      <c r="A117" s="4" t="s">
        <v>29</v>
      </c>
      <c r="B117" s="4">
        <v>1000000116</v>
      </c>
      <c r="C117" s="4">
        <v>67000</v>
      </c>
      <c r="D117" s="4" t="s">
        <v>30</v>
      </c>
      <c r="E117" s="4" t="s">
        <v>14</v>
      </c>
      <c r="F117" s="4" t="s">
        <v>259</v>
      </c>
      <c r="G117" s="4" t="s">
        <v>260</v>
      </c>
    </row>
    <row r="118" spans="1:7" x14ac:dyDescent="0.3">
      <c r="A118" s="4" t="s">
        <v>33</v>
      </c>
      <c r="B118" s="4">
        <v>1000000117</v>
      </c>
      <c r="C118" s="4">
        <v>56000</v>
      </c>
      <c r="D118" s="4" t="s">
        <v>34</v>
      </c>
      <c r="E118" s="4" t="s">
        <v>9</v>
      </c>
      <c r="F118" s="4" t="s">
        <v>261</v>
      </c>
      <c r="G118" s="4" t="s">
        <v>262</v>
      </c>
    </row>
    <row r="119" spans="1:7" x14ac:dyDescent="0.3">
      <c r="A119" s="4" t="s">
        <v>37</v>
      </c>
      <c r="B119" s="4">
        <v>1000000118</v>
      </c>
      <c r="C119" s="4">
        <v>89000</v>
      </c>
      <c r="D119" s="4" t="s">
        <v>38</v>
      </c>
      <c r="E119" s="4" t="s">
        <v>14</v>
      </c>
      <c r="F119" s="4" t="s">
        <v>263</v>
      </c>
      <c r="G119" s="4" t="s">
        <v>264</v>
      </c>
    </row>
    <row r="120" spans="1:7" x14ac:dyDescent="0.3">
      <c r="A120" s="4" t="s">
        <v>41</v>
      </c>
      <c r="B120" s="4">
        <v>1000000119</v>
      </c>
      <c r="C120" s="4">
        <v>46000</v>
      </c>
      <c r="D120" s="4" t="s">
        <v>42</v>
      </c>
      <c r="E120" s="4" t="s">
        <v>9</v>
      </c>
      <c r="F120" s="4" t="s">
        <v>265</v>
      </c>
      <c r="G120" s="4" t="s">
        <v>266</v>
      </c>
    </row>
    <row r="121" spans="1:7" x14ac:dyDescent="0.3">
      <c r="A121" s="4" t="s">
        <v>45</v>
      </c>
      <c r="B121" s="4">
        <v>1000000120</v>
      </c>
      <c r="C121" s="4">
        <v>77000</v>
      </c>
      <c r="D121" s="4" t="s">
        <v>46</v>
      </c>
      <c r="E121" s="4" t="s">
        <v>14</v>
      </c>
      <c r="F121" s="4" t="s">
        <v>267</v>
      </c>
      <c r="G121" s="4" t="s">
        <v>268</v>
      </c>
    </row>
    <row r="122" spans="1:7" x14ac:dyDescent="0.3">
      <c r="A122" s="4" t="s">
        <v>7</v>
      </c>
      <c r="B122" s="4">
        <v>1000000121</v>
      </c>
      <c r="C122" s="4">
        <v>50000</v>
      </c>
      <c r="D122" s="4" t="s">
        <v>8</v>
      </c>
      <c r="E122" s="4" t="s">
        <v>9</v>
      </c>
      <c r="F122" s="4" t="s">
        <v>269</v>
      </c>
      <c r="G122" s="4" t="s">
        <v>270</v>
      </c>
    </row>
    <row r="123" spans="1:7" x14ac:dyDescent="0.3">
      <c r="A123" s="4" t="s">
        <v>12</v>
      </c>
      <c r="B123" s="4">
        <v>1000000122</v>
      </c>
      <c r="C123" s="4">
        <v>75000</v>
      </c>
      <c r="D123" s="4" t="s">
        <v>13</v>
      </c>
      <c r="E123" s="4" t="s">
        <v>14</v>
      </c>
      <c r="F123" s="4" t="s">
        <v>271</v>
      </c>
      <c r="G123" s="4" t="s">
        <v>272</v>
      </c>
    </row>
    <row r="124" spans="1:7" x14ac:dyDescent="0.3">
      <c r="A124" s="4" t="s">
        <v>17</v>
      </c>
      <c r="B124" s="4">
        <v>1000000123</v>
      </c>
      <c r="C124" s="4">
        <v>120000</v>
      </c>
      <c r="D124" s="4" t="s">
        <v>18</v>
      </c>
      <c r="E124" s="4" t="s">
        <v>9</v>
      </c>
      <c r="F124" s="4" t="s">
        <v>273</v>
      </c>
      <c r="G124" s="4" t="s">
        <v>274</v>
      </c>
    </row>
    <row r="125" spans="1:7" x14ac:dyDescent="0.3">
      <c r="A125" s="4" t="s">
        <v>21</v>
      </c>
      <c r="B125" s="4">
        <v>1000000124</v>
      </c>
      <c r="C125" s="4">
        <v>45000</v>
      </c>
      <c r="D125" s="4" t="s">
        <v>22</v>
      </c>
      <c r="E125" s="4" t="s">
        <v>14</v>
      </c>
      <c r="F125" s="4" t="s">
        <v>275</v>
      </c>
      <c r="G125" s="4" t="s">
        <v>276</v>
      </c>
    </row>
    <row r="126" spans="1:7" x14ac:dyDescent="0.3">
      <c r="A126" s="4" t="s">
        <v>25</v>
      </c>
      <c r="B126" s="4">
        <v>1000000125</v>
      </c>
      <c r="C126" s="4">
        <v>98000</v>
      </c>
      <c r="D126" s="4" t="s">
        <v>26</v>
      </c>
      <c r="E126" s="4" t="s">
        <v>9</v>
      </c>
      <c r="F126" s="4" t="s">
        <v>277</v>
      </c>
      <c r="G126" s="4" t="s">
        <v>278</v>
      </c>
    </row>
    <row r="127" spans="1:7" x14ac:dyDescent="0.3">
      <c r="A127" s="4" t="s">
        <v>29</v>
      </c>
      <c r="B127" s="4">
        <v>1000000126</v>
      </c>
      <c r="C127" s="4">
        <v>67000</v>
      </c>
      <c r="D127" s="4" t="s">
        <v>30</v>
      </c>
      <c r="E127" s="4" t="s">
        <v>14</v>
      </c>
      <c r="F127" s="4" t="s">
        <v>279</v>
      </c>
      <c r="G127" s="4" t="s">
        <v>280</v>
      </c>
    </row>
    <row r="128" spans="1:7" x14ac:dyDescent="0.3">
      <c r="A128" s="4" t="s">
        <v>33</v>
      </c>
      <c r="B128" s="4">
        <v>1000000127</v>
      </c>
      <c r="C128" s="4">
        <v>56000</v>
      </c>
      <c r="D128" s="4" t="s">
        <v>34</v>
      </c>
      <c r="E128" s="4" t="s">
        <v>9</v>
      </c>
      <c r="F128" s="4" t="s">
        <v>281</v>
      </c>
      <c r="G128" s="4" t="s">
        <v>282</v>
      </c>
    </row>
    <row r="129" spans="1:7" x14ac:dyDescent="0.3">
      <c r="A129" s="4" t="s">
        <v>37</v>
      </c>
      <c r="B129" s="4">
        <v>1000000128</v>
      </c>
      <c r="C129" s="4">
        <v>89000</v>
      </c>
      <c r="D129" s="4" t="s">
        <v>38</v>
      </c>
      <c r="E129" s="4" t="s">
        <v>14</v>
      </c>
      <c r="F129" s="4" t="s">
        <v>283</v>
      </c>
      <c r="G129" s="4" t="s">
        <v>284</v>
      </c>
    </row>
    <row r="130" spans="1:7" x14ac:dyDescent="0.3">
      <c r="A130" s="4" t="s">
        <v>41</v>
      </c>
      <c r="B130" s="4">
        <v>1000000129</v>
      </c>
      <c r="C130" s="4">
        <v>46000</v>
      </c>
      <c r="D130" s="4" t="s">
        <v>42</v>
      </c>
      <c r="E130" s="4" t="s">
        <v>9</v>
      </c>
      <c r="F130" s="4" t="s">
        <v>285</v>
      </c>
      <c r="G130" s="4" t="s">
        <v>286</v>
      </c>
    </row>
    <row r="131" spans="1:7" x14ac:dyDescent="0.3">
      <c r="A131" s="4" t="s">
        <v>45</v>
      </c>
      <c r="B131" s="4">
        <v>1000000130</v>
      </c>
      <c r="C131" s="4">
        <v>77000</v>
      </c>
      <c r="D131" s="4" t="s">
        <v>46</v>
      </c>
      <c r="E131" s="4" t="s">
        <v>14</v>
      </c>
      <c r="F131" s="4" t="s">
        <v>287</v>
      </c>
      <c r="G131" s="4" t="s">
        <v>288</v>
      </c>
    </row>
    <row r="132" spans="1:7" x14ac:dyDescent="0.3">
      <c r="A132" s="4" t="s">
        <v>7</v>
      </c>
      <c r="B132" s="4">
        <v>1000000131</v>
      </c>
      <c r="C132" s="4">
        <v>50000</v>
      </c>
      <c r="D132" s="4" t="s">
        <v>8</v>
      </c>
      <c r="E132" s="4" t="s">
        <v>9</v>
      </c>
      <c r="F132" s="4" t="s">
        <v>289</v>
      </c>
      <c r="G132" s="4" t="s">
        <v>290</v>
      </c>
    </row>
    <row r="133" spans="1:7" x14ac:dyDescent="0.3">
      <c r="A133" s="4" t="s">
        <v>12</v>
      </c>
      <c r="B133" s="4">
        <v>1000000132</v>
      </c>
      <c r="C133" s="4">
        <v>75000</v>
      </c>
      <c r="D133" s="4" t="s">
        <v>13</v>
      </c>
      <c r="E133" s="4" t="s">
        <v>14</v>
      </c>
      <c r="F133" s="4" t="s">
        <v>291</v>
      </c>
      <c r="G133" s="4" t="s">
        <v>292</v>
      </c>
    </row>
    <row r="134" spans="1:7" x14ac:dyDescent="0.3">
      <c r="A134" s="4" t="s">
        <v>17</v>
      </c>
      <c r="B134" s="4">
        <v>1000000133</v>
      </c>
      <c r="C134" s="4">
        <v>120000</v>
      </c>
      <c r="D134" s="4" t="s">
        <v>18</v>
      </c>
      <c r="E134" s="4" t="s">
        <v>9</v>
      </c>
      <c r="F134" s="4" t="s">
        <v>293</v>
      </c>
      <c r="G134" s="4" t="s">
        <v>294</v>
      </c>
    </row>
    <row r="135" spans="1:7" x14ac:dyDescent="0.3">
      <c r="A135" s="4" t="s">
        <v>21</v>
      </c>
      <c r="B135" s="4">
        <v>1000000134</v>
      </c>
      <c r="C135" s="4">
        <v>45000</v>
      </c>
      <c r="D135" s="4" t="s">
        <v>22</v>
      </c>
      <c r="E135" s="4" t="s">
        <v>14</v>
      </c>
      <c r="F135" s="4" t="s">
        <v>295</v>
      </c>
      <c r="G135" s="4" t="s">
        <v>296</v>
      </c>
    </row>
    <row r="136" spans="1:7" x14ac:dyDescent="0.3">
      <c r="A136" s="4" t="s">
        <v>25</v>
      </c>
      <c r="B136" s="4">
        <v>1000000135</v>
      </c>
      <c r="C136" s="4">
        <v>98000</v>
      </c>
      <c r="D136" s="4" t="s">
        <v>26</v>
      </c>
      <c r="E136" s="4" t="s">
        <v>9</v>
      </c>
      <c r="F136" s="4" t="s">
        <v>297</v>
      </c>
      <c r="G136" s="4" t="s">
        <v>298</v>
      </c>
    </row>
    <row r="137" spans="1:7" x14ac:dyDescent="0.3">
      <c r="A137" s="4" t="s">
        <v>29</v>
      </c>
      <c r="B137" s="4">
        <v>1000000136</v>
      </c>
      <c r="C137" s="4">
        <v>67000</v>
      </c>
      <c r="D137" s="4" t="s">
        <v>30</v>
      </c>
      <c r="E137" s="4" t="s">
        <v>14</v>
      </c>
      <c r="F137" s="4" t="s">
        <v>299</v>
      </c>
      <c r="G137" s="4" t="s">
        <v>300</v>
      </c>
    </row>
    <row r="138" spans="1:7" x14ac:dyDescent="0.3">
      <c r="A138" s="4" t="s">
        <v>33</v>
      </c>
      <c r="B138" s="4">
        <v>1000000137</v>
      </c>
      <c r="C138" s="4">
        <v>56000</v>
      </c>
      <c r="D138" s="4" t="s">
        <v>34</v>
      </c>
      <c r="E138" s="4" t="s">
        <v>9</v>
      </c>
      <c r="F138" s="4" t="s">
        <v>301</v>
      </c>
      <c r="G138" s="4" t="s">
        <v>302</v>
      </c>
    </row>
    <row r="139" spans="1:7" x14ac:dyDescent="0.3">
      <c r="A139" s="4" t="s">
        <v>37</v>
      </c>
      <c r="B139" s="4">
        <v>1000000138</v>
      </c>
      <c r="C139" s="4">
        <v>89000</v>
      </c>
      <c r="D139" s="4" t="s">
        <v>38</v>
      </c>
      <c r="E139" s="4" t="s">
        <v>14</v>
      </c>
      <c r="F139" s="4" t="s">
        <v>303</v>
      </c>
      <c r="G139" s="4" t="s">
        <v>304</v>
      </c>
    </row>
    <row r="140" spans="1:7" x14ac:dyDescent="0.3">
      <c r="A140" s="4" t="s">
        <v>41</v>
      </c>
      <c r="B140" s="4">
        <v>1000000139</v>
      </c>
      <c r="C140" s="4">
        <v>46000</v>
      </c>
      <c r="D140" s="4" t="s">
        <v>42</v>
      </c>
      <c r="E140" s="4" t="s">
        <v>9</v>
      </c>
      <c r="F140" s="4" t="s">
        <v>305</v>
      </c>
      <c r="G140" s="4" t="s">
        <v>306</v>
      </c>
    </row>
    <row r="141" spans="1:7" x14ac:dyDescent="0.3">
      <c r="A141" s="4" t="s">
        <v>45</v>
      </c>
      <c r="B141" s="4">
        <v>1000000140</v>
      </c>
      <c r="C141" s="4">
        <v>77000</v>
      </c>
      <c r="D141" s="4" t="s">
        <v>46</v>
      </c>
      <c r="E141" s="4" t="s">
        <v>14</v>
      </c>
      <c r="F141" s="4" t="s">
        <v>307</v>
      </c>
      <c r="G141" s="4" t="s">
        <v>308</v>
      </c>
    </row>
    <row r="142" spans="1:7" x14ac:dyDescent="0.3">
      <c r="A142" s="4" t="s">
        <v>7</v>
      </c>
      <c r="B142" s="4">
        <v>1000000141</v>
      </c>
      <c r="C142" s="4">
        <v>50000</v>
      </c>
      <c r="D142" s="4" t="s">
        <v>8</v>
      </c>
      <c r="E142" s="4" t="s">
        <v>9</v>
      </c>
      <c r="F142" s="4" t="s">
        <v>309</v>
      </c>
      <c r="G142" s="4" t="s">
        <v>310</v>
      </c>
    </row>
    <row r="143" spans="1:7" x14ac:dyDescent="0.3">
      <c r="A143" s="4" t="s">
        <v>12</v>
      </c>
      <c r="B143" s="4">
        <v>1000000142</v>
      </c>
      <c r="C143" s="4">
        <v>75000</v>
      </c>
      <c r="D143" s="4" t="s">
        <v>13</v>
      </c>
      <c r="E143" s="4" t="s">
        <v>14</v>
      </c>
      <c r="F143" s="4" t="s">
        <v>311</v>
      </c>
      <c r="G143" s="4" t="s">
        <v>312</v>
      </c>
    </row>
    <row r="144" spans="1:7" x14ac:dyDescent="0.3">
      <c r="A144" s="4" t="s">
        <v>17</v>
      </c>
      <c r="B144" s="4">
        <v>1000000143</v>
      </c>
      <c r="C144" s="4">
        <v>120000</v>
      </c>
      <c r="D144" s="4" t="s">
        <v>18</v>
      </c>
      <c r="E144" s="4" t="s">
        <v>9</v>
      </c>
      <c r="F144" s="4" t="s">
        <v>313</v>
      </c>
      <c r="G144" s="4" t="s">
        <v>314</v>
      </c>
    </row>
    <row r="145" spans="1:7" x14ac:dyDescent="0.3">
      <c r="A145" s="4" t="s">
        <v>21</v>
      </c>
      <c r="B145" s="4">
        <v>1000000144</v>
      </c>
      <c r="C145" s="4">
        <v>45000</v>
      </c>
      <c r="D145" s="4" t="s">
        <v>22</v>
      </c>
      <c r="E145" s="4" t="s">
        <v>14</v>
      </c>
      <c r="F145" s="4" t="s">
        <v>315</v>
      </c>
      <c r="G145" s="4" t="s">
        <v>316</v>
      </c>
    </row>
    <row r="146" spans="1:7" x14ac:dyDescent="0.3">
      <c r="A146" s="4" t="s">
        <v>25</v>
      </c>
      <c r="B146" s="4">
        <v>1000000145</v>
      </c>
      <c r="C146" s="4">
        <v>98000</v>
      </c>
      <c r="D146" s="4" t="s">
        <v>26</v>
      </c>
      <c r="E146" s="4" t="s">
        <v>9</v>
      </c>
      <c r="F146" s="4" t="s">
        <v>317</v>
      </c>
      <c r="G146" s="4" t="s">
        <v>318</v>
      </c>
    </row>
    <row r="147" spans="1:7" x14ac:dyDescent="0.3">
      <c r="A147" s="4" t="s">
        <v>29</v>
      </c>
      <c r="B147" s="4">
        <v>1000000146</v>
      </c>
      <c r="C147" s="4">
        <v>67000</v>
      </c>
      <c r="D147" s="4" t="s">
        <v>30</v>
      </c>
      <c r="E147" s="4" t="s">
        <v>14</v>
      </c>
      <c r="F147" s="4" t="s">
        <v>319</v>
      </c>
      <c r="G147" s="4" t="s">
        <v>320</v>
      </c>
    </row>
    <row r="148" spans="1:7" x14ac:dyDescent="0.3">
      <c r="A148" s="4" t="s">
        <v>33</v>
      </c>
      <c r="B148" s="4">
        <v>1000000147</v>
      </c>
      <c r="C148" s="4">
        <v>56000</v>
      </c>
      <c r="D148" s="4" t="s">
        <v>34</v>
      </c>
      <c r="E148" s="4" t="s">
        <v>9</v>
      </c>
      <c r="F148" s="4" t="s">
        <v>321</v>
      </c>
      <c r="G148" s="4" t="s">
        <v>322</v>
      </c>
    </row>
    <row r="149" spans="1:7" x14ac:dyDescent="0.3">
      <c r="A149" s="4" t="s">
        <v>37</v>
      </c>
      <c r="B149" s="4">
        <v>1000000148</v>
      </c>
      <c r="C149" s="4">
        <v>89000</v>
      </c>
      <c r="D149" s="4" t="s">
        <v>38</v>
      </c>
      <c r="E149" s="4" t="s">
        <v>14</v>
      </c>
      <c r="F149" s="4" t="s">
        <v>323</v>
      </c>
      <c r="G149" s="4" t="s">
        <v>324</v>
      </c>
    </row>
    <row r="150" spans="1:7" x14ac:dyDescent="0.3">
      <c r="A150" s="4" t="s">
        <v>41</v>
      </c>
      <c r="B150" s="4">
        <v>1000000149</v>
      </c>
      <c r="C150" s="4">
        <v>46000</v>
      </c>
      <c r="D150" s="4" t="s">
        <v>42</v>
      </c>
      <c r="E150" s="4" t="s">
        <v>9</v>
      </c>
      <c r="F150" s="4" t="s">
        <v>325</v>
      </c>
      <c r="G150" s="4" t="s">
        <v>326</v>
      </c>
    </row>
    <row r="151" spans="1:7" x14ac:dyDescent="0.3">
      <c r="A151" s="4" t="s">
        <v>45</v>
      </c>
      <c r="B151" s="4">
        <v>1000000150</v>
      </c>
      <c r="C151" s="4">
        <v>77000</v>
      </c>
      <c r="D151" s="4" t="s">
        <v>46</v>
      </c>
      <c r="E151" s="4" t="s">
        <v>14</v>
      </c>
      <c r="F151" s="4" t="s">
        <v>327</v>
      </c>
      <c r="G151" s="4" t="s">
        <v>328</v>
      </c>
    </row>
    <row r="152" spans="1:7" x14ac:dyDescent="0.3">
      <c r="A152" s="4" t="s">
        <v>7</v>
      </c>
      <c r="B152" s="4">
        <v>1000000151</v>
      </c>
      <c r="C152" s="4">
        <v>50000</v>
      </c>
      <c r="D152" s="4" t="s">
        <v>8</v>
      </c>
      <c r="E152" s="4" t="s">
        <v>9</v>
      </c>
      <c r="F152" s="4" t="s">
        <v>329</v>
      </c>
      <c r="G152" s="4" t="s">
        <v>330</v>
      </c>
    </row>
    <row r="153" spans="1:7" x14ac:dyDescent="0.3">
      <c r="A153" s="4" t="s">
        <v>12</v>
      </c>
      <c r="B153" s="4">
        <v>1000000152</v>
      </c>
      <c r="C153" s="4">
        <v>75000</v>
      </c>
      <c r="D153" s="4" t="s">
        <v>13</v>
      </c>
      <c r="E153" s="4" t="s">
        <v>14</v>
      </c>
      <c r="F153" s="4" t="s">
        <v>331</v>
      </c>
      <c r="G153" s="4" t="s">
        <v>332</v>
      </c>
    </row>
    <row r="154" spans="1:7" x14ac:dyDescent="0.3">
      <c r="A154" s="4" t="s">
        <v>17</v>
      </c>
      <c r="B154" s="4">
        <v>1000000153</v>
      </c>
      <c r="C154" s="4">
        <v>120000</v>
      </c>
      <c r="D154" s="4" t="s">
        <v>18</v>
      </c>
      <c r="E154" s="4" t="s">
        <v>9</v>
      </c>
      <c r="F154" s="4" t="s">
        <v>333</v>
      </c>
      <c r="G154" s="4" t="s">
        <v>334</v>
      </c>
    </row>
    <row r="155" spans="1:7" x14ac:dyDescent="0.3">
      <c r="A155" s="4" t="s">
        <v>21</v>
      </c>
      <c r="B155" s="4">
        <v>1000000154</v>
      </c>
      <c r="C155" s="4">
        <v>45000</v>
      </c>
      <c r="D155" s="4" t="s">
        <v>22</v>
      </c>
      <c r="E155" s="4" t="s">
        <v>14</v>
      </c>
      <c r="F155" s="4" t="s">
        <v>335</v>
      </c>
      <c r="G155" s="4" t="s">
        <v>336</v>
      </c>
    </row>
    <row r="156" spans="1:7" x14ac:dyDescent="0.3">
      <c r="A156" s="4" t="s">
        <v>25</v>
      </c>
      <c r="B156" s="4">
        <v>1000000155</v>
      </c>
      <c r="C156" s="4">
        <v>98000</v>
      </c>
      <c r="D156" s="4" t="s">
        <v>26</v>
      </c>
      <c r="E156" s="4" t="s">
        <v>9</v>
      </c>
      <c r="F156" s="4" t="s">
        <v>337</v>
      </c>
      <c r="G156" s="4" t="s">
        <v>338</v>
      </c>
    </row>
    <row r="157" spans="1:7" x14ac:dyDescent="0.3">
      <c r="A157" s="4" t="s">
        <v>29</v>
      </c>
      <c r="B157" s="4">
        <v>1000000156</v>
      </c>
      <c r="C157" s="4">
        <v>67000</v>
      </c>
      <c r="D157" s="4" t="s">
        <v>30</v>
      </c>
      <c r="E157" s="4" t="s">
        <v>14</v>
      </c>
      <c r="F157" s="4" t="s">
        <v>339</v>
      </c>
      <c r="G157" s="4" t="s">
        <v>340</v>
      </c>
    </row>
    <row r="158" spans="1:7" x14ac:dyDescent="0.3">
      <c r="A158" s="4" t="s">
        <v>33</v>
      </c>
      <c r="B158" s="4">
        <v>1000000157</v>
      </c>
      <c r="C158" s="4">
        <v>56000</v>
      </c>
      <c r="D158" s="4" t="s">
        <v>34</v>
      </c>
      <c r="E158" s="4" t="s">
        <v>9</v>
      </c>
      <c r="F158" s="4" t="s">
        <v>341</v>
      </c>
      <c r="G158" s="4" t="s">
        <v>342</v>
      </c>
    </row>
    <row r="159" spans="1:7" x14ac:dyDescent="0.3">
      <c r="A159" s="4" t="s">
        <v>37</v>
      </c>
      <c r="B159" s="4">
        <v>1000000158</v>
      </c>
      <c r="C159" s="4">
        <v>89000</v>
      </c>
      <c r="D159" s="4" t="s">
        <v>38</v>
      </c>
      <c r="E159" s="4" t="s">
        <v>14</v>
      </c>
      <c r="F159" s="4" t="s">
        <v>343</v>
      </c>
      <c r="G159" s="4" t="s">
        <v>344</v>
      </c>
    </row>
    <row r="160" spans="1:7" x14ac:dyDescent="0.3">
      <c r="A160" s="4" t="s">
        <v>41</v>
      </c>
      <c r="B160" s="4">
        <v>1000000159</v>
      </c>
      <c r="C160" s="4">
        <v>46000</v>
      </c>
      <c r="D160" s="4" t="s">
        <v>42</v>
      </c>
      <c r="E160" s="4" t="s">
        <v>9</v>
      </c>
      <c r="F160" s="4" t="s">
        <v>345</v>
      </c>
      <c r="G160" s="4" t="s">
        <v>346</v>
      </c>
    </row>
    <row r="161" spans="1:7" x14ac:dyDescent="0.3">
      <c r="A161" s="4" t="s">
        <v>45</v>
      </c>
      <c r="B161" s="4">
        <v>1000000160</v>
      </c>
      <c r="C161" s="4">
        <v>77000</v>
      </c>
      <c r="D161" s="4" t="s">
        <v>46</v>
      </c>
      <c r="E161" s="4" t="s">
        <v>14</v>
      </c>
      <c r="F161" s="4" t="s">
        <v>347</v>
      </c>
      <c r="G161" s="4" t="s">
        <v>348</v>
      </c>
    </row>
    <row r="162" spans="1:7" x14ac:dyDescent="0.3">
      <c r="A162" s="4" t="s">
        <v>7</v>
      </c>
      <c r="B162" s="4">
        <v>1000000161</v>
      </c>
      <c r="C162" s="4">
        <v>50000</v>
      </c>
      <c r="D162" s="4" t="s">
        <v>8</v>
      </c>
      <c r="E162" s="4" t="s">
        <v>9</v>
      </c>
      <c r="F162" s="4" t="s">
        <v>349</v>
      </c>
      <c r="G162" s="4" t="s">
        <v>350</v>
      </c>
    </row>
    <row r="163" spans="1:7" x14ac:dyDescent="0.3">
      <c r="A163" s="4" t="s">
        <v>12</v>
      </c>
      <c r="B163" s="4">
        <v>1000000162</v>
      </c>
      <c r="C163" s="4">
        <v>75000</v>
      </c>
      <c r="D163" s="4" t="s">
        <v>13</v>
      </c>
      <c r="E163" s="4" t="s">
        <v>14</v>
      </c>
      <c r="F163" s="4" t="s">
        <v>351</v>
      </c>
      <c r="G163" s="4" t="s">
        <v>352</v>
      </c>
    </row>
    <row r="164" spans="1:7" x14ac:dyDescent="0.3">
      <c r="A164" s="4" t="s">
        <v>17</v>
      </c>
      <c r="B164" s="4">
        <v>1000000163</v>
      </c>
      <c r="C164" s="4">
        <v>120000</v>
      </c>
      <c r="D164" s="4" t="s">
        <v>18</v>
      </c>
      <c r="E164" s="4" t="s">
        <v>9</v>
      </c>
      <c r="F164" s="4" t="s">
        <v>353</v>
      </c>
      <c r="G164" s="4" t="s">
        <v>354</v>
      </c>
    </row>
    <row r="165" spans="1:7" x14ac:dyDescent="0.3">
      <c r="A165" s="4" t="s">
        <v>21</v>
      </c>
      <c r="B165" s="4">
        <v>1000000164</v>
      </c>
      <c r="C165" s="4">
        <v>45000</v>
      </c>
      <c r="D165" s="4" t="s">
        <v>22</v>
      </c>
      <c r="E165" s="4" t="s">
        <v>14</v>
      </c>
      <c r="F165" s="4" t="s">
        <v>355</v>
      </c>
      <c r="G165" s="4" t="s">
        <v>356</v>
      </c>
    </row>
    <row r="166" spans="1:7" x14ac:dyDescent="0.3">
      <c r="A166" s="4" t="s">
        <v>25</v>
      </c>
      <c r="B166" s="4">
        <v>1000000165</v>
      </c>
      <c r="C166" s="4">
        <v>98000</v>
      </c>
      <c r="D166" s="4" t="s">
        <v>26</v>
      </c>
      <c r="E166" s="4" t="s">
        <v>9</v>
      </c>
      <c r="F166" s="4" t="s">
        <v>357</v>
      </c>
      <c r="G166" s="4" t="s">
        <v>358</v>
      </c>
    </row>
    <row r="167" spans="1:7" x14ac:dyDescent="0.3">
      <c r="A167" s="4" t="s">
        <v>29</v>
      </c>
      <c r="B167" s="4">
        <v>1000000166</v>
      </c>
      <c r="C167" s="4">
        <v>67000</v>
      </c>
      <c r="D167" s="4" t="s">
        <v>30</v>
      </c>
      <c r="E167" s="4" t="s">
        <v>14</v>
      </c>
      <c r="F167" s="4" t="s">
        <v>359</v>
      </c>
      <c r="G167" s="4" t="s">
        <v>360</v>
      </c>
    </row>
    <row r="168" spans="1:7" x14ac:dyDescent="0.3">
      <c r="A168" s="4" t="s">
        <v>33</v>
      </c>
      <c r="B168" s="4">
        <v>1000000167</v>
      </c>
      <c r="C168" s="4">
        <v>56000</v>
      </c>
      <c r="D168" s="4" t="s">
        <v>34</v>
      </c>
      <c r="E168" s="4" t="s">
        <v>9</v>
      </c>
      <c r="F168" s="4" t="s">
        <v>361</v>
      </c>
      <c r="G168" s="4" t="s">
        <v>362</v>
      </c>
    </row>
    <row r="169" spans="1:7" x14ac:dyDescent="0.3">
      <c r="A169" s="4" t="s">
        <v>37</v>
      </c>
      <c r="B169" s="4">
        <v>1000000168</v>
      </c>
      <c r="C169" s="4">
        <v>89000</v>
      </c>
      <c r="D169" s="4" t="s">
        <v>38</v>
      </c>
      <c r="E169" s="4" t="s">
        <v>14</v>
      </c>
      <c r="F169" s="4" t="s">
        <v>363</v>
      </c>
      <c r="G169" s="4" t="s">
        <v>364</v>
      </c>
    </row>
    <row r="170" spans="1:7" x14ac:dyDescent="0.3">
      <c r="A170" s="4" t="s">
        <v>41</v>
      </c>
      <c r="B170" s="4">
        <v>1000000169</v>
      </c>
      <c r="C170" s="4">
        <v>46000</v>
      </c>
      <c r="D170" s="4" t="s">
        <v>42</v>
      </c>
      <c r="E170" s="4" t="s">
        <v>9</v>
      </c>
      <c r="F170" s="4" t="s">
        <v>365</v>
      </c>
      <c r="G170" s="4" t="s">
        <v>366</v>
      </c>
    </row>
    <row r="171" spans="1:7" x14ac:dyDescent="0.3">
      <c r="A171" s="4" t="s">
        <v>45</v>
      </c>
      <c r="B171" s="4">
        <v>1000000170</v>
      </c>
      <c r="C171" s="4">
        <v>77000</v>
      </c>
      <c r="D171" s="4" t="s">
        <v>46</v>
      </c>
      <c r="E171" s="4" t="s">
        <v>14</v>
      </c>
      <c r="F171" s="4" t="s">
        <v>367</v>
      </c>
      <c r="G171" s="4" t="s">
        <v>368</v>
      </c>
    </row>
    <row r="172" spans="1:7" x14ac:dyDescent="0.3">
      <c r="A172" s="4" t="s">
        <v>7</v>
      </c>
      <c r="B172" s="4">
        <v>1000000171</v>
      </c>
      <c r="C172" s="4">
        <v>50000</v>
      </c>
      <c r="D172" s="4" t="s">
        <v>8</v>
      </c>
      <c r="E172" s="4" t="s">
        <v>9</v>
      </c>
      <c r="F172" s="4" t="s">
        <v>369</v>
      </c>
      <c r="G172" s="4" t="s">
        <v>370</v>
      </c>
    </row>
    <row r="173" spans="1:7" x14ac:dyDescent="0.3">
      <c r="A173" s="4" t="s">
        <v>12</v>
      </c>
      <c r="B173" s="4">
        <v>1000000172</v>
      </c>
      <c r="C173" s="4">
        <v>75000</v>
      </c>
      <c r="D173" s="4" t="s">
        <v>13</v>
      </c>
      <c r="E173" s="4" t="s">
        <v>14</v>
      </c>
      <c r="F173" s="4" t="s">
        <v>371</v>
      </c>
      <c r="G173" s="4" t="s">
        <v>372</v>
      </c>
    </row>
    <row r="174" spans="1:7" x14ac:dyDescent="0.3">
      <c r="A174" s="4" t="s">
        <v>17</v>
      </c>
      <c r="B174" s="4">
        <v>1000000173</v>
      </c>
      <c r="C174" s="4">
        <v>120000</v>
      </c>
      <c r="D174" s="4" t="s">
        <v>18</v>
      </c>
      <c r="E174" s="4" t="s">
        <v>9</v>
      </c>
      <c r="F174" s="4" t="s">
        <v>373</v>
      </c>
      <c r="G174" s="4" t="s">
        <v>374</v>
      </c>
    </row>
    <row r="175" spans="1:7" x14ac:dyDescent="0.3">
      <c r="A175" s="4" t="s">
        <v>21</v>
      </c>
      <c r="B175" s="4">
        <v>1000000174</v>
      </c>
      <c r="C175" s="4">
        <v>45000</v>
      </c>
      <c r="D175" s="4" t="s">
        <v>22</v>
      </c>
      <c r="E175" s="4" t="s">
        <v>14</v>
      </c>
      <c r="F175" s="4" t="s">
        <v>375</v>
      </c>
      <c r="G175" s="4" t="s">
        <v>376</v>
      </c>
    </row>
    <row r="176" spans="1:7" x14ac:dyDescent="0.3">
      <c r="A176" s="4" t="s">
        <v>25</v>
      </c>
      <c r="B176" s="4">
        <v>1000000175</v>
      </c>
      <c r="C176" s="4">
        <v>98000</v>
      </c>
      <c r="D176" s="4" t="s">
        <v>26</v>
      </c>
      <c r="E176" s="4" t="s">
        <v>9</v>
      </c>
      <c r="F176" s="4" t="s">
        <v>377</v>
      </c>
      <c r="G176" s="4" t="s">
        <v>378</v>
      </c>
    </row>
    <row r="177" spans="1:7" x14ac:dyDescent="0.3">
      <c r="A177" s="4" t="s">
        <v>29</v>
      </c>
      <c r="B177" s="4">
        <v>1000000176</v>
      </c>
      <c r="C177" s="4">
        <v>67000</v>
      </c>
      <c r="D177" s="4" t="s">
        <v>30</v>
      </c>
      <c r="E177" s="4" t="s">
        <v>14</v>
      </c>
      <c r="F177" s="4" t="s">
        <v>379</v>
      </c>
      <c r="G177" s="4" t="s">
        <v>380</v>
      </c>
    </row>
    <row r="178" spans="1:7" x14ac:dyDescent="0.3">
      <c r="A178" s="4" t="s">
        <v>33</v>
      </c>
      <c r="B178" s="4">
        <v>1000000177</v>
      </c>
      <c r="C178" s="4">
        <v>56000</v>
      </c>
      <c r="D178" s="4" t="s">
        <v>34</v>
      </c>
      <c r="E178" s="4" t="s">
        <v>9</v>
      </c>
      <c r="F178" s="4" t="s">
        <v>381</v>
      </c>
      <c r="G178" s="4" t="s">
        <v>382</v>
      </c>
    </row>
    <row r="179" spans="1:7" x14ac:dyDescent="0.3">
      <c r="A179" s="4" t="s">
        <v>37</v>
      </c>
      <c r="B179" s="4">
        <v>1000000178</v>
      </c>
      <c r="C179" s="4">
        <v>89000</v>
      </c>
      <c r="D179" s="4" t="s">
        <v>38</v>
      </c>
      <c r="E179" s="4" t="s">
        <v>14</v>
      </c>
      <c r="F179" s="4" t="s">
        <v>383</v>
      </c>
      <c r="G179" s="4" t="s">
        <v>384</v>
      </c>
    </row>
    <row r="180" spans="1:7" x14ac:dyDescent="0.3">
      <c r="A180" s="4" t="s">
        <v>41</v>
      </c>
      <c r="B180" s="4">
        <v>1000000179</v>
      </c>
      <c r="C180" s="4">
        <v>46000</v>
      </c>
      <c r="D180" s="4" t="s">
        <v>42</v>
      </c>
      <c r="E180" s="4" t="s">
        <v>9</v>
      </c>
      <c r="F180" s="4" t="s">
        <v>385</v>
      </c>
      <c r="G180" s="4" t="s">
        <v>386</v>
      </c>
    </row>
    <row r="181" spans="1:7" x14ac:dyDescent="0.3">
      <c r="A181" s="4" t="s">
        <v>45</v>
      </c>
      <c r="B181" s="4">
        <v>1000000180</v>
      </c>
      <c r="C181" s="4">
        <v>77000</v>
      </c>
      <c r="D181" s="4" t="s">
        <v>46</v>
      </c>
      <c r="E181" s="4" t="s">
        <v>14</v>
      </c>
      <c r="F181" s="4" t="s">
        <v>387</v>
      </c>
      <c r="G181" s="4" t="s">
        <v>388</v>
      </c>
    </row>
    <row r="182" spans="1:7" x14ac:dyDescent="0.3">
      <c r="A182" s="4" t="s">
        <v>7</v>
      </c>
      <c r="B182" s="4">
        <v>1000000181</v>
      </c>
      <c r="C182" s="4">
        <v>50000</v>
      </c>
      <c r="D182" s="4" t="s">
        <v>8</v>
      </c>
      <c r="E182" s="4" t="s">
        <v>9</v>
      </c>
      <c r="F182" s="4" t="s">
        <v>389</v>
      </c>
      <c r="G182" s="4" t="s">
        <v>390</v>
      </c>
    </row>
    <row r="183" spans="1:7" x14ac:dyDescent="0.3">
      <c r="A183" s="4" t="s">
        <v>12</v>
      </c>
      <c r="B183" s="4">
        <v>1000000182</v>
      </c>
      <c r="C183" s="4">
        <v>75000</v>
      </c>
      <c r="D183" s="4" t="s">
        <v>13</v>
      </c>
      <c r="E183" s="4" t="s">
        <v>14</v>
      </c>
      <c r="F183" s="4" t="s">
        <v>391</v>
      </c>
      <c r="G183" s="4" t="s">
        <v>392</v>
      </c>
    </row>
    <row r="184" spans="1:7" x14ac:dyDescent="0.3">
      <c r="A184" s="4" t="s">
        <v>17</v>
      </c>
      <c r="B184" s="4">
        <v>1000000183</v>
      </c>
      <c r="C184" s="4">
        <v>120000</v>
      </c>
      <c r="D184" s="4" t="s">
        <v>18</v>
      </c>
      <c r="E184" s="4" t="s">
        <v>9</v>
      </c>
      <c r="F184" s="4" t="s">
        <v>393</v>
      </c>
      <c r="G184" s="4" t="s">
        <v>394</v>
      </c>
    </row>
    <row r="185" spans="1:7" x14ac:dyDescent="0.3">
      <c r="A185" s="4" t="s">
        <v>21</v>
      </c>
      <c r="B185" s="4">
        <v>1000000184</v>
      </c>
      <c r="C185" s="4">
        <v>45000</v>
      </c>
      <c r="D185" s="4" t="s">
        <v>22</v>
      </c>
      <c r="E185" s="4" t="s">
        <v>14</v>
      </c>
      <c r="F185" s="4" t="s">
        <v>395</v>
      </c>
      <c r="G185" s="4" t="s">
        <v>396</v>
      </c>
    </row>
    <row r="186" spans="1:7" x14ac:dyDescent="0.3">
      <c r="A186" s="4" t="s">
        <v>25</v>
      </c>
      <c r="B186" s="4">
        <v>1000000185</v>
      </c>
      <c r="C186" s="4">
        <v>98000</v>
      </c>
      <c r="D186" s="4" t="s">
        <v>26</v>
      </c>
      <c r="E186" s="4" t="s">
        <v>9</v>
      </c>
      <c r="F186" s="4" t="s">
        <v>397</v>
      </c>
      <c r="G186" s="4" t="s">
        <v>398</v>
      </c>
    </row>
    <row r="187" spans="1:7" x14ac:dyDescent="0.3">
      <c r="A187" s="4" t="s">
        <v>29</v>
      </c>
      <c r="B187" s="4">
        <v>1000000186</v>
      </c>
      <c r="C187" s="4">
        <v>67000</v>
      </c>
      <c r="D187" s="4" t="s">
        <v>30</v>
      </c>
      <c r="E187" s="4" t="s">
        <v>14</v>
      </c>
      <c r="F187" s="4" t="s">
        <v>399</v>
      </c>
      <c r="G187" s="4" t="s">
        <v>400</v>
      </c>
    </row>
    <row r="188" spans="1:7" x14ac:dyDescent="0.3">
      <c r="A188" s="4" t="s">
        <v>33</v>
      </c>
      <c r="B188" s="4">
        <v>1000000187</v>
      </c>
      <c r="C188" s="4">
        <v>56000</v>
      </c>
      <c r="D188" s="4" t="s">
        <v>34</v>
      </c>
      <c r="E188" s="4" t="s">
        <v>9</v>
      </c>
      <c r="F188" s="4" t="s">
        <v>401</v>
      </c>
      <c r="G188" s="4" t="s">
        <v>402</v>
      </c>
    </row>
    <row r="189" spans="1:7" x14ac:dyDescent="0.3">
      <c r="A189" s="4" t="s">
        <v>37</v>
      </c>
      <c r="B189" s="4">
        <v>1000000188</v>
      </c>
      <c r="C189" s="4">
        <v>89000</v>
      </c>
      <c r="D189" s="4" t="s">
        <v>38</v>
      </c>
      <c r="E189" s="4" t="s">
        <v>14</v>
      </c>
      <c r="F189" s="4" t="s">
        <v>403</v>
      </c>
      <c r="G189" s="4" t="s">
        <v>404</v>
      </c>
    </row>
    <row r="190" spans="1:7" x14ac:dyDescent="0.3">
      <c r="A190" s="4" t="s">
        <v>41</v>
      </c>
      <c r="B190" s="4">
        <v>1000000189</v>
      </c>
      <c r="C190" s="4">
        <v>46000</v>
      </c>
      <c r="D190" s="4" t="s">
        <v>42</v>
      </c>
      <c r="E190" s="4" t="s">
        <v>9</v>
      </c>
      <c r="F190" s="4" t="s">
        <v>405</v>
      </c>
      <c r="G190" s="4" t="s">
        <v>406</v>
      </c>
    </row>
    <row r="191" spans="1:7" x14ac:dyDescent="0.3">
      <c r="A191" s="4" t="s">
        <v>45</v>
      </c>
      <c r="B191" s="4">
        <v>1000000190</v>
      </c>
      <c r="C191" s="4">
        <v>77000</v>
      </c>
      <c r="D191" s="4" t="s">
        <v>46</v>
      </c>
      <c r="E191" s="4" t="s">
        <v>14</v>
      </c>
      <c r="F191" s="4" t="s">
        <v>407</v>
      </c>
      <c r="G191" s="4" t="s">
        <v>408</v>
      </c>
    </row>
    <row r="192" spans="1:7" x14ac:dyDescent="0.3">
      <c r="A192" s="4" t="s">
        <v>7</v>
      </c>
      <c r="B192" s="4">
        <v>1000000191</v>
      </c>
      <c r="C192" s="4">
        <v>50000</v>
      </c>
      <c r="D192" s="4" t="s">
        <v>8</v>
      </c>
      <c r="E192" s="4" t="s">
        <v>9</v>
      </c>
      <c r="F192" s="4" t="s">
        <v>409</v>
      </c>
      <c r="G192" s="4" t="s">
        <v>410</v>
      </c>
    </row>
    <row r="193" spans="1:7" x14ac:dyDescent="0.3">
      <c r="A193" s="4" t="s">
        <v>12</v>
      </c>
      <c r="B193" s="4">
        <v>1000000192</v>
      </c>
      <c r="C193" s="4">
        <v>75000</v>
      </c>
      <c r="D193" s="4" t="s">
        <v>13</v>
      </c>
      <c r="E193" s="4" t="s">
        <v>14</v>
      </c>
      <c r="F193" s="4" t="s">
        <v>411</v>
      </c>
      <c r="G193" s="4" t="s">
        <v>412</v>
      </c>
    </row>
    <row r="194" spans="1:7" x14ac:dyDescent="0.3">
      <c r="A194" s="4" t="s">
        <v>17</v>
      </c>
      <c r="B194" s="4">
        <v>1000000193</v>
      </c>
      <c r="C194" s="4">
        <v>120000</v>
      </c>
      <c r="D194" s="4" t="s">
        <v>18</v>
      </c>
      <c r="E194" s="4" t="s">
        <v>9</v>
      </c>
      <c r="F194" s="4" t="s">
        <v>413</v>
      </c>
      <c r="G194" s="4" t="s">
        <v>414</v>
      </c>
    </row>
    <row r="195" spans="1:7" x14ac:dyDescent="0.3">
      <c r="A195" s="4" t="s">
        <v>21</v>
      </c>
      <c r="B195" s="4">
        <v>1000000194</v>
      </c>
      <c r="C195" s="4">
        <v>45000</v>
      </c>
      <c r="D195" s="4" t="s">
        <v>22</v>
      </c>
      <c r="E195" s="4" t="s">
        <v>14</v>
      </c>
      <c r="F195" s="4" t="s">
        <v>415</v>
      </c>
      <c r="G195" s="4" t="s">
        <v>416</v>
      </c>
    </row>
    <row r="196" spans="1:7" x14ac:dyDescent="0.3">
      <c r="A196" s="4" t="s">
        <v>25</v>
      </c>
      <c r="B196" s="4">
        <v>1000000195</v>
      </c>
      <c r="C196" s="4">
        <v>98000</v>
      </c>
      <c r="D196" s="4" t="s">
        <v>26</v>
      </c>
      <c r="E196" s="4" t="s">
        <v>9</v>
      </c>
      <c r="F196" s="4" t="s">
        <v>417</v>
      </c>
      <c r="G196" s="4" t="s">
        <v>418</v>
      </c>
    </row>
    <row r="197" spans="1:7" x14ac:dyDescent="0.3">
      <c r="A197" s="4" t="s">
        <v>29</v>
      </c>
      <c r="B197" s="4">
        <v>1000000196</v>
      </c>
      <c r="C197" s="4">
        <v>67000</v>
      </c>
      <c r="D197" s="4" t="s">
        <v>30</v>
      </c>
      <c r="E197" s="4" t="s">
        <v>14</v>
      </c>
      <c r="F197" s="4" t="s">
        <v>419</v>
      </c>
      <c r="G197" s="4" t="s">
        <v>420</v>
      </c>
    </row>
    <row r="198" spans="1:7" x14ac:dyDescent="0.3">
      <c r="A198" s="4" t="s">
        <v>33</v>
      </c>
      <c r="B198" s="4">
        <v>1000000197</v>
      </c>
      <c r="C198" s="4">
        <v>56000</v>
      </c>
      <c r="D198" s="4" t="s">
        <v>34</v>
      </c>
      <c r="E198" s="4" t="s">
        <v>9</v>
      </c>
      <c r="F198" s="4" t="s">
        <v>421</v>
      </c>
      <c r="G198" s="4" t="s">
        <v>422</v>
      </c>
    </row>
    <row r="199" spans="1:7" x14ac:dyDescent="0.3">
      <c r="A199" s="4" t="s">
        <v>37</v>
      </c>
      <c r="B199" s="4">
        <v>1000000198</v>
      </c>
      <c r="C199" s="4">
        <v>89000</v>
      </c>
      <c r="D199" s="4" t="s">
        <v>38</v>
      </c>
      <c r="E199" s="4" t="s">
        <v>14</v>
      </c>
      <c r="F199" s="4" t="s">
        <v>423</v>
      </c>
      <c r="G199" s="4" t="s">
        <v>424</v>
      </c>
    </row>
    <row r="200" spans="1:7" x14ac:dyDescent="0.3">
      <c r="A200" s="4" t="s">
        <v>41</v>
      </c>
      <c r="B200" s="4">
        <v>1000000199</v>
      </c>
      <c r="C200" s="4">
        <v>46000</v>
      </c>
      <c r="D200" s="4" t="s">
        <v>42</v>
      </c>
      <c r="E200" s="4" t="s">
        <v>9</v>
      </c>
      <c r="F200" s="4" t="s">
        <v>425</v>
      </c>
      <c r="G200" s="4" t="s">
        <v>426</v>
      </c>
    </row>
    <row r="201" spans="1:7" x14ac:dyDescent="0.3">
      <c r="A201" s="4" t="s">
        <v>45</v>
      </c>
      <c r="B201" s="4">
        <v>1000000200</v>
      </c>
      <c r="C201" s="4">
        <v>77000</v>
      </c>
      <c r="D201" s="4" t="s">
        <v>46</v>
      </c>
      <c r="E201" s="4" t="s">
        <v>14</v>
      </c>
      <c r="F201" s="4" t="s">
        <v>427</v>
      </c>
      <c r="G201" s="4" t="s">
        <v>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0632-6706-4971-AA63-7BEF6EDA06BF}">
  <dimension ref="A1:N201"/>
  <sheetViews>
    <sheetView workbookViewId="0">
      <selection activeCell="K13" sqref="K1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2.33203125" bestFit="1" customWidth="1"/>
    <col min="4" max="4" width="10.6640625" bestFit="1" customWidth="1"/>
    <col min="5" max="5" width="12.5546875" bestFit="1" customWidth="1"/>
    <col min="6" max="6" width="22.33203125" bestFit="1" customWidth="1"/>
    <col min="7" max="7" width="13.88671875" bestFit="1" customWidth="1"/>
    <col min="10" max="10" width="15.44140625" bestFit="1" customWidth="1"/>
    <col min="11" max="11" width="20.2187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4" x14ac:dyDescent="0.3">
      <c r="A2" s="4" t="s">
        <v>7</v>
      </c>
      <c r="B2" s="4">
        <v>1000000001</v>
      </c>
      <c r="C2" s="4">
        <v>50000</v>
      </c>
      <c r="D2" s="4" t="s">
        <v>8</v>
      </c>
      <c r="E2" s="4" t="s">
        <v>9</v>
      </c>
      <c r="F2" s="4" t="s">
        <v>10</v>
      </c>
      <c r="G2" s="4" t="s">
        <v>11</v>
      </c>
    </row>
    <row r="3" spans="1:14" x14ac:dyDescent="0.3">
      <c r="A3" s="4" t="s">
        <v>12</v>
      </c>
      <c r="B3" s="4">
        <v>1000000002</v>
      </c>
      <c r="C3" s="4">
        <v>75000</v>
      </c>
      <c r="D3" s="4" t="s">
        <v>13</v>
      </c>
      <c r="E3" s="4" t="s">
        <v>14</v>
      </c>
      <c r="F3" s="4" t="s">
        <v>15</v>
      </c>
      <c r="G3" s="4" t="s">
        <v>16</v>
      </c>
      <c r="J3" s="2" t="s">
        <v>1</v>
      </c>
      <c r="K3">
        <v>1000000005</v>
      </c>
    </row>
    <row r="4" spans="1:14" x14ac:dyDescent="0.3">
      <c r="A4" s="4" t="s">
        <v>17</v>
      </c>
      <c r="B4" s="4">
        <v>1000000003</v>
      </c>
      <c r="C4" s="4">
        <v>120000</v>
      </c>
      <c r="D4" s="4" t="s">
        <v>18</v>
      </c>
      <c r="E4" s="4" t="s">
        <v>9</v>
      </c>
      <c r="F4" s="4" t="s">
        <v>19</v>
      </c>
      <c r="G4" s="4" t="s">
        <v>20</v>
      </c>
      <c r="J4" s="1" t="s">
        <v>2</v>
      </c>
      <c r="K4" cm="1">
        <f t="array" ref="K4">_xlfn.XLOOKUP($K$3,$B$1:$B$201,INDEX($A$1:$G$201,,MATCH(J4,$A$1:$G$1,0)))</f>
        <v>98000</v>
      </c>
      <c r="N4" t="s">
        <v>429</v>
      </c>
    </row>
    <row r="5" spans="1:14" x14ac:dyDescent="0.3">
      <c r="A5" s="4" t="s">
        <v>21</v>
      </c>
      <c r="B5" s="4">
        <v>1000000004</v>
      </c>
      <c r="C5" s="4">
        <v>45000</v>
      </c>
      <c r="D5" s="4" t="s">
        <v>22</v>
      </c>
      <c r="E5" s="4" t="s">
        <v>14</v>
      </c>
      <c r="F5" s="4" t="s">
        <v>23</v>
      </c>
      <c r="G5" s="4" t="s">
        <v>24</v>
      </c>
      <c r="J5" s="2" t="s">
        <v>3</v>
      </c>
      <c r="K5" t="str" cm="1">
        <f t="array" ref="K5">_xlfn.XLOOKUP($K$3,$B$1:$B$201,INDEX($A$1:$G$201,,MATCH(J5,$A$1:$G$1,0)))</f>
        <v>Hyderabad</v>
      </c>
    </row>
    <row r="6" spans="1:14" x14ac:dyDescent="0.3">
      <c r="A6" s="4" t="s">
        <v>25</v>
      </c>
      <c r="B6" s="4">
        <v>1000000005</v>
      </c>
      <c r="C6" s="4">
        <v>98000</v>
      </c>
      <c r="D6" s="4" t="s">
        <v>26</v>
      </c>
      <c r="E6" s="4" t="s">
        <v>9</v>
      </c>
      <c r="F6" s="4" t="s">
        <v>27</v>
      </c>
      <c r="G6" s="4" t="s">
        <v>28</v>
      </c>
      <c r="J6" s="2" t="s">
        <v>4</v>
      </c>
      <c r="K6" t="str" cm="1">
        <f t="array" ref="K6">_xlfn.XLOOKUP($K$3,$B$1:$B$201,INDEX($A$1:$G$201,,MATCH(J6,$A$1:$G$1,0)))</f>
        <v>Savings</v>
      </c>
    </row>
    <row r="7" spans="1:14" x14ac:dyDescent="0.3">
      <c r="A7" s="4" t="s">
        <v>29</v>
      </c>
      <c r="B7" s="4">
        <v>1000000006</v>
      </c>
      <c r="C7" s="4">
        <v>67000</v>
      </c>
      <c r="D7" s="4" t="s">
        <v>30</v>
      </c>
      <c r="E7" s="4" t="s">
        <v>14</v>
      </c>
      <c r="F7" s="4" t="s">
        <v>31</v>
      </c>
      <c r="G7" s="4" t="s">
        <v>32</v>
      </c>
      <c r="J7" s="2" t="s">
        <v>5</v>
      </c>
      <c r="K7" t="str" cm="1">
        <f t="array" ref="K7">_xlfn.XLOOKUP($K$3,$B$1:$B$201,INDEX($A$1:$G$201,,MATCH(J7,$A$1:$G$1,0)))</f>
        <v>customer5@email.com</v>
      </c>
    </row>
    <row r="8" spans="1:14" x14ac:dyDescent="0.3">
      <c r="A8" s="4" t="s">
        <v>33</v>
      </c>
      <c r="B8" s="4">
        <v>1000000007</v>
      </c>
      <c r="C8" s="4">
        <v>56000</v>
      </c>
      <c r="D8" s="4" t="s">
        <v>34</v>
      </c>
      <c r="E8" s="4" t="s">
        <v>9</v>
      </c>
      <c r="F8" s="4" t="s">
        <v>35</v>
      </c>
      <c r="G8" s="4" t="s">
        <v>36</v>
      </c>
      <c r="J8" s="2" t="s">
        <v>6</v>
      </c>
      <c r="K8" t="str" cm="1">
        <f t="array" ref="K8">_xlfn.XLOOKUP($K$3,$B$1:$B$201,INDEX($A$1:$G$201,,MATCH(J8,$A$1:$G$1,0)))</f>
        <v>+91-987650004</v>
      </c>
    </row>
    <row r="9" spans="1:14" x14ac:dyDescent="0.3">
      <c r="A9" s="4" t="s">
        <v>37</v>
      </c>
      <c r="B9" s="4">
        <v>1000000008</v>
      </c>
      <c r="C9" s="4">
        <v>89000</v>
      </c>
      <c r="D9" s="4" t="s">
        <v>38</v>
      </c>
      <c r="E9" s="4" t="s">
        <v>14</v>
      </c>
      <c r="F9" s="4" t="s">
        <v>39</v>
      </c>
      <c r="G9" s="4" t="s">
        <v>40</v>
      </c>
      <c r="J9" s="2" t="s">
        <v>0</v>
      </c>
      <c r="K9" t="str" cm="1">
        <f t="array" ref="K9">_xlfn.XLOOKUP($K$3,$B$1:$B$201,INDEX($A$1:$G$201,,MATCH(J9,$A$1:$G$1,0)))</f>
        <v>Ishaan Joshi</v>
      </c>
    </row>
    <row r="10" spans="1:14" x14ac:dyDescent="0.3">
      <c r="A10" s="4" t="s">
        <v>41</v>
      </c>
      <c r="B10" s="4">
        <v>1000000009</v>
      </c>
      <c r="C10" s="4">
        <v>46000</v>
      </c>
      <c r="D10" s="4" t="s">
        <v>42</v>
      </c>
      <c r="E10" s="4" t="s">
        <v>9</v>
      </c>
      <c r="F10" s="4" t="s">
        <v>43</v>
      </c>
      <c r="G10" s="4" t="s">
        <v>44</v>
      </c>
    </row>
    <row r="11" spans="1:14" x14ac:dyDescent="0.3">
      <c r="A11" s="4" t="s">
        <v>45</v>
      </c>
      <c r="B11" s="4">
        <v>1000000010</v>
      </c>
      <c r="C11" s="4">
        <v>77000</v>
      </c>
      <c r="D11" s="4" t="s">
        <v>46</v>
      </c>
      <c r="E11" s="4" t="s">
        <v>14</v>
      </c>
      <c r="F11" s="4" t="s">
        <v>47</v>
      </c>
      <c r="G11" s="4" t="s">
        <v>48</v>
      </c>
    </row>
    <row r="12" spans="1:14" x14ac:dyDescent="0.3">
      <c r="A12" s="4" t="s">
        <v>7</v>
      </c>
      <c r="B12" s="4">
        <v>1000000011</v>
      </c>
      <c r="C12" s="4">
        <v>50000</v>
      </c>
      <c r="D12" s="4" t="s">
        <v>8</v>
      </c>
      <c r="E12" s="4" t="s">
        <v>9</v>
      </c>
      <c r="F12" s="4" t="s">
        <v>49</v>
      </c>
      <c r="G12" s="4" t="s">
        <v>50</v>
      </c>
    </row>
    <row r="13" spans="1:14" x14ac:dyDescent="0.3">
      <c r="A13" s="4" t="s">
        <v>12</v>
      </c>
      <c r="B13" s="4">
        <v>1000000012</v>
      </c>
      <c r="C13" s="4">
        <v>75000</v>
      </c>
      <c r="D13" s="4" t="s">
        <v>13</v>
      </c>
      <c r="E13" s="4" t="s">
        <v>14</v>
      </c>
      <c r="F13" s="4" t="s">
        <v>51</v>
      </c>
      <c r="G13" s="4" t="s">
        <v>52</v>
      </c>
    </row>
    <row r="14" spans="1:14" x14ac:dyDescent="0.3">
      <c r="A14" s="4" t="s">
        <v>17</v>
      </c>
      <c r="B14" s="4">
        <v>1000000013</v>
      </c>
      <c r="C14" s="4">
        <v>120000</v>
      </c>
      <c r="D14" s="4" t="s">
        <v>18</v>
      </c>
      <c r="E14" s="4" t="s">
        <v>9</v>
      </c>
      <c r="F14" s="4" t="s">
        <v>53</v>
      </c>
      <c r="G14" s="4" t="s">
        <v>54</v>
      </c>
    </row>
    <row r="15" spans="1:14" x14ac:dyDescent="0.3">
      <c r="A15" s="4" t="s">
        <v>21</v>
      </c>
      <c r="B15" s="4">
        <v>1000000014</v>
      </c>
      <c r="C15" s="4">
        <v>45000</v>
      </c>
      <c r="D15" s="4" t="s">
        <v>22</v>
      </c>
      <c r="E15" s="4" t="s">
        <v>14</v>
      </c>
      <c r="F15" s="4" t="s">
        <v>55</v>
      </c>
      <c r="G15" s="4" t="s">
        <v>56</v>
      </c>
    </row>
    <row r="16" spans="1:14" x14ac:dyDescent="0.3">
      <c r="A16" s="4" t="s">
        <v>25</v>
      </c>
      <c r="B16" s="4">
        <v>1000000015</v>
      </c>
      <c r="C16" s="4">
        <v>98000</v>
      </c>
      <c r="D16" s="4" t="s">
        <v>26</v>
      </c>
      <c r="E16" s="4" t="s">
        <v>9</v>
      </c>
      <c r="F16" s="4" t="s">
        <v>57</v>
      </c>
      <c r="G16" s="4" t="s">
        <v>58</v>
      </c>
    </row>
    <row r="17" spans="1:7" x14ac:dyDescent="0.3">
      <c r="A17" s="4" t="s">
        <v>29</v>
      </c>
      <c r="B17" s="4">
        <v>1000000016</v>
      </c>
      <c r="C17" s="4">
        <v>67000</v>
      </c>
      <c r="D17" s="4" t="s">
        <v>30</v>
      </c>
      <c r="E17" s="4" t="s">
        <v>14</v>
      </c>
      <c r="F17" s="4" t="s">
        <v>59</v>
      </c>
      <c r="G17" s="4" t="s">
        <v>60</v>
      </c>
    </row>
    <row r="18" spans="1:7" x14ac:dyDescent="0.3">
      <c r="A18" s="4" t="s">
        <v>33</v>
      </c>
      <c r="B18" s="4">
        <v>1000000017</v>
      </c>
      <c r="C18" s="4">
        <v>56000</v>
      </c>
      <c r="D18" s="4" t="s">
        <v>34</v>
      </c>
      <c r="E18" s="4" t="s">
        <v>9</v>
      </c>
      <c r="F18" s="4" t="s">
        <v>61</v>
      </c>
      <c r="G18" s="4" t="s">
        <v>62</v>
      </c>
    </row>
    <row r="19" spans="1:7" x14ac:dyDescent="0.3">
      <c r="A19" s="4" t="s">
        <v>37</v>
      </c>
      <c r="B19" s="4">
        <v>1000000018</v>
      </c>
      <c r="C19" s="4">
        <v>89000</v>
      </c>
      <c r="D19" s="4" t="s">
        <v>38</v>
      </c>
      <c r="E19" s="4" t="s">
        <v>14</v>
      </c>
      <c r="F19" s="4" t="s">
        <v>63</v>
      </c>
      <c r="G19" s="4" t="s">
        <v>64</v>
      </c>
    </row>
    <row r="20" spans="1:7" x14ac:dyDescent="0.3">
      <c r="A20" s="4" t="s">
        <v>41</v>
      </c>
      <c r="B20" s="4">
        <v>1000000019</v>
      </c>
      <c r="C20" s="4">
        <v>46000</v>
      </c>
      <c r="D20" s="4" t="s">
        <v>42</v>
      </c>
      <c r="E20" s="4" t="s">
        <v>9</v>
      </c>
      <c r="F20" s="4" t="s">
        <v>65</v>
      </c>
      <c r="G20" s="4" t="s">
        <v>66</v>
      </c>
    </row>
    <row r="21" spans="1:7" x14ac:dyDescent="0.3">
      <c r="A21" s="4" t="s">
        <v>45</v>
      </c>
      <c r="B21" s="4">
        <v>1000000020</v>
      </c>
      <c r="C21" s="4">
        <v>77000</v>
      </c>
      <c r="D21" s="4" t="s">
        <v>46</v>
      </c>
      <c r="E21" s="4" t="s">
        <v>14</v>
      </c>
      <c r="F21" s="4" t="s">
        <v>67</v>
      </c>
      <c r="G21" s="4" t="s">
        <v>68</v>
      </c>
    </row>
    <row r="22" spans="1:7" x14ac:dyDescent="0.3">
      <c r="A22" s="4" t="s">
        <v>7</v>
      </c>
      <c r="B22" s="4">
        <v>1000000021</v>
      </c>
      <c r="C22" s="4">
        <v>50000</v>
      </c>
      <c r="D22" s="4" t="s">
        <v>8</v>
      </c>
      <c r="E22" s="4" t="s">
        <v>9</v>
      </c>
      <c r="F22" s="4" t="s">
        <v>69</v>
      </c>
      <c r="G22" s="4" t="s">
        <v>70</v>
      </c>
    </row>
    <row r="23" spans="1:7" x14ac:dyDescent="0.3">
      <c r="A23" s="4" t="s">
        <v>12</v>
      </c>
      <c r="B23" s="4">
        <v>1000000022</v>
      </c>
      <c r="C23" s="4">
        <v>75000</v>
      </c>
      <c r="D23" s="4" t="s">
        <v>13</v>
      </c>
      <c r="E23" s="4" t="s">
        <v>14</v>
      </c>
      <c r="F23" s="4" t="s">
        <v>71</v>
      </c>
      <c r="G23" s="4" t="s">
        <v>72</v>
      </c>
    </row>
    <row r="24" spans="1:7" x14ac:dyDescent="0.3">
      <c r="A24" s="4" t="s">
        <v>17</v>
      </c>
      <c r="B24" s="4">
        <v>1000000023</v>
      </c>
      <c r="C24" s="4">
        <v>120000</v>
      </c>
      <c r="D24" s="4" t="s">
        <v>18</v>
      </c>
      <c r="E24" s="4" t="s">
        <v>9</v>
      </c>
      <c r="F24" s="4" t="s">
        <v>73</v>
      </c>
      <c r="G24" s="4" t="s">
        <v>74</v>
      </c>
    </row>
    <row r="25" spans="1:7" x14ac:dyDescent="0.3">
      <c r="A25" s="4" t="s">
        <v>21</v>
      </c>
      <c r="B25" s="4">
        <v>1000000024</v>
      </c>
      <c r="C25" s="4">
        <v>45000</v>
      </c>
      <c r="D25" s="4" t="s">
        <v>22</v>
      </c>
      <c r="E25" s="4" t="s">
        <v>14</v>
      </c>
      <c r="F25" s="4" t="s">
        <v>75</v>
      </c>
      <c r="G25" s="4" t="s">
        <v>76</v>
      </c>
    </row>
    <row r="26" spans="1:7" x14ac:dyDescent="0.3">
      <c r="A26" s="4" t="s">
        <v>25</v>
      </c>
      <c r="B26" s="4">
        <v>1000000025</v>
      </c>
      <c r="C26" s="4">
        <v>98000</v>
      </c>
      <c r="D26" s="4" t="s">
        <v>26</v>
      </c>
      <c r="E26" s="4" t="s">
        <v>9</v>
      </c>
      <c r="F26" s="4" t="s">
        <v>77</v>
      </c>
      <c r="G26" s="4" t="s">
        <v>78</v>
      </c>
    </row>
    <row r="27" spans="1:7" x14ac:dyDescent="0.3">
      <c r="A27" s="4" t="s">
        <v>29</v>
      </c>
      <c r="B27" s="4">
        <v>1000000026</v>
      </c>
      <c r="C27" s="4">
        <v>67000</v>
      </c>
      <c r="D27" s="4" t="s">
        <v>30</v>
      </c>
      <c r="E27" s="4" t="s">
        <v>14</v>
      </c>
      <c r="F27" s="4" t="s">
        <v>79</v>
      </c>
      <c r="G27" s="4" t="s">
        <v>80</v>
      </c>
    </row>
    <row r="28" spans="1:7" x14ac:dyDescent="0.3">
      <c r="A28" s="4" t="s">
        <v>33</v>
      </c>
      <c r="B28" s="4">
        <v>1000000027</v>
      </c>
      <c r="C28" s="4">
        <v>56000</v>
      </c>
      <c r="D28" s="4" t="s">
        <v>34</v>
      </c>
      <c r="E28" s="4" t="s">
        <v>9</v>
      </c>
      <c r="F28" s="4" t="s">
        <v>81</v>
      </c>
      <c r="G28" s="4" t="s">
        <v>82</v>
      </c>
    </row>
    <row r="29" spans="1:7" x14ac:dyDescent="0.3">
      <c r="A29" s="4" t="s">
        <v>37</v>
      </c>
      <c r="B29" s="4">
        <v>1000000028</v>
      </c>
      <c r="C29" s="4">
        <v>89000</v>
      </c>
      <c r="D29" s="4" t="s">
        <v>38</v>
      </c>
      <c r="E29" s="4" t="s">
        <v>14</v>
      </c>
      <c r="F29" s="4" t="s">
        <v>83</v>
      </c>
      <c r="G29" s="4" t="s">
        <v>84</v>
      </c>
    </row>
    <row r="30" spans="1:7" x14ac:dyDescent="0.3">
      <c r="A30" s="4" t="s">
        <v>41</v>
      </c>
      <c r="B30" s="4">
        <v>1000000029</v>
      </c>
      <c r="C30" s="4">
        <v>46000</v>
      </c>
      <c r="D30" s="4" t="s">
        <v>42</v>
      </c>
      <c r="E30" s="4" t="s">
        <v>9</v>
      </c>
      <c r="F30" s="4" t="s">
        <v>85</v>
      </c>
      <c r="G30" s="4" t="s">
        <v>86</v>
      </c>
    </row>
    <row r="31" spans="1:7" x14ac:dyDescent="0.3">
      <c r="A31" s="4" t="s">
        <v>45</v>
      </c>
      <c r="B31" s="4">
        <v>1000000030</v>
      </c>
      <c r="C31" s="4">
        <v>77000</v>
      </c>
      <c r="D31" s="4" t="s">
        <v>46</v>
      </c>
      <c r="E31" s="4" t="s">
        <v>14</v>
      </c>
      <c r="F31" s="4" t="s">
        <v>87</v>
      </c>
      <c r="G31" s="4" t="s">
        <v>88</v>
      </c>
    </row>
    <row r="32" spans="1:7" x14ac:dyDescent="0.3">
      <c r="A32" s="4" t="s">
        <v>7</v>
      </c>
      <c r="B32" s="4">
        <v>1000000031</v>
      </c>
      <c r="C32" s="4">
        <v>50000</v>
      </c>
      <c r="D32" s="4" t="s">
        <v>8</v>
      </c>
      <c r="E32" s="4" t="s">
        <v>9</v>
      </c>
      <c r="F32" s="4" t="s">
        <v>89</v>
      </c>
      <c r="G32" s="4" t="s">
        <v>90</v>
      </c>
    </row>
    <row r="33" spans="1:7" x14ac:dyDescent="0.3">
      <c r="A33" s="4" t="s">
        <v>12</v>
      </c>
      <c r="B33" s="4">
        <v>1000000032</v>
      </c>
      <c r="C33" s="4">
        <v>75000</v>
      </c>
      <c r="D33" s="4" t="s">
        <v>13</v>
      </c>
      <c r="E33" s="4" t="s">
        <v>14</v>
      </c>
      <c r="F33" s="4" t="s">
        <v>91</v>
      </c>
      <c r="G33" s="4" t="s">
        <v>92</v>
      </c>
    </row>
    <row r="34" spans="1:7" x14ac:dyDescent="0.3">
      <c r="A34" s="4" t="s">
        <v>17</v>
      </c>
      <c r="B34" s="4">
        <v>1000000033</v>
      </c>
      <c r="C34" s="4">
        <v>120000</v>
      </c>
      <c r="D34" s="4" t="s">
        <v>18</v>
      </c>
      <c r="E34" s="4" t="s">
        <v>9</v>
      </c>
      <c r="F34" s="4" t="s">
        <v>93</v>
      </c>
      <c r="G34" s="4" t="s">
        <v>94</v>
      </c>
    </row>
    <row r="35" spans="1:7" x14ac:dyDescent="0.3">
      <c r="A35" s="4" t="s">
        <v>21</v>
      </c>
      <c r="B35" s="4">
        <v>1000000034</v>
      </c>
      <c r="C35" s="4">
        <v>45000</v>
      </c>
      <c r="D35" s="4" t="s">
        <v>22</v>
      </c>
      <c r="E35" s="4" t="s">
        <v>14</v>
      </c>
      <c r="F35" s="4" t="s">
        <v>95</v>
      </c>
      <c r="G35" s="4" t="s">
        <v>96</v>
      </c>
    </row>
    <row r="36" spans="1:7" x14ac:dyDescent="0.3">
      <c r="A36" s="4" t="s">
        <v>25</v>
      </c>
      <c r="B36" s="4">
        <v>1000000035</v>
      </c>
      <c r="C36" s="4">
        <v>98000</v>
      </c>
      <c r="D36" s="4" t="s">
        <v>26</v>
      </c>
      <c r="E36" s="4" t="s">
        <v>9</v>
      </c>
      <c r="F36" s="4" t="s">
        <v>97</v>
      </c>
      <c r="G36" s="4" t="s">
        <v>98</v>
      </c>
    </row>
    <row r="37" spans="1:7" x14ac:dyDescent="0.3">
      <c r="A37" s="4" t="s">
        <v>29</v>
      </c>
      <c r="B37" s="4">
        <v>1000000036</v>
      </c>
      <c r="C37" s="4">
        <v>67000</v>
      </c>
      <c r="D37" s="4" t="s">
        <v>30</v>
      </c>
      <c r="E37" s="4" t="s">
        <v>14</v>
      </c>
      <c r="F37" s="4" t="s">
        <v>99</v>
      </c>
      <c r="G37" s="4" t="s">
        <v>100</v>
      </c>
    </row>
    <row r="38" spans="1:7" x14ac:dyDescent="0.3">
      <c r="A38" s="4" t="s">
        <v>33</v>
      </c>
      <c r="B38" s="4">
        <v>1000000037</v>
      </c>
      <c r="C38" s="4">
        <v>56000</v>
      </c>
      <c r="D38" s="4" t="s">
        <v>34</v>
      </c>
      <c r="E38" s="4" t="s">
        <v>9</v>
      </c>
      <c r="F38" s="4" t="s">
        <v>101</v>
      </c>
      <c r="G38" s="4" t="s">
        <v>102</v>
      </c>
    </row>
    <row r="39" spans="1:7" x14ac:dyDescent="0.3">
      <c r="A39" s="4" t="s">
        <v>37</v>
      </c>
      <c r="B39" s="4">
        <v>1000000038</v>
      </c>
      <c r="C39" s="4">
        <v>89000</v>
      </c>
      <c r="D39" s="4" t="s">
        <v>38</v>
      </c>
      <c r="E39" s="4" t="s">
        <v>14</v>
      </c>
      <c r="F39" s="4" t="s">
        <v>103</v>
      </c>
      <c r="G39" s="4" t="s">
        <v>104</v>
      </c>
    </row>
    <row r="40" spans="1:7" x14ac:dyDescent="0.3">
      <c r="A40" s="4" t="s">
        <v>41</v>
      </c>
      <c r="B40" s="4">
        <v>1000000039</v>
      </c>
      <c r="C40" s="4">
        <v>46000</v>
      </c>
      <c r="D40" s="4" t="s">
        <v>42</v>
      </c>
      <c r="E40" s="4" t="s">
        <v>9</v>
      </c>
      <c r="F40" s="4" t="s">
        <v>105</v>
      </c>
      <c r="G40" s="4" t="s">
        <v>106</v>
      </c>
    </row>
    <row r="41" spans="1:7" x14ac:dyDescent="0.3">
      <c r="A41" s="4" t="s">
        <v>45</v>
      </c>
      <c r="B41" s="4">
        <v>1000000040</v>
      </c>
      <c r="C41" s="4">
        <v>77000</v>
      </c>
      <c r="D41" s="4" t="s">
        <v>46</v>
      </c>
      <c r="E41" s="4" t="s">
        <v>14</v>
      </c>
      <c r="F41" s="4" t="s">
        <v>107</v>
      </c>
      <c r="G41" s="4" t="s">
        <v>108</v>
      </c>
    </row>
    <row r="42" spans="1:7" x14ac:dyDescent="0.3">
      <c r="A42" s="4" t="s">
        <v>7</v>
      </c>
      <c r="B42" s="4">
        <v>1000000041</v>
      </c>
      <c r="C42" s="4">
        <v>50000</v>
      </c>
      <c r="D42" s="4" t="s">
        <v>8</v>
      </c>
      <c r="E42" s="4" t="s">
        <v>9</v>
      </c>
      <c r="F42" s="4" t="s">
        <v>109</v>
      </c>
      <c r="G42" s="4" t="s">
        <v>110</v>
      </c>
    </row>
    <row r="43" spans="1:7" x14ac:dyDescent="0.3">
      <c r="A43" s="4" t="s">
        <v>12</v>
      </c>
      <c r="B43" s="4">
        <v>1000000042</v>
      </c>
      <c r="C43" s="4">
        <v>75000</v>
      </c>
      <c r="D43" s="4" t="s">
        <v>13</v>
      </c>
      <c r="E43" s="4" t="s">
        <v>14</v>
      </c>
      <c r="F43" s="4" t="s">
        <v>111</v>
      </c>
      <c r="G43" s="4" t="s">
        <v>112</v>
      </c>
    </row>
    <row r="44" spans="1:7" x14ac:dyDescent="0.3">
      <c r="A44" s="4" t="s">
        <v>17</v>
      </c>
      <c r="B44" s="4">
        <v>1000000043</v>
      </c>
      <c r="C44" s="4">
        <v>120000</v>
      </c>
      <c r="D44" s="4" t="s">
        <v>18</v>
      </c>
      <c r="E44" s="4" t="s">
        <v>9</v>
      </c>
      <c r="F44" s="4" t="s">
        <v>113</v>
      </c>
      <c r="G44" s="4" t="s">
        <v>114</v>
      </c>
    </row>
    <row r="45" spans="1:7" x14ac:dyDescent="0.3">
      <c r="A45" s="4" t="s">
        <v>21</v>
      </c>
      <c r="B45" s="4">
        <v>1000000044</v>
      </c>
      <c r="C45" s="4">
        <v>45000</v>
      </c>
      <c r="D45" s="4" t="s">
        <v>22</v>
      </c>
      <c r="E45" s="4" t="s">
        <v>14</v>
      </c>
      <c r="F45" s="4" t="s">
        <v>115</v>
      </c>
      <c r="G45" s="4" t="s">
        <v>116</v>
      </c>
    </row>
    <row r="46" spans="1:7" x14ac:dyDescent="0.3">
      <c r="A46" s="4" t="s">
        <v>25</v>
      </c>
      <c r="B46" s="4">
        <v>1000000045</v>
      </c>
      <c r="C46" s="4">
        <v>98000</v>
      </c>
      <c r="D46" s="4" t="s">
        <v>26</v>
      </c>
      <c r="E46" s="4" t="s">
        <v>9</v>
      </c>
      <c r="F46" s="4" t="s">
        <v>117</v>
      </c>
      <c r="G46" s="4" t="s">
        <v>118</v>
      </c>
    </row>
    <row r="47" spans="1:7" x14ac:dyDescent="0.3">
      <c r="A47" s="4" t="s">
        <v>29</v>
      </c>
      <c r="B47" s="4">
        <v>1000000046</v>
      </c>
      <c r="C47" s="4">
        <v>67000</v>
      </c>
      <c r="D47" s="4" t="s">
        <v>30</v>
      </c>
      <c r="E47" s="4" t="s">
        <v>14</v>
      </c>
      <c r="F47" s="4" t="s">
        <v>119</v>
      </c>
      <c r="G47" s="4" t="s">
        <v>120</v>
      </c>
    </row>
    <row r="48" spans="1:7" x14ac:dyDescent="0.3">
      <c r="A48" s="4" t="s">
        <v>33</v>
      </c>
      <c r="B48" s="4">
        <v>1000000047</v>
      </c>
      <c r="C48" s="4">
        <v>56000</v>
      </c>
      <c r="D48" s="4" t="s">
        <v>34</v>
      </c>
      <c r="E48" s="4" t="s">
        <v>9</v>
      </c>
      <c r="F48" s="4" t="s">
        <v>121</v>
      </c>
      <c r="G48" s="4" t="s">
        <v>122</v>
      </c>
    </row>
    <row r="49" spans="1:7" x14ac:dyDescent="0.3">
      <c r="A49" s="4" t="s">
        <v>37</v>
      </c>
      <c r="B49" s="4">
        <v>1000000048</v>
      </c>
      <c r="C49" s="4">
        <v>89000</v>
      </c>
      <c r="D49" s="4" t="s">
        <v>38</v>
      </c>
      <c r="E49" s="4" t="s">
        <v>14</v>
      </c>
      <c r="F49" s="4" t="s">
        <v>123</v>
      </c>
      <c r="G49" s="4" t="s">
        <v>124</v>
      </c>
    </row>
    <row r="50" spans="1:7" x14ac:dyDescent="0.3">
      <c r="A50" s="4" t="s">
        <v>41</v>
      </c>
      <c r="B50" s="4">
        <v>1000000049</v>
      </c>
      <c r="C50" s="4">
        <v>46000</v>
      </c>
      <c r="D50" s="4" t="s">
        <v>42</v>
      </c>
      <c r="E50" s="4" t="s">
        <v>9</v>
      </c>
      <c r="F50" s="4" t="s">
        <v>125</v>
      </c>
      <c r="G50" s="4" t="s">
        <v>126</v>
      </c>
    </row>
    <row r="51" spans="1:7" x14ac:dyDescent="0.3">
      <c r="A51" s="4" t="s">
        <v>45</v>
      </c>
      <c r="B51" s="4">
        <v>1000000050</v>
      </c>
      <c r="C51" s="4">
        <v>77000</v>
      </c>
      <c r="D51" s="4" t="s">
        <v>46</v>
      </c>
      <c r="E51" s="4" t="s">
        <v>14</v>
      </c>
      <c r="F51" s="4" t="s">
        <v>127</v>
      </c>
      <c r="G51" s="4" t="s">
        <v>128</v>
      </c>
    </row>
    <row r="52" spans="1:7" x14ac:dyDescent="0.3">
      <c r="A52" s="4" t="s">
        <v>7</v>
      </c>
      <c r="B52" s="4">
        <v>1000000051</v>
      </c>
      <c r="C52" s="4">
        <v>50000</v>
      </c>
      <c r="D52" s="4" t="s">
        <v>8</v>
      </c>
      <c r="E52" s="4" t="s">
        <v>9</v>
      </c>
      <c r="F52" s="4" t="s">
        <v>129</v>
      </c>
      <c r="G52" s="4" t="s">
        <v>130</v>
      </c>
    </row>
    <row r="53" spans="1:7" x14ac:dyDescent="0.3">
      <c r="A53" s="4" t="s">
        <v>12</v>
      </c>
      <c r="B53" s="4">
        <v>1000000052</v>
      </c>
      <c r="C53" s="4">
        <v>75000</v>
      </c>
      <c r="D53" s="4" t="s">
        <v>13</v>
      </c>
      <c r="E53" s="4" t="s">
        <v>14</v>
      </c>
      <c r="F53" s="4" t="s">
        <v>131</v>
      </c>
      <c r="G53" s="4" t="s">
        <v>132</v>
      </c>
    </row>
    <row r="54" spans="1:7" x14ac:dyDescent="0.3">
      <c r="A54" s="4" t="s">
        <v>17</v>
      </c>
      <c r="B54" s="4">
        <v>1000000053</v>
      </c>
      <c r="C54" s="4">
        <v>120000</v>
      </c>
      <c r="D54" s="4" t="s">
        <v>18</v>
      </c>
      <c r="E54" s="4" t="s">
        <v>9</v>
      </c>
      <c r="F54" s="4" t="s">
        <v>133</v>
      </c>
      <c r="G54" s="4" t="s">
        <v>134</v>
      </c>
    </row>
    <row r="55" spans="1:7" x14ac:dyDescent="0.3">
      <c r="A55" s="4" t="s">
        <v>21</v>
      </c>
      <c r="B55" s="4">
        <v>1000000054</v>
      </c>
      <c r="C55" s="4">
        <v>45000</v>
      </c>
      <c r="D55" s="4" t="s">
        <v>22</v>
      </c>
      <c r="E55" s="4" t="s">
        <v>14</v>
      </c>
      <c r="F55" s="4" t="s">
        <v>135</v>
      </c>
      <c r="G55" s="4" t="s">
        <v>136</v>
      </c>
    </row>
    <row r="56" spans="1:7" x14ac:dyDescent="0.3">
      <c r="A56" s="4" t="s">
        <v>25</v>
      </c>
      <c r="B56" s="4">
        <v>1000000055</v>
      </c>
      <c r="C56" s="4">
        <v>98000</v>
      </c>
      <c r="D56" s="4" t="s">
        <v>26</v>
      </c>
      <c r="E56" s="4" t="s">
        <v>9</v>
      </c>
      <c r="F56" s="4" t="s">
        <v>137</v>
      </c>
      <c r="G56" s="4" t="s">
        <v>138</v>
      </c>
    </row>
    <row r="57" spans="1:7" x14ac:dyDescent="0.3">
      <c r="A57" s="4" t="s">
        <v>29</v>
      </c>
      <c r="B57" s="4">
        <v>1000000056</v>
      </c>
      <c r="C57" s="4">
        <v>67000</v>
      </c>
      <c r="D57" s="4" t="s">
        <v>30</v>
      </c>
      <c r="E57" s="4" t="s">
        <v>14</v>
      </c>
      <c r="F57" s="4" t="s">
        <v>139</v>
      </c>
      <c r="G57" s="4" t="s">
        <v>140</v>
      </c>
    </row>
    <row r="58" spans="1:7" x14ac:dyDescent="0.3">
      <c r="A58" s="4" t="s">
        <v>33</v>
      </c>
      <c r="B58" s="4">
        <v>1000000057</v>
      </c>
      <c r="C58" s="4">
        <v>56000</v>
      </c>
      <c r="D58" s="4" t="s">
        <v>34</v>
      </c>
      <c r="E58" s="4" t="s">
        <v>9</v>
      </c>
      <c r="F58" s="4" t="s">
        <v>141</v>
      </c>
      <c r="G58" s="4" t="s">
        <v>142</v>
      </c>
    </row>
    <row r="59" spans="1:7" x14ac:dyDescent="0.3">
      <c r="A59" s="4" t="s">
        <v>37</v>
      </c>
      <c r="B59" s="4">
        <v>1000000058</v>
      </c>
      <c r="C59" s="4">
        <v>89000</v>
      </c>
      <c r="D59" s="4" t="s">
        <v>38</v>
      </c>
      <c r="E59" s="4" t="s">
        <v>14</v>
      </c>
      <c r="F59" s="4" t="s">
        <v>143</v>
      </c>
      <c r="G59" s="4" t="s">
        <v>144</v>
      </c>
    </row>
    <row r="60" spans="1:7" x14ac:dyDescent="0.3">
      <c r="A60" s="4" t="s">
        <v>41</v>
      </c>
      <c r="B60" s="4">
        <v>1000000059</v>
      </c>
      <c r="C60" s="4">
        <v>46000</v>
      </c>
      <c r="D60" s="4" t="s">
        <v>42</v>
      </c>
      <c r="E60" s="4" t="s">
        <v>9</v>
      </c>
      <c r="F60" s="4" t="s">
        <v>145</v>
      </c>
      <c r="G60" s="4" t="s">
        <v>146</v>
      </c>
    </row>
    <row r="61" spans="1:7" x14ac:dyDescent="0.3">
      <c r="A61" s="4" t="s">
        <v>45</v>
      </c>
      <c r="B61" s="4">
        <v>1000000060</v>
      </c>
      <c r="C61" s="4">
        <v>77000</v>
      </c>
      <c r="D61" s="4" t="s">
        <v>46</v>
      </c>
      <c r="E61" s="4" t="s">
        <v>14</v>
      </c>
      <c r="F61" s="4" t="s">
        <v>147</v>
      </c>
      <c r="G61" s="4" t="s">
        <v>148</v>
      </c>
    </row>
    <row r="62" spans="1:7" x14ac:dyDescent="0.3">
      <c r="A62" s="4" t="s">
        <v>7</v>
      </c>
      <c r="B62" s="4">
        <v>1000000061</v>
      </c>
      <c r="C62" s="4">
        <v>50000</v>
      </c>
      <c r="D62" s="4" t="s">
        <v>8</v>
      </c>
      <c r="E62" s="4" t="s">
        <v>9</v>
      </c>
      <c r="F62" s="4" t="s">
        <v>149</v>
      </c>
      <c r="G62" s="4" t="s">
        <v>150</v>
      </c>
    </row>
    <row r="63" spans="1:7" x14ac:dyDescent="0.3">
      <c r="A63" s="4" t="s">
        <v>12</v>
      </c>
      <c r="B63" s="4">
        <v>1000000062</v>
      </c>
      <c r="C63" s="4">
        <v>75000</v>
      </c>
      <c r="D63" s="4" t="s">
        <v>13</v>
      </c>
      <c r="E63" s="4" t="s">
        <v>14</v>
      </c>
      <c r="F63" s="4" t="s">
        <v>151</v>
      </c>
      <c r="G63" s="4" t="s">
        <v>152</v>
      </c>
    </row>
    <row r="64" spans="1:7" x14ac:dyDescent="0.3">
      <c r="A64" s="4" t="s">
        <v>17</v>
      </c>
      <c r="B64" s="4">
        <v>1000000063</v>
      </c>
      <c r="C64" s="4">
        <v>120000</v>
      </c>
      <c r="D64" s="4" t="s">
        <v>18</v>
      </c>
      <c r="E64" s="4" t="s">
        <v>9</v>
      </c>
      <c r="F64" s="4" t="s">
        <v>153</v>
      </c>
      <c r="G64" s="4" t="s">
        <v>154</v>
      </c>
    </row>
    <row r="65" spans="1:7" x14ac:dyDescent="0.3">
      <c r="A65" s="4" t="s">
        <v>21</v>
      </c>
      <c r="B65" s="4">
        <v>1000000064</v>
      </c>
      <c r="C65" s="4">
        <v>45000</v>
      </c>
      <c r="D65" s="4" t="s">
        <v>22</v>
      </c>
      <c r="E65" s="4" t="s">
        <v>14</v>
      </c>
      <c r="F65" s="4" t="s">
        <v>155</v>
      </c>
      <c r="G65" s="4" t="s">
        <v>156</v>
      </c>
    </row>
    <row r="66" spans="1:7" x14ac:dyDescent="0.3">
      <c r="A66" s="4" t="s">
        <v>25</v>
      </c>
      <c r="B66" s="4">
        <v>1000000065</v>
      </c>
      <c r="C66" s="4">
        <v>98000</v>
      </c>
      <c r="D66" s="4" t="s">
        <v>26</v>
      </c>
      <c r="E66" s="4" t="s">
        <v>9</v>
      </c>
      <c r="F66" s="4" t="s">
        <v>157</v>
      </c>
      <c r="G66" s="4" t="s">
        <v>158</v>
      </c>
    </row>
    <row r="67" spans="1:7" x14ac:dyDescent="0.3">
      <c r="A67" s="4" t="s">
        <v>29</v>
      </c>
      <c r="B67" s="4">
        <v>1000000066</v>
      </c>
      <c r="C67" s="4">
        <v>67000</v>
      </c>
      <c r="D67" s="4" t="s">
        <v>30</v>
      </c>
      <c r="E67" s="4" t="s">
        <v>14</v>
      </c>
      <c r="F67" s="4" t="s">
        <v>159</v>
      </c>
      <c r="G67" s="4" t="s">
        <v>160</v>
      </c>
    </row>
    <row r="68" spans="1:7" x14ac:dyDescent="0.3">
      <c r="A68" s="4" t="s">
        <v>33</v>
      </c>
      <c r="B68" s="4">
        <v>1000000067</v>
      </c>
      <c r="C68" s="4">
        <v>56000</v>
      </c>
      <c r="D68" s="4" t="s">
        <v>34</v>
      </c>
      <c r="E68" s="4" t="s">
        <v>9</v>
      </c>
      <c r="F68" s="4" t="s">
        <v>161</v>
      </c>
      <c r="G68" s="4" t="s">
        <v>162</v>
      </c>
    </row>
    <row r="69" spans="1:7" x14ac:dyDescent="0.3">
      <c r="A69" s="4" t="s">
        <v>37</v>
      </c>
      <c r="B69" s="4">
        <v>1000000068</v>
      </c>
      <c r="C69" s="4">
        <v>89000</v>
      </c>
      <c r="D69" s="4" t="s">
        <v>38</v>
      </c>
      <c r="E69" s="4" t="s">
        <v>14</v>
      </c>
      <c r="F69" s="4" t="s">
        <v>163</v>
      </c>
      <c r="G69" s="4" t="s">
        <v>164</v>
      </c>
    </row>
    <row r="70" spans="1:7" x14ac:dyDescent="0.3">
      <c r="A70" s="4" t="s">
        <v>41</v>
      </c>
      <c r="B70" s="4">
        <v>1000000069</v>
      </c>
      <c r="C70" s="4">
        <v>46000</v>
      </c>
      <c r="D70" s="4" t="s">
        <v>42</v>
      </c>
      <c r="E70" s="4" t="s">
        <v>9</v>
      </c>
      <c r="F70" s="4" t="s">
        <v>165</v>
      </c>
      <c r="G70" s="4" t="s">
        <v>166</v>
      </c>
    </row>
    <row r="71" spans="1:7" x14ac:dyDescent="0.3">
      <c r="A71" s="4" t="s">
        <v>45</v>
      </c>
      <c r="B71" s="4">
        <v>1000000070</v>
      </c>
      <c r="C71" s="4">
        <v>77000</v>
      </c>
      <c r="D71" s="4" t="s">
        <v>46</v>
      </c>
      <c r="E71" s="4" t="s">
        <v>14</v>
      </c>
      <c r="F71" s="4" t="s">
        <v>167</v>
      </c>
      <c r="G71" s="4" t="s">
        <v>168</v>
      </c>
    </row>
    <row r="72" spans="1:7" x14ac:dyDescent="0.3">
      <c r="A72" s="4" t="s">
        <v>7</v>
      </c>
      <c r="B72" s="4">
        <v>1000000071</v>
      </c>
      <c r="C72" s="4">
        <v>50000</v>
      </c>
      <c r="D72" s="4" t="s">
        <v>8</v>
      </c>
      <c r="E72" s="4" t="s">
        <v>9</v>
      </c>
      <c r="F72" s="4" t="s">
        <v>169</v>
      </c>
      <c r="G72" s="4" t="s">
        <v>170</v>
      </c>
    </row>
    <row r="73" spans="1:7" x14ac:dyDescent="0.3">
      <c r="A73" s="4" t="s">
        <v>12</v>
      </c>
      <c r="B73" s="4">
        <v>1000000072</v>
      </c>
      <c r="C73" s="4">
        <v>75000</v>
      </c>
      <c r="D73" s="4" t="s">
        <v>13</v>
      </c>
      <c r="E73" s="4" t="s">
        <v>14</v>
      </c>
      <c r="F73" s="4" t="s">
        <v>171</v>
      </c>
      <c r="G73" s="4" t="s">
        <v>172</v>
      </c>
    </row>
    <row r="74" spans="1:7" x14ac:dyDescent="0.3">
      <c r="A74" s="4" t="s">
        <v>17</v>
      </c>
      <c r="B74" s="4">
        <v>1000000073</v>
      </c>
      <c r="C74" s="4">
        <v>120000</v>
      </c>
      <c r="D74" s="4" t="s">
        <v>18</v>
      </c>
      <c r="E74" s="4" t="s">
        <v>9</v>
      </c>
      <c r="F74" s="4" t="s">
        <v>173</v>
      </c>
      <c r="G74" s="4" t="s">
        <v>174</v>
      </c>
    </row>
    <row r="75" spans="1:7" x14ac:dyDescent="0.3">
      <c r="A75" s="4" t="s">
        <v>21</v>
      </c>
      <c r="B75" s="4">
        <v>1000000074</v>
      </c>
      <c r="C75" s="4">
        <v>45000</v>
      </c>
      <c r="D75" s="4" t="s">
        <v>22</v>
      </c>
      <c r="E75" s="4" t="s">
        <v>14</v>
      </c>
      <c r="F75" s="4" t="s">
        <v>175</v>
      </c>
      <c r="G75" s="4" t="s">
        <v>176</v>
      </c>
    </row>
    <row r="76" spans="1:7" x14ac:dyDescent="0.3">
      <c r="A76" s="4" t="s">
        <v>25</v>
      </c>
      <c r="B76" s="4">
        <v>1000000075</v>
      </c>
      <c r="C76" s="4">
        <v>98000</v>
      </c>
      <c r="D76" s="4" t="s">
        <v>26</v>
      </c>
      <c r="E76" s="4" t="s">
        <v>9</v>
      </c>
      <c r="F76" s="4" t="s">
        <v>177</v>
      </c>
      <c r="G76" s="4" t="s">
        <v>178</v>
      </c>
    </row>
    <row r="77" spans="1:7" x14ac:dyDescent="0.3">
      <c r="A77" s="4" t="s">
        <v>29</v>
      </c>
      <c r="B77" s="4">
        <v>1000000076</v>
      </c>
      <c r="C77" s="4">
        <v>67000</v>
      </c>
      <c r="D77" s="4" t="s">
        <v>30</v>
      </c>
      <c r="E77" s="4" t="s">
        <v>14</v>
      </c>
      <c r="F77" s="4" t="s">
        <v>179</v>
      </c>
      <c r="G77" s="4" t="s">
        <v>180</v>
      </c>
    </row>
    <row r="78" spans="1:7" x14ac:dyDescent="0.3">
      <c r="A78" s="4" t="s">
        <v>33</v>
      </c>
      <c r="B78" s="4">
        <v>1000000077</v>
      </c>
      <c r="C78" s="4">
        <v>56000</v>
      </c>
      <c r="D78" s="4" t="s">
        <v>34</v>
      </c>
      <c r="E78" s="4" t="s">
        <v>9</v>
      </c>
      <c r="F78" s="4" t="s">
        <v>181</v>
      </c>
      <c r="G78" s="4" t="s">
        <v>182</v>
      </c>
    </row>
    <row r="79" spans="1:7" x14ac:dyDescent="0.3">
      <c r="A79" s="4" t="s">
        <v>37</v>
      </c>
      <c r="B79" s="4">
        <v>1000000078</v>
      </c>
      <c r="C79" s="4">
        <v>89000</v>
      </c>
      <c r="D79" s="4" t="s">
        <v>38</v>
      </c>
      <c r="E79" s="4" t="s">
        <v>14</v>
      </c>
      <c r="F79" s="4" t="s">
        <v>183</v>
      </c>
      <c r="G79" s="4" t="s">
        <v>184</v>
      </c>
    </row>
    <row r="80" spans="1:7" x14ac:dyDescent="0.3">
      <c r="A80" s="4" t="s">
        <v>41</v>
      </c>
      <c r="B80" s="4">
        <v>1000000079</v>
      </c>
      <c r="C80" s="4">
        <v>46000</v>
      </c>
      <c r="D80" s="4" t="s">
        <v>42</v>
      </c>
      <c r="E80" s="4" t="s">
        <v>9</v>
      </c>
      <c r="F80" s="4" t="s">
        <v>185</v>
      </c>
      <c r="G80" s="4" t="s">
        <v>186</v>
      </c>
    </row>
    <row r="81" spans="1:7" x14ac:dyDescent="0.3">
      <c r="A81" s="4" t="s">
        <v>45</v>
      </c>
      <c r="B81" s="4">
        <v>1000000080</v>
      </c>
      <c r="C81" s="4">
        <v>77000</v>
      </c>
      <c r="D81" s="4" t="s">
        <v>46</v>
      </c>
      <c r="E81" s="4" t="s">
        <v>14</v>
      </c>
      <c r="F81" s="4" t="s">
        <v>187</v>
      </c>
      <c r="G81" s="4" t="s">
        <v>188</v>
      </c>
    </row>
    <row r="82" spans="1:7" x14ac:dyDescent="0.3">
      <c r="A82" s="4" t="s">
        <v>7</v>
      </c>
      <c r="B82" s="4">
        <v>1000000081</v>
      </c>
      <c r="C82" s="4">
        <v>50000</v>
      </c>
      <c r="D82" s="4" t="s">
        <v>8</v>
      </c>
      <c r="E82" s="4" t="s">
        <v>9</v>
      </c>
      <c r="F82" s="4" t="s">
        <v>189</v>
      </c>
      <c r="G82" s="4" t="s">
        <v>190</v>
      </c>
    </row>
    <row r="83" spans="1:7" x14ac:dyDescent="0.3">
      <c r="A83" s="4" t="s">
        <v>12</v>
      </c>
      <c r="B83" s="4">
        <v>1000000082</v>
      </c>
      <c r="C83" s="4">
        <v>75000</v>
      </c>
      <c r="D83" s="4" t="s">
        <v>13</v>
      </c>
      <c r="E83" s="4" t="s">
        <v>14</v>
      </c>
      <c r="F83" s="4" t="s">
        <v>191</v>
      </c>
      <c r="G83" s="4" t="s">
        <v>192</v>
      </c>
    </row>
    <row r="84" spans="1:7" x14ac:dyDescent="0.3">
      <c r="A84" s="4" t="s">
        <v>17</v>
      </c>
      <c r="B84" s="4">
        <v>1000000083</v>
      </c>
      <c r="C84" s="4">
        <v>120000</v>
      </c>
      <c r="D84" s="4" t="s">
        <v>18</v>
      </c>
      <c r="E84" s="4" t="s">
        <v>9</v>
      </c>
      <c r="F84" s="4" t="s">
        <v>193</v>
      </c>
      <c r="G84" s="4" t="s">
        <v>194</v>
      </c>
    </row>
    <row r="85" spans="1:7" x14ac:dyDescent="0.3">
      <c r="A85" s="4" t="s">
        <v>21</v>
      </c>
      <c r="B85" s="4">
        <v>1000000084</v>
      </c>
      <c r="C85" s="4">
        <v>45000</v>
      </c>
      <c r="D85" s="4" t="s">
        <v>22</v>
      </c>
      <c r="E85" s="4" t="s">
        <v>14</v>
      </c>
      <c r="F85" s="4" t="s">
        <v>195</v>
      </c>
      <c r="G85" s="4" t="s">
        <v>196</v>
      </c>
    </row>
    <row r="86" spans="1:7" x14ac:dyDescent="0.3">
      <c r="A86" s="4" t="s">
        <v>25</v>
      </c>
      <c r="B86" s="4">
        <v>1000000085</v>
      </c>
      <c r="C86" s="4">
        <v>98000</v>
      </c>
      <c r="D86" s="4" t="s">
        <v>26</v>
      </c>
      <c r="E86" s="4" t="s">
        <v>9</v>
      </c>
      <c r="F86" s="4" t="s">
        <v>197</v>
      </c>
      <c r="G86" s="4" t="s">
        <v>198</v>
      </c>
    </row>
    <row r="87" spans="1:7" x14ac:dyDescent="0.3">
      <c r="A87" s="4" t="s">
        <v>29</v>
      </c>
      <c r="B87" s="4">
        <v>1000000086</v>
      </c>
      <c r="C87" s="4">
        <v>67000</v>
      </c>
      <c r="D87" s="4" t="s">
        <v>30</v>
      </c>
      <c r="E87" s="4" t="s">
        <v>14</v>
      </c>
      <c r="F87" s="4" t="s">
        <v>199</v>
      </c>
      <c r="G87" s="4" t="s">
        <v>200</v>
      </c>
    </row>
    <row r="88" spans="1:7" x14ac:dyDescent="0.3">
      <c r="A88" s="4" t="s">
        <v>33</v>
      </c>
      <c r="B88" s="4">
        <v>1000000087</v>
      </c>
      <c r="C88" s="4">
        <v>56000</v>
      </c>
      <c r="D88" s="4" t="s">
        <v>34</v>
      </c>
      <c r="E88" s="4" t="s">
        <v>9</v>
      </c>
      <c r="F88" s="4" t="s">
        <v>201</v>
      </c>
      <c r="G88" s="4" t="s">
        <v>202</v>
      </c>
    </row>
    <row r="89" spans="1:7" x14ac:dyDescent="0.3">
      <c r="A89" s="4" t="s">
        <v>37</v>
      </c>
      <c r="B89" s="4">
        <v>1000000088</v>
      </c>
      <c r="C89" s="4">
        <v>89000</v>
      </c>
      <c r="D89" s="4" t="s">
        <v>38</v>
      </c>
      <c r="E89" s="4" t="s">
        <v>14</v>
      </c>
      <c r="F89" s="4" t="s">
        <v>203</v>
      </c>
      <c r="G89" s="4" t="s">
        <v>204</v>
      </c>
    </row>
    <row r="90" spans="1:7" x14ac:dyDescent="0.3">
      <c r="A90" s="4" t="s">
        <v>41</v>
      </c>
      <c r="B90" s="4">
        <v>1000000089</v>
      </c>
      <c r="C90" s="4">
        <v>46000</v>
      </c>
      <c r="D90" s="4" t="s">
        <v>42</v>
      </c>
      <c r="E90" s="4" t="s">
        <v>9</v>
      </c>
      <c r="F90" s="4" t="s">
        <v>205</v>
      </c>
      <c r="G90" s="4" t="s">
        <v>206</v>
      </c>
    </row>
    <row r="91" spans="1:7" x14ac:dyDescent="0.3">
      <c r="A91" s="4" t="s">
        <v>45</v>
      </c>
      <c r="B91" s="4">
        <v>1000000090</v>
      </c>
      <c r="C91" s="4">
        <v>77000</v>
      </c>
      <c r="D91" s="4" t="s">
        <v>46</v>
      </c>
      <c r="E91" s="4" t="s">
        <v>14</v>
      </c>
      <c r="F91" s="4" t="s">
        <v>207</v>
      </c>
      <c r="G91" s="4" t="s">
        <v>208</v>
      </c>
    </row>
    <row r="92" spans="1:7" x14ac:dyDescent="0.3">
      <c r="A92" s="4" t="s">
        <v>7</v>
      </c>
      <c r="B92" s="4">
        <v>1000000091</v>
      </c>
      <c r="C92" s="4">
        <v>50000</v>
      </c>
      <c r="D92" s="4" t="s">
        <v>8</v>
      </c>
      <c r="E92" s="4" t="s">
        <v>9</v>
      </c>
      <c r="F92" s="4" t="s">
        <v>209</v>
      </c>
      <c r="G92" s="4" t="s">
        <v>210</v>
      </c>
    </row>
    <row r="93" spans="1:7" x14ac:dyDescent="0.3">
      <c r="A93" s="4" t="s">
        <v>12</v>
      </c>
      <c r="B93" s="4">
        <v>1000000092</v>
      </c>
      <c r="C93" s="4">
        <v>75000</v>
      </c>
      <c r="D93" s="4" t="s">
        <v>13</v>
      </c>
      <c r="E93" s="4" t="s">
        <v>14</v>
      </c>
      <c r="F93" s="4" t="s">
        <v>211</v>
      </c>
      <c r="G93" s="4" t="s">
        <v>212</v>
      </c>
    </row>
    <row r="94" spans="1:7" x14ac:dyDescent="0.3">
      <c r="A94" s="4" t="s">
        <v>17</v>
      </c>
      <c r="B94" s="4">
        <v>1000000093</v>
      </c>
      <c r="C94" s="4">
        <v>120000</v>
      </c>
      <c r="D94" s="4" t="s">
        <v>18</v>
      </c>
      <c r="E94" s="4" t="s">
        <v>9</v>
      </c>
      <c r="F94" s="4" t="s">
        <v>213</v>
      </c>
      <c r="G94" s="4" t="s">
        <v>214</v>
      </c>
    </row>
    <row r="95" spans="1:7" x14ac:dyDescent="0.3">
      <c r="A95" s="4" t="s">
        <v>21</v>
      </c>
      <c r="B95" s="4">
        <v>1000000094</v>
      </c>
      <c r="C95" s="4">
        <v>45000</v>
      </c>
      <c r="D95" s="4" t="s">
        <v>22</v>
      </c>
      <c r="E95" s="4" t="s">
        <v>14</v>
      </c>
      <c r="F95" s="4" t="s">
        <v>215</v>
      </c>
      <c r="G95" s="4" t="s">
        <v>216</v>
      </c>
    </row>
    <row r="96" spans="1:7" x14ac:dyDescent="0.3">
      <c r="A96" s="4" t="s">
        <v>25</v>
      </c>
      <c r="B96" s="4">
        <v>1000000095</v>
      </c>
      <c r="C96" s="4">
        <v>98000</v>
      </c>
      <c r="D96" s="4" t="s">
        <v>26</v>
      </c>
      <c r="E96" s="4" t="s">
        <v>9</v>
      </c>
      <c r="F96" s="4" t="s">
        <v>217</v>
      </c>
      <c r="G96" s="4" t="s">
        <v>218</v>
      </c>
    </row>
    <row r="97" spans="1:7" x14ac:dyDescent="0.3">
      <c r="A97" s="4" t="s">
        <v>29</v>
      </c>
      <c r="B97" s="4">
        <v>1000000096</v>
      </c>
      <c r="C97" s="4">
        <v>67000</v>
      </c>
      <c r="D97" s="4" t="s">
        <v>30</v>
      </c>
      <c r="E97" s="4" t="s">
        <v>14</v>
      </c>
      <c r="F97" s="4" t="s">
        <v>219</v>
      </c>
      <c r="G97" s="4" t="s">
        <v>220</v>
      </c>
    </row>
    <row r="98" spans="1:7" x14ac:dyDescent="0.3">
      <c r="A98" s="4" t="s">
        <v>33</v>
      </c>
      <c r="B98" s="4">
        <v>1000000097</v>
      </c>
      <c r="C98" s="4">
        <v>56000</v>
      </c>
      <c r="D98" s="4" t="s">
        <v>34</v>
      </c>
      <c r="E98" s="4" t="s">
        <v>9</v>
      </c>
      <c r="F98" s="4" t="s">
        <v>221</v>
      </c>
      <c r="G98" s="4" t="s">
        <v>222</v>
      </c>
    </row>
    <row r="99" spans="1:7" x14ac:dyDescent="0.3">
      <c r="A99" s="4" t="s">
        <v>37</v>
      </c>
      <c r="B99" s="4">
        <v>1000000098</v>
      </c>
      <c r="C99" s="4">
        <v>89000</v>
      </c>
      <c r="D99" s="4" t="s">
        <v>38</v>
      </c>
      <c r="E99" s="4" t="s">
        <v>14</v>
      </c>
      <c r="F99" s="4" t="s">
        <v>223</v>
      </c>
      <c r="G99" s="4" t="s">
        <v>224</v>
      </c>
    </row>
    <row r="100" spans="1:7" x14ac:dyDescent="0.3">
      <c r="A100" s="4" t="s">
        <v>41</v>
      </c>
      <c r="B100" s="4">
        <v>1000000099</v>
      </c>
      <c r="C100" s="4">
        <v>46000</v>
      </c>
      <c r="D100" s="4" t="s">
        <v>42</v>
      </c>
      <c r="E100" s="4" t="s">
        <v>9</v>
      </c>
      <c r="F100" s="4" t="s">
        <v>225</v>
      </c>
      <c r="G100" s="4" t="s">
        <v>226</v>
      </c>
    </row>
    <row r="101" spans="1:7" x14ac:dyDescent="0.3">
      <c r="A101" s="4" t="s">
        <v>45</v>
      </c>
      <c r="B101" s="4">
        <v>1000000100</v>
      </c>
      <c r="C101" s="4">
        <v>77000</v>
      </c>
      <c r="D101" s="4" t="s">
        <v>46</v>
      </c>
      <c r="E101" s="4" t="s">
        <v>14</v>
      </c>
      <c r="F101" s="4" t="s">
        <v>227</v>
      </c>
      <c r="G101" s="4" t="s">
        <v>228</v>
      </c>
    </row>
    <row r="102" spans="1:7" x14ac:dyDescent="0.3">
      <c r="A102" s="4" t="s">
        <v>7</v>
      </c>
      <c r="B102" s="4">
        <v>1000000101</v>
      </c>
      <c r="C102" s="4">
        <v>50000</v>
      </c>
      <c r="D102" s="4" t="s">
        <v>8</v>
      </c>
      <c r="E102" s="4" t="s">
        <v>9</v>
      </c>
      <c r="F102" s="4" t="s">
        <v>229</v>
      </c>
      <c r="G102" s="4" t="s">
        <v>230</v>
      </c>
    </row>
    <row r="103" spans="1:7" x14ac:dyDescent="0.3">
      <c r="A103" s="4" t="s">
        <v>12</v>
      </c>
      <c r="B103" s="4">
        <v>1000000102</v>
      </c>
      <c r="C103" s="4">
        <v>75000</v>
      </c>
      <c r="D103" s="4" t="s">
        <v>13</v>
      </c>
      <c r="E103" s="4" t="s">
        <v>14</v>
      </c>
      <c r="F103" s="4" t="s">
        <v>231</v>
      </c>
      <c r="G103" s="4" t="s">
        <v>232</v>
      </c>
    </row>
    <row r="104" spans="1:7" x14ac:dyDescent="0.3">
      <c r="A104" s="4" t="s">
        <v>17</v>
      </c>
      <c r="B104" s="4">
        <v>1000000103</v>
      </c>
      <c r="C104" s="4">
        <v>120000</v>
      </c>
      <c r="D104" s="4" t="s">
        <v>18</v>
      </c>
      <c r="E104" s="4" t="s">
        <v>9</v>
      </c>
      <c r="F104" s="4" t="s">
        <v>233</v>
      </c>
      <c r="G104" s="4" t="s">
        <v>234</v>
      </c>
    </row>
    <row r="105" spans="1:7" x14ac:dyDescent="0.3">
      <c r="A105" s="4" t="s">
        <v>21</v>
      </c>
      <c r="B105" s="4">
        <v>1000000104</v>
      </c>
      <c r="C105" s="4">
        <v>45000</v>
      </c>
      <c r="D105" s="4" t="s">
        <v>22</v>
      </c>
      <c r="E105" s="4" t="s">
        <v>14</v>
      </c>
      <c r="F105" s="4" t="s">
        <v>235</v>
      </c>
      <c r="G105" s="4" t="s">
        <v>236</v>
      </c>
    </row>
    <row r="106" spans="1:7" x14ac:dyDescent="0.3">
      <c r="A106" s="4" t="s">
        <v>25</v>
      </c>
      <c r="B106" s="4">
        <v>1000000105</v>
      </c>
      <c r="C106" s="4">
        <v>98000</v>
      </c>
      <c r="D106" s="4" t="s">
        <v>26</v>
      </c>
      <c r="E106" s="4" t="s">
        <v>9</v>
      </c>
      <c r="F106" s="4" t="s">
        <v>237</v>
      </c>
      <c r="G106" s="4" t="s">
        <v>238</v>
      </c>
    </row>
    <row r="107" spans="1:7" x14ac:dyDescent="0.3">
      <c r="A107" s="4" t="s">
        <v>29</v>
      </c>
      <c r="B107" s="4">
        <v>1000000106</v>
      </c>
      <c r="C107" s="4">
        <v>67000</v>
      </c>
      <c r="D107" s="4" t="s">
        <v>30</v>
      </c>
      <c r="E107" s="4" t="s">
        <v>14</v>
      </c>
      <c r="F107" s="4" t="s">
        <v>239</v>
      </c>
      <c r="G107" s="4" t="s">
        <v>240</v>
      </c>
    </row>
    <row r="108" spans="1:7" x14ac:dyDescent="0.3">
      <c r="A108" s="4" t="s">
        <v>33</v>
      </c>
      <c r="B108" s="4">
        <v>1000000107</v>
      </c>
      <c r="C108" s="4">
        <v>56000</v>
      </c>
      <c r="D108" s="4" t="s">
        <v>34</v>
      </c>
      <c r="E108" s="4" t="s">
        <v>9</v>
      </c>
      <c r="F108" s="4" t="s">
        <v>241</v>
      </c>
      <c r="G108" s="4" t="s">
        <v>242</v>
      </c>
    </row>
    <row r="109" spans="1:7" x14ac:dyDescent="0.3">
      <c r="A109" s="4" t="s">
        <v>37</v>
      </c>
      <c r="B109" s="4">
        <v>1000000108</v>
      </c>
      <c r="C109" s="4">
        <v>89000</v>
      </c>
      <c r="D109" s="4" t="s">
        <v>38</v>
      </c>
      <c r="E109" s="4" t="s">
        <v>14</v>
      </c>
      <c r="F109" s="4" t="s">
        <v>243</v>
      </c>
      <c r="G109" s="4" t="s">
        <v>244</v>
      </c>
    </row>
    <row r="110" spans="1:7" x14ac:dyDescent="0.3">
      <c r="A110" s="4" t="s">
        <v>41</v>
      </c>
      <c r="B110" s="4">
        <v>1000000109</v>
      </c>
      <c r="C110" s="4">
        <v>46000</v>
      </c>
      <c r="D110" s="4" t="s">
        <v>42</v>
      </c>
      <c r="E110" s="4" t="s">
        <v>9</v>
      </c>
      <c r="F110" s="4" t="s">
        <v>245</v>
      </c>
      <c r="G110" s="4" t="s">
        <v>246</v>
      </c>
    </row>
    <row r="111" spans="1:7" x14ac:dyDescent="0.3">
      <c r="A111" s="4" t="s">
        <v>45</v>
      </c>
      <c r="B111" s="4">
        <v>1000000110</v>
      </c>
      <c r="C111" s="4">
        <v>77000</v>
      </c>
      <c r="D111" s="4" t="s">
        <v>46</v>
      </c>
      <c r="E111" s="4" t="s">
        <v>14</v>
      </c>
      <c r="F111" s="4" t="s">
        <v>247</v>
      </c>
      <c r="G111" s="4" t="s">
        <v>248</v>
      </c>
    </row>
    <row r="112" spans="1:7" x14ac:dyDescent="0.3">
      <c r="A112" s="4" t="s">
        <v>7</v>
      </c>
      <c r="B112" s="4">
        <v>1000000111</v>
      </c>
      <c r="C112" s="4">
        <v>50000</v>
      </c>
      <c r="D112" s="4" t="s">
        <v>8</v>
      </c>
      <c r="E112" s="4" t="s">
        <v>9</v>
      </c>
      <c r="F112" s="4" t="s">
        <v>249</v>
      </c>
      <c r="G112" s="4" t="s">
        <v>250</v>
      </c>
    </row>
    <row r="113" spans="1:7" x14ac:dyDescent="0.3">
      <c r="A113" s="4" t="s">
        <v>12</v>
      </c>
      <c r="B113" s="4">
        <v>1000000112</v>
      </c>
      <c r="C113" s="4">
        <v>75000</v>
      </c>
      <c r="D113" s="4" t="s">
        <v>13</v>
      </c>
      <c r="E113" s="4" t="s">
        <v>14</v>
      </c>
      <c r="F113" s="4" t="s">
        <v>251</v>
      </c>
      <c r="G113" s="4" t="s">
        <v>252</v>
      </c>
    </row>
    <row r="114" spans="1:7" x14ac:dyDescent="0.3">
      <c r="A114" s="4" t="s">
        <v>17</v>
      </c>
      <c r="B114" s="4">
        <v>1000000113</v>
      </c>
      <c r="C114" s="4">
        <v>120000</v>
      </c>
      <c r="D114" s="4" t="s">
        <v>18</v>
      </c>
      <c r="E114" s="4" t="s">
        <v>9</v>
      </c>
      <c r="F114" s="4" t="s">
        <v>253</v>
      </c>
      <c r="G114" s="4" t="s">
        <v>254</v>
      </c>
    </row>
    <row r="115" spans="1:7" x14ac:dyDescent="0.3">
      <c r="A115" s="4" t="s">
        <v>21</v>
      </c>
      <c r="B115" s="4">
        <v>1000000114</v>
      </c>
      <c r="C115" s="4">
        <v>45000</v>
      </c>
      <c r="D115" s="4" t="s">
        <v>22</v>
      </c>
      <c r="E115" s="4" t="s">
        <v>14</v>
      </c>
      <c r="F115" s="4" t="s">
        <v>255</v>
      </c>
      <c r="G115" s="4" t="s">
        <v>256</v>
      </c>
    </row>
    <row r="116" spans="1:7" x14ac:dyDescent="0.3">
      <c r="A116" s="4" t="s">
        <v>25</v>
      </c>
      <c r="B116" s="4">
        <v>1000000115</v>
      </c>
      <c r="C116" s="4">
        <v>98000</v>
      </c>
      <c r="D116" s="4" t="s">
        <v>26</v>
      </c>
      <c r="E116" s="4" t="s">
        <v>9</v>
      </c>
      <c r="F116" s="4" t="s">
        <v>257</v>
      </c>
      <c r="G116" s="4" t="s">
        <v>258</v>
      </c>
    </row>
    <row r="117" spans="1:7" x14ac:dyDescent="0.3">
      <c r="A117" s="4" t="s">
        <v>29</v>
      </c>
      <c r="B117" s="4">
        <v>1000000116</v>
      </c>
      <c r="C117" s="4">
        <v>67000</v>
      </c>
      <c r="D117" s="4" t="s">
        <v>30</v>
      </c>
      <c r="E117" s="4" t="s">
        <v>14</v>
      </c>
      <c r="F117" s="4" t="s">
        <v>259</v>
      </c>
      <c r="G117" s="4" t="s">
        <v>260</v>
      </c>
    </row>
    <row r="118" spans="1:7" x14ac:dyDescent="0.3">
      <c r="A118" s="4" t="s">
        <v>33</v>
      </c>
      <c r="B118" s="4">
        <v>1000000117</v>
      </c>
      <c r="C118" s="4">
        <v>56000</v>
      </c>
      <c r="D118" s="4" t="s">
        <v>34</v>
      </c>
      <c r="E118" s="4" t="s">
        <v>9</v>
      </c>
      <c r="F118" s="4" t="s">
        <v>261</v>
      </c>
      <c r="G118" s="4" t="s">
        <v>262</v>
      </c>
    </row>
    <row r="119" spans="1:7" x14ac:dyDescent="0.3">
      <c r="A119" s="4" t="s">
        <v>37</v>
      </c>
      <c r="B119" s="4">
        <v>1000000118</v>
      </c>
      <c r="C119" s="4">
        <v>89000</v>
      </c>
      <c r="D119" s="4" t="s">
        <v>38</v>
      </c>
      <c r="E119" s="4" t="s">
        <v>14</v>
      </c>
      <c r="F119" s="4" t="s">
        <v>263</v>
      </c>
      <c r="G119" s="4" t="s">
        <v>264</v>
      </c>
    </row>
    <row r="120" spans="1:7" x14ac:dyDescent="0.3">
      <c r="A120" s="4" t="s">
        <v>41</v>
      </c>
      <c r="B120" s="4">
        <v>1000000119</v>
      </c>
      <c r="C120" s="4">
        <v>46000</v>
      </c>
      <c r="D120" s="4" t="s">
        <v>42</v>
      </c>
      <c r="E120" s="4" t="s">
        <v>9</v>
      </c>
      <c r="F120" s="4" t="s">
        <v>265</v>
      </c>
      <c r="G120" s="4" t="s">
        <v>266</v>
      </c>
    </row>
    <row r="121" spans="1:7" x14ac:dyDescent="0.3">
      <c r="A121" s="4" t="s">
        <v>45</v>
      </c>
      <c r="B121" s="4">
        <v>1000000120</v>
      </c>
      <c r="C121" s="4">
        <v>77000</v>
      </c>
      <c r="D121" s="4" t="s">
        <v>46</v>
      </c>
      <c r="E121" s="4" t="s">
        <v>14</v>
      </c>
      <c r="F121" s="4" t="s">
        <v>267</v>
      </c>
      <c r="G121" s="4" t="s">
        <v>268</v>
      </c>
    </row>
    <row r="122" spans="1:7" x14ac:dyDescent="0.3">
      <c r="A122" s="4" t="s">
        <v>7</v>
      </c>
      <c r="B122" s="4">
        <v>1000000121</v>
      </c>
      <c r="C122" s="4">
        <v>50000</v>
      </c>
      <c r="D122" s="4" t="s">
        <v>8</v>
      </c>
      <c r="E122" s="4" t="s">
        <v>9</v>
      </c>
      <c r="F122" s="4" t="s">
        <v>269</v>
      </c>
      <c r="G122" s="4" t="s">
        <v>270</v>
      </c>
    </row>
    <row r="123" spans="1:7" x14ac:dyDescent="0.3">
      <c r="A123" s="4" t="s">
        <v>12</v>
      </c>
      <c r="B123" s="4">
        <v>1000000122</v>
      </c>
      <c r="C123" s="4">
        <v>75000</v>
      </c>
      <c r="D123" s="4" t="s">
        <v>13</v>
      </c>
      <c r="E123" s="4" t="s">
        <v>14</v>
      </c>
      <c r="F123" s="4" t="s">
        <v>271</v>
      </c>
      <c r="G123" s="4" t="s">
        <v>272</v>
      </c>
    </row>
    <row r="124" spans="1:7" x14ac:dyDescent="0.3">
      <c r="A124" s="4" t="s">
        <v>17</v>
      </c>
      <c r="B124" s="4">
        <v>1000000123</v>
      </c>
      <c r="C124" s="4">
        <v>120000</v>
      </c>
      <c r="D124" s="4" t="s">
        <v>18</v>
      </c>
      <c r="E124" s="4" t="s">
        <v>9</v>
      </c>
      <c r="F124" s="4" t="s">
        <v>273</v>
      </c>
      <c r="G124" s="4" t="s">
        <v>274</v>
      </c>
    </row>
    <row r="125" spans="1:7" x14ac:dyDescent="0.3">
      <c r="A125" s="4" t="s">
        <v>21</v>
      </c>
      <c r="B125" s="4">
        <v>1000000124</v>
      </c>
      <c r="C125" s="4">
        <v>45000</v>
      </c>
      <c r="D125" s="4" t="s">
        <v>22</v>
      </c>
      <c r="E125" s="4" t="s">
        <v>14</v>
      </c>
      <c r="F125" s="4" t="s">
        <v>275</v>
      </c>
      <c r="G125" s="4" t="s">
        <v>276</v>
      </c>
    </row>
    <row r="126" spans="1:7" x14ac:dyDescent="0.3">
      <c r="A126" s="4" t="s">
        <v>25</v>
      </c>
      <c r="B126" s="4">
        <v>1000000125</v>
      </c>
      <c r="C126" s="4">
        <v>98000</v>
      </c>
      <c r="D126" s="4" t="s">
        <v>26</v>
      </c>
      <c r="E126" s="4" t="s">
        <v>9</v>
      </c>
      <c r="F126" s="4" t="s">
        <v>277</v>
      </c>
      <c r="G126" s="4" t="s">
        <v>278</v>
      </c>
    </row>
    <row r="127" spans="1:7" x14ac:dyDescent="0.3">
      <c r="A127" s="4" t="s">
        <v>29</v>
      </c>
      <c r="B127" s="4">
        <v>1000000126</v>
      </c>
      <c r="C127" s="4">
        <v>67000</v>
      </c>
      <c r="D127" s="4" t="s">
        <v>30</v>
      </c>
      <c r="E127" s="4" t="s">
        <v>14</v>
      </c>
      <c r="F127" s="4" t="s">
        <v>279</v>
      </c>
      <c r="G127" s="4" t="s">
        <v>280</v>
      </c>
    </row>
    <row r="128" spans="1:7" x14ac:dyDescent="0.3">
      <c r="A128" s="4" t="s">
        <v>33</v>
      </c>
      <c r="B128" s="4">
        <v>1000000127</v>
      </c>
      <c r="C128" s="4">
        <v>56000</v>
      </c>
      <c r="D128" s="4" t="s">
        <v>34</v>
      </c>
      <c r="E128" s="4" t="s">
        <v>9</v>
      </c>
      <c r="F128" s="4" t="s">
        <v>281</v>
      </c>
      <c r="G128" s="4" t="s">
        <v>282</v>
      </c>
    </row>
    <row r="129" spans="1:7" x14ac:dyDescent="0.3">
      <c r="A129" s="4" t="s">
        <v>37</v>
      </c>
      <c r="B129" s="4">
        <v>1000000128</v>
      </c>
      <c r="C129" s="4">
        <v>89000</v>
      </c>
      <c r="D129" s="4" t="s">
        <v>38</v>
      </c>
      <c r="E129" s="4" t="s">
        <v>14</v>
      </c>
      <c r="F129" s="4" t="s">
        <v>283</v>
      </c>
      <c r="G129" s="4" t="s">
        <v>284</v>
      </c>
    </row>
    <row r="130" spans="1:7" x14ac:dyDescent="0.3">
      <c r="A130" s="4" t="s">
        <v>41</v>
      </c>
      <c r="B130" s="4">
        <v>1000000129</v>
      </c>
      <c r="C130" s="4">
        <v>46000</v>
      </c>
      <c r="D130" s="4" t="s">
        <v>42</v>
      </c>
      <c r="E130" s="4" t="s">
        <v>9</v>
      </c>
      <c r="F130" s="4" t="s">
        <v>285</v>
      </c>
      <c r="G130" s="4" t="s">
        <v>286</v>
      </c>
    </row>
    <row r="131" spans="1:7" x14ac:dyDescent="0.3">
      <c r="A131" s="4" t="s">
        <v>45</v>
      </c>
      <c r="B131" s="4">
        <v>1000000130</v>
      </c>
      <c r="C131" s="4">
        <v>77000</v>
      </c>
      <c r="D131" s="4" t="s">
        <v>46</v>
      </c>
      <c r="E131" s="4" t="s">
        <v>14</v>
      </c>
      <c r="F131" s="4" t="s">
        <v>287</v>
      </c>
      <c r="G131" s="4" t="s">
        <v>288</v>
      </c>
    </row>
    <row r="132" spans="1:7" x14ac:dyDescent="0.3">
      <c r="A132" s="4" t="s">
        <v>7</v>
      </c>
      <c r="B132" s="4">
        <v>1000000131</v>
      </c>
      <c r="C132" s="4">
        <v>50000</v>
      </c>
      <c r="D132" s="4" t="s">
        <v>8</v>
      </c>
      <c r="E132" s="4" t="s">
        <v>9</v>
      </c>
      <c r="F132" s="4" t="s">
        <v>289</v>
      </c>
      <c r="G132" s="4" t="s">
        <v>290</v>
      </c>
    </row>
    <row r="133" spans="1:7" x14ac:dyDescent="0.3">
      <c r="A133" s="4" t="s">
        <v>12</v>
      </c>
      <c r="B133" s="4">
        <v>1000000132</v>
      </c>
      <c r="C133" s="4">
        <v>75000</v>
      </c>
      <c r="D133" s="4" t="s">
        <v>13</v>
      </c>
      <c r="E133" s="4" t="s">
        <v>14</v>
      </c>
      <c r="F133" s="4" t="s">
        <v>291</v>
      </c>
      <c r="G133" s="4" t="s">
        <v>292</v>
      </c>
    </row>
    <row r="134" spans="1:7" x14ac:dyDescent="0.3">
      <c r="A134" s="4" t="s">
        <v>17</v>
      </c>
      <c r="B134" s="4">
        <v>1000000133</v>
      </c>
      <c r="C134" s="4">
        <v>120000</v>
      </c>
      <c r="D134" s="4" t="s">
        <v>18</v>
      </c>
      <c r="E134" s="4" t="s">
        <v>9</v>
      </c>
      <c r="F134" s="4" t="s">
        <v>293</v>
      </c>
      <c r="G134" s="4" t="s">
        <v>294</v>
      </c>
    </row>
    <row r="135" spans="1:7" x14ac:dyDescent="0.3">
      <c r="A135" s="4" t="s">
        <v>21</v>
      </c>
      <c r="B135" s="4">
        <v>1000000134</v>
      </c>
      <c r="C135" s="4">
        <v>45000</v>
      </c>
      <c r="D135" s="4" t="s">
        <v>22</v>
      </c>
      <c r="E135" s="4" t="s">
        <v>14</v>
      </c>
      <c r="F135" s="4" t="s">
        <v>295</v>
      </c>
      <c r="G135" s="4" t="s">
        <v>296</v>
      </c>
    </row>
    <row r="136" spans="1:7" x14ac:dyDescent="0.3">
      <c r="A136" s="4" t="s">
        <v>25</v>
      </c>
      <c r="B136" s="4">
        <v>1000000135</v>
      </c>
      <c r="C136" s="4">
        <v>98000</v>
      </c>
      <c r="D136" s="4" t="s">
        <v>26</v>
      </c>
      <c r="E136" s="4" t="s">
        <v>9</v>
      </c>
      <c r="F136" s="4" t="s">
        <v>297</v>
      </c>
      <c r="G136" s="4" t="s">
        <v>298</v>
      </c>
    </row>
    <row r="137" spans="1:7" x14ac:dyDescent="0.3">
      <c r="A137" s="4" t="s">
        <v>29</v>
      </c>
      <c r="B137" s="4">
        <v>1000000136</v>
      </c>
      <c r="C137" s="4">
        <v>67000</v>
      </c>
      <c r="D137" s="4" t="s">
        <v>30</v>
      </c>
      <c r="E137" s="4" t="s">
        <v>14</v>
      </c>
      <c r="F137" s="4" t="s">
        <v>299</v>
      </c>
      <c r="G137" s="4" t="s">
        <v>300</v>
      </c>
    </row>
    <row r="138" spans="1:7" x14ac:dyDescent="0.3">
      <c r="A138" s="4" t="s">
        <v>33</v>
      </c>
      <c r="B138" s="4">
        <v>1000000137</v>
      </c>
      <c r="C138" s="4">
        <v>56000</v>
      </c>
      <c r="D138" s="4" t="s">
        <v>34</v>
      </c>
      <c r="E138" s="4" t="s">
        <v>9</v>
      </c>
      <c r="F138" s="4" t="s">
        <v>301</v>
      </c>
      <c r="G138" s="4" t="s">
        <v>302</v>
      </c>
    </row>
    <row r="139" spans="1:7" x14ac:dyDescent="0.3">
      <c r="A139" s="4" t="s">
        <v>37</v>
      </c>
      <c r="B139" s="4">
        <v>1000000138</v>
      </c>
      <c r="C139" s="4">
        <v>89000</v>
      </c>
      <c r="D139" s="4" t="s">
        <v>38</v>
      </c>
      <c r="E139" s="4" t="s">
        <v>14</v>
      </c>
      <c r="F139" s="4" t="s">
        <v>303</v>
      </c>
      <c r="G139" s="4" t="s">
        <v>304</v>
      </c>
    </row>
    <row r="140" spans="1:7" x14ac:dyDescent="0.3">
      <c r="A140" s="4" t="s">
        <v>41</v>
      </c>
      <c r="B140" s="4">
        <v>1000000139</v>
      </c>
      <c r="C140" s="4">
        <v>46000</v>
      </c>
      <c r="D140" s="4" t="s">
        <v>42</v>
      </c>
      <c r="E140" s="4" t="s">
        <v>9</v>
      </c>
      <c r="F140" s="4" t="s">
        <v>305</v>
      </c>
      <c r="G140" s="4" t="s">
        <v>306</v>
      </c>
    </row>
    <row r="141" spans="1:7" x14ac:dyDescent="0.3">
      <c r="A141" s="4" t="s">
        <v>45</v>
      </c>
      <c r="B141" s="4">
        <v>1000000140</v>
      </c>
      <c r="C141" s="4">
        <v>77000</v>
      </c>
      <c r="D141" s="4" t="s">
        <v>46</v>
      </c>
      <c r="E141" s="4" t="s">
        <v>14</v>
      </c>
      <c r="F141" s="4" t="s">
        <v>307</v>
      </c>
      <c r="G141" s="4" t="s">
        <v>308</v>
      </c>
    </row>
    <row r="142" spans="1:7" x14ac:dyDescent="0.3">
      <c r="A142" s="4" t="s">
        <v>7</v>
      </c>
      <c r="B142" s="4">
        <v>1000000141</v>
      </c>
      <c r="C142" s="4">
        <v>50000</v>
      </c>
      <c r="D142" s="4" t="s">
        <v>8</v>
      </c>
      <c r="E142" s="4" t="s">
        <v>9</v>
      </c>
      <c r="F142" s="4" t="s">
        <v>309</v>
      </c>
      <c r="G142" s="4" t="s">
        <v>310</v>
      </c>
    </row>
    <row r="143" spans="1:7" x14ac:dyDescent="0.3">
      <c r="A143" s="4" t="s">
        <v>12</v>
      </c>
      <c r="B143" s="4">
        <v>1000000142</v>
      </c>
      <c r="C143" s="4">
        <v>75000</v>
      </c>
      <c r="D143" s="4" t="s">
        <v>13</v>
      </c>
      <c r="E143" s="4" t="s">
        <v>14</v>
      </c>
      <c r="F143" s="4" t="s">
        <v>311</v>
      </c>
      <c r="G143" s="4" t="s">
        <v>312</v>
      </c>
    </row>
    <row r="144" spans="1:7" x14ac:dyDescent="0.3">
      <c r="A144" s="4" t="s">
        <v>17</v>
      </c>
      <c r="B144" s="4">
        <v>1000000143</v>
      </c>
      <c r="C144" s="4">
        <v>120000</v>
      </c>
      <c r="D144" s="4" t="s">
        <v>18</v>
      </c>
      <c r="E144" s="4" t="s">
        <v>9</v>
      </c>
      <c r="F144" s="4" t="s">
        <v>313</v>
      </c>
      <c r="G144" s="4" t="s">
        <v>314</v>
      </c>
    </row>
    <row r="145" spans="1:7" x14ac:dyDescent="0.3">
      <c r="A145" s="4" t="s">
        <v>21</v>
      </c>
      <c r="B145" s="4">
        <v>1000000144</v>
      </c>
      <c r="C145" s="4">
        <v>45000</v>
      </c>
      <c r="D145" s="4" t="s">
        <v>22</v>
      </c>
      <c r="E145" s="4" t="s">
        <v>14</v>
      </c>
      <c r="F145" s="4" t="s">
        <v>315</v>
      </c>
      <c r="G145" s="4" t="s">
        <v>316</v>
      </c>
    </row>
    <row r="146" spans="1:7" x14ac:dyDescent="0.3">
      <c r="A146" s="4" t="s">
        <v>25</v>
      </c>
      <c r="B146" s="4">
        <v>1000000145</v>
      </c>
      <c r="C146" s="4">
        <v>98000</v>
      </c>
      <c r="D146" s="4" t="s">
        <v>26</v>
      </c>
      <c r="E146" s="4" t="s">
        <v>9</v>
      </c>
      <c r="F146" s="4" t="s">
        <v>317</v>
      </c>
      <c r="G146" s="4" t="s">
        <v>318</v>
      </c>
    </row>
    <row r="147" spans="1:7" x14ac:dyDescent="0.3">
      <c r="A147" s="4" t="s">
        <v>29</v>
      </c>
      <c r="B147" s="4">
        <v>1000000146</v>
      </c>
      <c r="C147" s="4">
        <v>67000</v>
      </c>
      <c r="D147" s="4" t="s">
        <v>30</v>
      </c>
      <c r="E147" s="4" t="s">
        <v>14</v>
      </c>
      <c r="F147" s="4" t="s">
        <v>319</v>
      </c>
      <c r="G147" s="4" t="s">
        <v>320</v>
      </c>
    </row>
    <row r="148" spans="1:7" x14ac:dyDescent="0.3">
      <c r="A148" s="4" t="s">
        <v>33</v>
      </c>
      <c r="B148" s="4">
        <v>1000000147</v>
      </c>
      <c r="C148" s="4">
        <v>56000</v>
      </c>
      <c r="D148" s="4" t="s">
        <v>34</v>
      </c>
      <c r="E148" s="4" t="s">
        <v>9</v>
      </c>
      <c r="F148" s="4" t="s">
        <v>321</v>
      </c>
      <c r="G148" s="4" t="s">
        <v>322</v>
      </c>
    </row>
    <row r="149" spans="1:7" x14ac:dyDescent="0.3">
      <c r="A149" s="4" t="s">
        <v>37</v>
      </c>
      <c r="B149" s="4">
        <v>1000000148</v>
      </c>
      <c r="C149" s="4">
        <v>89000</v>
      </c>
      <c r="D149" s="4" t="s">
        <v>38</v>
      </c>
      <c r="E149" s="4" t="s">
        <v>14</v>
      </c>
      <c r="F149" s="4" t="s">
        <v>323</v>
      </c>
      <c r="G149" s="4" t="s">
        <v>324</v>
      </c>
    </row>
    <row r="150" spans="1:7" x14ac:dyDescent="0.3">
      <c r="A150" s="4" t="s">
        <v>41</v>
      </c>
      <c r="B150" s="4">
        <v>1000000149</v>
      </c>
      <c r="C150" s="4">
        <v>46000</v>
      </c>
      <c r="D150" s="4" t="s">
        <v>42</v>
      </c>
      <c r="E150" s="4" t="s">
        <v>9</v>
      </c>
      <c r="F150" s="4" t="s">
        <v>325</v>
      </c>
      <c r="G150" s="4" t="s">
        <v>326</v>
      </c>
    </row>
    <row r="151" spans="1:7" x14ac:dyDescent="0.3">
      <c r="A151" s="4" t="s">
        <v>45</v>
      </c>
      <c r="B151" s="4">
        <v>1000000150</v>
      </c>
      <c r="C151" s="4">
        <v>77000</v>
      </c>
      <c r="D151" s="4" t="s">
        <v>46</v>
      </c>
      <c r="E151" s="4" t="s">
        <v>14</v>
      </c>
      <c r="F151" s="4" t="s">
        <v>327</v>
      </c>
      <c r="G151" s="4" t="s">
        <v>328</v>
      </c>
    </row>
    <row r="152" spans="1:7" x14ac:dyDescent="0.3">
      <c r="A152" s="4" t="s">
        <v>7</v>
      </c>
      <c r="B152" s="4">
        <v>1000000151</v>
      </c>
      <c r="C152" s="4">
        <v>50000</v>
      </c>
      <c r="D152" s="4" t="s">
        <v>8</v>
      </c>
      <c r="E152" s="4" t="s">
        <v>9</v>
      </c>
      <c r="F152" s="4" t="s">
        <v>329</v>
      </c>
      <c r="G152" s="4" t="s">
        <v>330</v>
      </c>
    </row>
    <row r="153" spans="1:7" x14ac:dyDescent="0.3">
      <c r="A153" s="4" t="s">
        <v>12</v>
      </c>
      <c r="B153" s="4">
        <v>1000000152</v>
      </c>
      <c r="C153" s="4">
        <v>75000</v>
      </c>
      <c r="D153" s="4" t="s">
        <v>13</v>
      </c>
      <c r="E153" s="4" t="s">
        <v>14</v>
      </c>
      <c r="F153" s="4" t="s">
        <v>331</v>
      </c>
      <c r="G153" s="4" t="s">
        <v>332</v>
      </c>
    </row>
    <row r="154" spans="1:7" x14ac:dyDescent="0.3">
      <c r="A154" s="4" t="s">
        <v>17</v>
      </c>
      <c r="B154" s="4">
        <v>1000000153</v>
      </c>
      <c r="C154" s="4">
        <v>120000</v>
      </c>
      <c r="D154" s="4" t="s">
        <v>18</v>
      </c>
      <c r="E154" s="4" t="s">
        <v>9</v>
      </c>
      <c r="F154" s="4" t="s">
        <v>333</v>
      </c>
      <c r="G154" s="4" t="s">
        <v>334</v>
      </c>
    </row>
    <row r="155" spans="1:7" x14ac:dyDescent="0.3">
      <c r="A155" s="4" t="s">
        <v>21</v>
      </c>
      <c r="B155" s="4">
        <v>1000000154</v>
      </c>
      <c r="C155" s="4">
        <v>45000</v>
      </c>
      <c r="D155" s="4" t="s">
        <v>22</v>
      </c>
      <c r="E155" s="4" t="s">
        <v>14</v>
      </c>
      <c r="F155" s="4" t="s">
        <v>335</v>
      </c>
      <c r="G155" s="4" t="s">
        <v>336</v>
      </c>
    </row>
    <row r="156" spans="1:7" x14ac:dyDescent="0.3">
      <c r="A156" s="4" t="s">
        <v>25</v>
      </c>
      <c r="B156" s="4">
        <v>1000000155</v>
      </c>
      <c r="C156" s="4">
        <v>98000</v>
      </c>
      <c r="D156" s="4" t="s">
        <v>26</v>
      </c>
      <c r="E156" s="4" t="s">
        <v>9</v>
      </c>
      <c r="F156" s="4" t="s">
        <v>337</v>
      </c>
      <c r="G156" s="4" t="s">
        <v>338</v>
      </c>
    </row>
    <row r="157" spans="1:7" x14ac:dyDescent="0.3">
      <c r="A157" s="4" t="s">
        <v>29</v>
      </c>
      <c r="B157" s="4">
        <v>1000000156</v>
      </c>
      <c r="C157" s="4">
        <v>67000</v>
      </c>
      <c r="D157" s="4" t="s">
        <v>30</v>
      </c>
      <c r="E157" s="4" t="s">
        <v>14</v>
      </c>
      <c r="F157" s="4" t="s">
        <v>339</v>
      </c>
      <c r="G157" s="4" t="s">
        <v>340</v>
      </c>
    </row>
    <row r="158" spans="1:7" x14ac:dyDescent="0.3">
      <c r="A158" s="4" t="s">
        <v>33</v>
      </c>
      <c r="B158" s="4">
        <v>1000000157</v>
      </c>
      <c r="C158" s="4">
        <v>56000</v>
      </c>
      <c r="D158" s="4" t="s">
        <v>34</v>
      </c>
      <c r="E158" s="4" t="s">
        <v>9</v>
      </c>
      <c r="F158" s="4" t="s">
        <v>341</v>
      </c>
      <c r="G158" s="4" t="s">
        <v>342</v>
      </c>
    </row>
    <row r="159" spans="1:7" x14ac:dyDescent="0.3">
      <c r="A159" s="4" t="s">
        <v>37</v>
      </c>
      <c r="B159" s="4">
        <v>1000000158</v>
      </c>
      <c r="C159" s="4">
        <v>89000</v>
      </c>
      <c r="D159" s="4" t="s">
        <v>38</v>
      </c>
      <c r="E159" s="4" t="s">
        <v>14</v>
      </c>
      <c r="F159" s="4" t="s">
        <v>343</v>
      </c>
      <c r="G159" s="4" t="s">
        <v>344</v>
      </c>
    </row>
    <row r="160" spans="1:7" x14ac:dyDescent="0.3">
      <c r="A160" s="4" t="s">
        <v>41</v>
      </c>
      <c r="B160" s="4">
        <v>1000000159</v>
      </c>
      <c r="C160" s="4">
        <v>46000</v>
      </c>
      <c r="D160" s="4" t="s">
        <v>42</v>
      </c>
      <c r="E160" s="4" t="s">
        <v>9</v>
      </c>
      <c r="F160" s="4" t="s">
        <v>345</v>
      </c>
      <c r="G160" s="4" t="s">
        <v>346</v>
      </c>
    </row>
    <row r="161" spans="1:7" x14ac:dyDescent="0.3">
      <c r="A161" s="4" t="s">
        <v>45</v>
      </c>
      <c r="B161" s="4">
        <v>1000000160</v>
      </c>
      <c r="C161" s="4">
        <v>77000</v>
      </c>
      <c r="D161" s="4" t="s">
        <v>46</v>
      </c>
      <c r="E161" s="4" t="s">
        <v>14</v>
      </c>
      <c r="F161" s="4" t="s">
        <v>347</v>
      </c>
      <c r="G161" s="4" t="s">
        <v>348</v>
      </c>
    </row>
    <row r="162" spans="1:7" x14ac:dyDescent="0.3">
      <c r="A162" s="4" t="s">
        <v>7</v>
      </c>
      <c r="B162" s="4">
        <v>1000000161</v>
      </c>
      <c r="C162" s="4">
        <v>50000</v>
      </c>
      <c r="D162" s="4" t="s">
        <v>8</v>
      </c>
      <c r="E162" s="4" t="s">
        <v>9</v>
      </c>
      <c r="F162" s="4" t="s">
        <v>349</v>
      </c>
      <c r="G162" s="4" t="s">
        <v>350</v>
      </c>
    </row>
    <row r="163" spans="1:7" x14ac:dyDescent="0.3">
      <c r="A163" s="4" t="s">
        <v>12</v>
      </c>
      <c r="B163" s="4">
        <v>1000000162</v>
      </c>
      <c r="C163" s="4">
        <v>75000</v>
      </c>
      <c r="D163" s="4" t="s">
        <v>13</v>
      </c>
      <c r="E163" s="4" t="s">
        <v>14</v>
      </c>
      <c r="F163" s="4" t="s">
        <v>351</v>
      </c>
      <c r="G163" s="4" t="s">
        <v>352</v>
      </c>
    </row>
    <row r="164" spans="1:7" x14ac:dyDescent="0.3">
      <c r="A164" s="4" t="s">
        <v>17</v>
      </c>
      <c r="B164" s="4">
        <v>1000000163</v>
      </c>
      <c r="C164" s="4">
        <v>120000</v>
      </c>
      <c r="D164" s="4" t="s">
        <v>18</v>
      </c>
      <c r="E164" s="4" t="s">
        <v>9</v>
      </c>
      <c r="F164" s="4" t="s">
        <v>353</v>
      </c>
      <c r="G164" s="4" t="s">
        <v>354</v>
      </c>
    </row>
    <row r="165" spans="1:7" x14ac:dyDescent="0.3">
      <c r="A165" s="4" t="s">
        <v>21</v>
      </c>
      <c r="B165" s="4">
        <v>1000000164</v>
      </c>
      <c r="C165" s="4">
        <v>45000</v>
      </c>
      <c r="D165" s="4" t="s">
        <v>22</v>
      </c>
      <c r="E165" s="4" t="s">
        <v>14</v>
      </c>
      <c r="F165" s="4" t="s">
        <v>355</v>
      </c>
      <c r="G165" s="4" t="s">
        <v>356</v>
      </c>
    </row>
    <row r="166" spans="1:7" x14ac:dyDescent="0.3">
      <c r="A166" s="4" t="s">
        <v>25</v>
      </c>
      <c r="B166" s="4">
        <v>1000000165</v>
      </c>
      <c r="C166" s="4">
        <v>98000</v>
      </c>
      <c r="D166" s="4" t="s">
        <v>26</v>
      </c>
      <c r="E166" s="4" t="s">
        <v>9</v>
      </c>
      <c r="F166" s="4" t="s">
        <v>357</v>
      </c>
      <c r="G166" s="4" t="s">
        <v>358</v>
      </c>
    </row>
    <row r="167" spans="1:7" x14ac:dyDescent="0.3">
      <c r="A167" s="4" t="s">
        <v>29</v>
      </c>
      <c r="B167" s="4">
        <v>1000000166</v>
      </c>
      <c r="C167" s="4">
        <v>67000</v>
      </c>
      <c r="D167" s="4" t="s">
        <v>30</v>
      </c>
      <c r="E167" s="4" t="s">
        <v>14</v>
      </c>
      <c r="F167" s="4" t="s">
        <v>359</v>
      </c>
      <c r="G167" s="4" t="s">
        <v>360</v>
      </c>
    </row>
    <row r="168" spans="1:7" x14ac:dyDescent="0.3">
      <c r="A168" s="4" t="s">
        <v>33</v>
      </c>
      <c r="B168" s="4">
        <v>1000000167</v>
      </c>
      <c r="C168" s="4">
        <v>56000</v>
      </c>
      <c r="D168" s="4" t="s">
        <v>34</v>
      </c>
      <c r="E168" s="4" t="s">
        <v>9</v>
      </c>
      <c r="F168" s="4" t="s">
        <v>361</v>
      </c>
      <c r="G168" s="4" t="s">
        <v>362</v>
      </c>
    </row>
    <row r="169" spans="1:7" x14ac:dyDescent="0.3">
      <c r="A169" s="4" t="s">
        <v>37</v>
      </c>
      <c r="B169" s="4">
        <v>1000000168</v>
      </c>
      <c r="C169" s="4">
        <v>89000</v>
      </c>
      <c r="D169" s="4" t="s">
        <v>38</v>
      </c>
      <c r="E169" s="4" t="s">
        <v>14</v>
      </c>
      <c r="F169" s="4" t="s">
        <v>363</v>
      </c>
      <c r="G169" s="4" t="s">
        <v>364</v>
      </c>
    </row>
    <row r="170" spans="1:7" x14ac:dyDescent="0.3">
      <c r="A170" s="4" t="s">
        <v>41</v>
      </c>
      <c r="B170" s="4">
        <v>1000000169</v>
      </c>
      <c r="C170" s="4">
        <v>46000</v>
      </c>
      <c r="D170" s="4" t="s">
        <v>42</v>
      </c>
      <c r="E170" s="4" t="s">
        <v>9</v>
      </c>
      <c r="F170" s="4" t="s">
        <v>365</v>
      </c>
      <c r="G170" s="4" t="s">
        <v>366</v>
      </c>
    </row>
    <row r="171" spans="1:7" x14ac:dyDescent="0.3">
      <c r="A171" s="4" t="s">
        <v>45</v>
      </c>
      <c r="B171" s="4">
        <v>1000000170</v>
      </c>
      <c r="C171" s="4">
        <v>77000</v>
      </c>
      <c r="D171" s="4" t="s">
        <v>46</v>
      </c>
      <c r="E171" s="4" t="s">
        <v>14</v>
      </c>
      <c r="F171" s="4" t="s">
        <v>367</v>
      </c>
      <c r="G171" s="4" t="s">
        <v>368</v>
      </c>
    </row>
    <row r="172" spans="1:7" x14ac:dyDescent="0.3">
      <c r="A172" s="4" t="s">
        <v>7</v>
      </c>
      <c r="B172" s="4">
        <v>1000000171</v>
      </c>
      <c r="C172" s="4">
        <v>50000</v>
      </c>
      <c r="D172" s="4" t="s">
        <v>8</v>
      </c>
      <c r="E172" s="4" t="s">
        <v>9</v>
      </c>
      <c r="F172" s="4" t="s">
        <v>369</v>
      </c>
      <c r="G172" s="4" t="s">
        <v>370</v>
      </c>
    </row>
    <row r="173" spans="1:7" x14ac:dyDescent="0.3">
      <c r="A173" s="4" t="s">
        <v>12</v>
      </c>
      <c r="B173" s="4">
        <v>1000000172</v>
      </c>
      <c r="C173" s="4">
        <v>75000</v>
      </c>
      <c r="D173" s="4" t="s">
        <v>13</v>
      </c>
      <c r="E173" s="4" t="s">
        <v>14</v>
      </c>
      <c r="F173" s="4" t="s">
        <v>371</v>
      </c>
      <c r="G173" s="4" t="s">
        <v>372</v>
      </c>
    </row>
    <row r="174" spans="1:7" x14ac:dyDescent="0.3">
      <c r="A174" s="4" t="s">
        <v>17</v>
      </c>
      <c r="B174" s="4">
        <v>1000000173</v>
      </c>
      <c r="C174" s="4">
        <v>120000</v>
      </c>
      <c r="D174" s="4" t="s">
        <v>18</v>
      </c>
      <c r="E174" s="4" t="s">
        <v>9</v>
      </c>
      <c r="F174" s="4" t="s">
        <v>373</v>
      </c>
      <c r="G174" s="4" t="s">
        <v>374</v>
      </c>
    </row>
    <row r="175" spans="1:7" x14ac:dyDescent="0.3">
      <c r="A175" s="4" t="s">
        <v>21</v>
      </c>
      <c r="B175" s="4">
        <v>1000000174</v>
      </c>
      <c r="C175" s="4">
        <v>45000</v>
      </c>
      <c r="D175" s="4" t="s">
        <v>22</v>
      </c>
      <c r="E175" s="4" t="s">
        <v>14</v>
      </c>
      <c r="F175" s="4" t="s">
        <v>375</v>
      </c>
      <c r="G175" s="4" t="s">
        <v>376</v>
      </c>
    </row>
    <row r="176" spans="1:7" x14ac:dyDescent="0.3">
      <c r="A176" s="4" t="s">
        <v>25</v>
      </c>
      <c r="B176" s="4">
        <v>1000000175</v>
      </c>
      <c r="C176" s="4">
        <v>98000</v>
      </c>
      <c r="D176" s="4" t="s">
        <v>26</v>
      </c>
      <c r="E176" s="4" t="s">
        <v>9</v>
      </c>
      <c r="F176" s="4" t="s">
        <v>377</v>
      </c>
      <c r="G176" s="4" t="s">
        <v>378</v>
      </c>
    </row>
    <row r="177" spans="1:7" x14ac:dyDescent="0.3">
      <c r="A177" s="4" t="s">
        <v>29</v>
      </c>
      <c r="B177" s="4">
        <v>1000000176</v>
      </c>
      <c r="C177" s="4">
        <v>67000</v>
      </c>
      <c r="D177" s="4" t="s">
        <v>30</v>
      </c>
      <c r="E177" s="4" t="s">
        <v>14</v>
      </c>
      <c r="F177" s="4" t="s">
        <v>379</v>
      </c>
      <c r="G177" s="4" t="s">
        <v>380</v>
      </c>
    </row>
    <row r="178" spans="1:7" x14ac:dyDescent="0.3">
      <c r="A178" s="4" t="s">
        <v>33</v>
      </c>
      <c r="B178" s="4">
        <v>1000000177</v>
      </c>
      <c r="C178" s="4">
        <v>56000</v>
      </c>
      <c r="D178" s="4" t="s">
        <v>34</v>
      </c>
      <c r="E178" s="4" t="s">
        <v>9</v>
      </c>
      <c r="F178" s="4" t="s">
        <v>381</v>
      </c>
      <c r="G178" s="4" t="s">
        <v>382</v>
      </c>
    </row>
    <row r="179" spans="1:7" x14ac:dyDescent="0.3">
      <c r="A179" s="4" t="s">
        <v>37</v>
      </c>
      <c r="B179" s="4">
        <v>1000000178</v>
      </c>
      <c r="C179" s="4">
        <v>89000</v>
      </c>
      <c r="D179" s="4" t="s">
        <v>38</v>
      </c>
      <c r="E179" s="4" t="s">
        <v>14</v>
      </c>
      <c r="F179" s="4" t="s">
        <v>383</v>
      </c>
      <c r="G179" s="4" t="s">
        <v>384</v>
      </c>
    </row>
    <row r="180" spans="1:7" x14ac:dyDescent="0.3">
      <c r="A180" s="4" t="s">
        <v>41</v>
      </c>
      <c r="B180" s="4">
        <v>1000000179</v>
      </c>
      <c r="C180" s="4">
        <v>46000</v>
      </c>
      <c r="D180" s="4" t="s">
        <v>42</v>
      </c>
      <c r="E180" s="4" t="s">
        <v>9</v>
      </c>
      <c r="F180" s="4" t="s">
        <v>385</v>
      </c>
      <c r="G180" s="4" t="s">
        <v>386</v>
      </c>
    </row>
    <row r="181" spans="1:7" x14ac:dyDescent="0.3">
      <c r="A181" s="4" t="s">
        <v>45</v>
      </c>
      <c r="B181" s="4">
        <v>1000000180</v>
      </c>
      <c r="C181" s="4">
        <v>77000</v>
      </c>
      <c r="D181" s="4" t="s">
        <v>46</v>
      </c>
      <c r="E181" s="4" t="s">
        <v>14</v>
      </c>
      <c r="F181" s="4" t="s">
        <v>387</v>
      </c>
      <c r="G181" s="4" t="s">
        <v>388</v>
      </c>
    </row>
    <row r="182" spans="1:7" x14ac:dyDescent="0.3">
      <c r="A182" s="4" t="s">
        <v>7</v>
      </c>
      <c r="B182" s="4">
        <v>1000000181</v>
      </c>
      <c r="C182" s="4">
        <v>50000</v>
      </c>
      <c r="D182" s="4" t="s">
        <v>8</v>
      </c>
      <c r="E182" s="4" t="s">
        <v>9</v>
      </c>
      <c r="F182" s="4" t="s">
        <v>389</v>
      </c>
      <c r="G182" s="4" t="s">
        <v>390</v>
      </c>
    </row>
    <row r="183" spans="1:7" x14ac:dyDescent="0.3">
      <c r="A183" s="4" t="s">
        <v>12</v>
      </c>
      <c r="B183" s="4">
        <v>1000000182</v>
      </c>
      <c r="C183" s="4">
        <v>75000</v>
      </c>
      <c r="D183" s="4" t="s">
        <v>13</v>
      </c>
      <c r="E183" s="4" t="s">
        <v>14</v>
      </c>
      <c r="F183" s="4" t="s">
        <v>391</v>
      </c>
      <c r="G183" s="4" t="s">
        <v>392</v>
      </c>
    </row>
    <row r="184" spans="1:7" x14ac:dyDescent="0.3">
      <c r="A184" s="4" t="s">
        <v>17</v>
      </c>
      <c r="B184" s="4">
        <v>1000000183</v>
      </c>
      <c r="C184" s="4">
        <v>120000</v>
      </c>
      <c r="D184" s="4" t="s">
        <v>18</v>
      </c>
      <c r="E184" s="4" t="s">
        <v>9</v>
      </c>
      <c r="F184" s="4" t="s">
        <v>393</v>
      </c>
      <c r="G184" s="4" t="s">
        <v>394</v>
      </c>
    </row>
    <row r="185" spans="1:7" x14ac:dyDescent="0.3">
      <c r="A185" s="4" t="s">
        <v>21</v>
      </c>
      <c r="B185" s="4">
        <v>1000000184</v>
      </c>
      <c r="C185" s="4">
        <v>45000</v>
      </c>
      <c r="D185" s="4" t="s">
        <v>22</v>
      </c>
      <c r="E185" s="4" t="s">
        <v>14</v>
      </c>
      <c r="F185" s="4" t="s">
        <v>395</v>
      </c>
      <c r="G185" s="4" t="s">
        <v>396</v>
      </c>
    </row>
    <row r="186" spans="1:7" x14ac:dyDescent="0.3">
      <c r="A186" s="4" t="s">
        <v>25</v>
      </c>
      <c r="B186" s="4">
        <v>1000000185</v>
      </c>
      <c r="C186" s="4">
        <v>98000</v>
      </c>
      <c r="D186" s="4" t="s">
        <v>26</v>
      </c>
      <c r="E186" s="4" t="s">
        <v>9</v>
      </c>
      <c r="F186" s="4" t="s">
        <v>397</v>
      </c>
      <c r="G186" s="4" t="s">
        <v>398</v>
      </c>
    </row>
    <row r="187" spans="1:7" x14ac:dyDescent="0.3">
      <c r="A187" s="4" t="s">
        <v>29</v>
      </c>
      <c r="B187" s="4">
        <v>1000000186</v>
      </c>
      <c r="C187" s="4">
        <v>67000</v>
      </c>
      <c r="D187" s="4" t="s">
        <v>30</v>
      </c>
      <c r="E187" s="4" t="s">
        <v>14</v>
      </c>
      <c r="F187" s="4" t="s">
        <v>399</v>
      </c>
      <c r="G187" s="4" t="s">
        <v>400</v>
      </c>
    </row>
    <row r="188" spans="1:7" x14ac:dyDescent="0.3">
      <c r="A188" s="4" t="s">
        <v>33</v>
      </c>
      <c r="B188" s="4">
        <v>1000000187</v>
      </c>
      <c r="C188" s="4">
        <v>56000</v>
      </c>
      <c r="D188" s="4" t="s">
        <v>34</v>
      </c>
      <c r="E188" s="4" t="s">
        <v>9</v>
      </c>
      <c r="F188" s="4" t="s">
        <v>401</v>
      </c>
      <c r="G188" s="4" t="s">
        <v>402</v>
      </c>
    </row>
    <row r="189" spans="1:7" x14ac:dyDescent="0.3">
      <c r="A189" s="4" t="s">
        <v>37</v>
      </c>
      <c r="B189" s="4">
        <v>1000000188</v>
      </c>
      <c r="C189" s="4">
        <v>89000</v>
      </c>
      <c r="D189" s="4" t="s">
        <v>38</v>
      </c>
      <c r="E189" s="4" t="s">
        <v>14</v>
      </c>
      <c r="F189" s="4" t="s">
        <v>403</v>
      </c>
      <c r="G189" s="4" t="s">
        <v>404</v>
      </c>
    </row>
    <row r="190" spans="1:7" x14ac:dyDescent="0.3">
      <c r="A190" s="4" t="s">
        <v>41</v>
      </c>
      <c r="B190" s="4">
        <v>1000000189</v>
      </c>
      <c r="C190" s="4">
        <v>46000</v>
      </c>
      <c r="D190" s="4" t="s">
        <v>42</v>
      </c>
      <c r="E190" s="4" t="s">
        <v>9</v>
      </c>
      <c r="F190" s="4" t="s">
        <v>405</v>
      </c>
      <c r="G190" s="4" t="s">
        <v>406</v>
      </c>
    </row>
    <row r="191" spans="1:7" x14ac:dyDescent="0.3">
      <c r="A191" s="4" t="s">
        <v>45</v>
      </c>
      <c r="B191" s="4">
        <v>1000000190</v>
      </c>
      <c r="C191" s="4">
        <v>77000</v>
      </c>
      <c r="D191" s="4" t="s">
        <v>46</v>
      </c>
      <c r="E191" s="4" t="s">
        <v>14</v>
      </c>
      <c r="F191" s="4" t="s">
        <v>407</v>
      </c>
      <c r="G191" s="4" t="s">
        <v>408</v>
      </c>
    </row>
    <row r="192" spans="1:7" x14ac:dyDescent="0.3">
      <c r="A192" s="4" t="s">
        <v>7</v>
      </c>
      <c r="B192" s="4">
        <v>1000000191</v>
      </c>
      <c r="C192" s="4">
        <v>50000</v>
      </c>
      <c r="D192" s="4" t="s">
        <v>8</v>
      </c>
      <c r="E192" s="4" t="s">
        <v>9</v>
      </c>
      <c r="F192" s="4" t="s">
        <v>409</v>
      </c>
      <c r="G192" s="4" t="s">
        <v>410</v>
      </c>
    </row>
    <row r="193" spans="1:7" x14ac:dyDescent="0.3">
      <c r="A193" s="4" t="s">
        <v>12</v>
      </c>
      <c r="B193" s="4">
        <v>1000000192</v>
      </c>
      <c r="C193" s="4">
        <v>75000</v>
      </c>
      <c r="D193" s="4" t="s">
        <v>13</v>
      </c>
      <c r="E193" s="4" t="s">
        <v>14</v>
      </c>
      <c r="F193" s="4" t="s">
        <v>411</v>
      </c>
      <c r="G193" s="4" t="s">
        <v>412</v>
      </c>
    </row>
    <row r="194" spans="1:7" x14ac:dyDescent="0.3">
      <c r="A194" s="4" t="s">
        <v>17</v>
      </c>
      <c r="B194" s="4">
        <v>1000000193</v>
      </c>
      <c r="C194" s="4">
        <v>120000</v>
      </c>
      <c r="D194" s="4" t="s">
        <v>18</v>
      </c>
      <c r="E194" s="4" t="s">
        <v>9</v>
      </c>
      <c r="F194" s="4" t="s">
        <v>413</v>
      </c>
      <c r="G194" s="4" t="s">
        <v>414</v>
      </c>
    </row>
    <row r="195" spans="1:7" x14ac:dyDescent="0.3">
      <c r="A195" s="4" t="s">
        <v>21</v>
      </c>
      <c r="B195" s="4">
        <v>1000000194</v>
      </c>
      <c r="C195" s="4">
        <v>45000</v>
      </c>
      <c r="D195" s="4" t="s">
        <v>22</v>
      </c>
      <c r="E195" s="4" t="s">
        <v>14</v>
      </c>
      <c r="F195" s="4" t="s">
        <v>415</v>
      </c>
      <c r="G195" s="4" t="s">
        <v>416</v>
      </c>
    </row>
    <row r="196" spans="1:7" x14ac:dyDescent="0.3">
      <c r="A196" s="4" t="s">
        <v>25</v>
      </c>
      <c r="B196" s="4">
        <v>1000000195</v>
      </c>
      <c r="C196" s="4">
        <v>98000</v>
      </c>
      <c r="D196" s="4" t="s">
        <v>26</v>
      </c>
      <c r="E196" s="4" t="s">
        <v>9</v>
      </c>
      <c r="F196" s="4" t="s">
        <v>417</v>
      </c>
      <c r="G196" s="4" t="s">
        <v>418</v>
      </c>
    </row>
    <row r="197" spans="1:7" x14ac:dyDescent="0.3">
      <c r="A197" s="4" t="s">
        <v>29</v>
      </c>
      <c r="B197" s="4">
        <v>1000000196</v>
      </c>
      <c r="C197" s="4">
        <v>67000</v>
      </c>
      <c r="D197" s="4" t="s">
        <v>30</v>
      </c>
      <c r="E197" s="4" t="s">
        <v>14</v>
      </c>
      <c r="F197" s="4" t="s">
        <v>419</v>
      </c>
      <c r="G197" s="4" t="s">
        <v>420</v>
      </c>
    </row>
    <row r="198" spans="1:7" x14ac:dyDescent="0.3">
      <c r="A198" s="4" t="s">
        <v>33</v>
      </c>
      <c r="B198" s="4">
        <v>1000000197</v>
      </c>
      <c r="C198" s="4">
        <v>56000</v>
      </c>
      <c r="D198" s="4" t="s">
        <v>34</v>
      </c>
      <c r="E198" s="4" t="s">
        <v>9</v>
      </c>
      <c r="F198" s="4" t="s">
        <v>421</v>
      </c>
      <c r="G198" s="4" t="s">
        <v>422</v>
      </c>
    </row>
    <row r="199" spans="1:7" x14ac:dyDescent="0.3">
      <c r="A199" s="4" t="s">
        <v>37</v>
      </c>
      <c r="B199" s="4">
        <v>1000000198</v>
      </c>
      <c r="C199" s="4">
        <v>89000</v>
      </c>
      <c r="D199" s="4" t="s">
        <v>38</v>
      </c>
      <c r="E199" s="4" t="s">
        <v>14</v>
      </c>
      <c r="F199" s="4" t="s">
        <v>423</v>
      </c>
      <c r="G199" s="4" t="s">
        <v>424</v>
      </c>
    </row>
    <row r="200" spans="1:7" x14ac:dyDescent="0.3">
      <c r="A200" s="4" t="s">
        <v>41</v>
      </c>
      <c r="B200" s="4">
        <v>1000000199</v>
      </c>
      <c r="C200" s="4">
        <v>46000</v>
      </c>
      <c r="D200" s="4" t="s">
        <v>42</v>
      </c>
      <c r="E200" s="4" t="s">
        <v>9</v>
      </c>
      <c r="F200" s="4" t="s">
        <v>425</v>
      </c>
      <c r="G200" s="4" t="s">
        <v>426</v>
      </c>
    </row>
    <row r="201" spans="1:7" x14ac:dyDescent="0.3">
      <c r="A201" s="4" t="s">
        <v>45</v>
      </c>
      <c r="B201" s="4">
        <v>1000000200</v>
      </c>
      <c r="C201" s="4">
        <v>77000</v>
      </c>
      <c r="D201" s="4" t="s">
        <v>46</v>
      </c>
      <c r="E201" s="4" t="s">
        <v>14</v>
      </c>
      <c r="F201" s="4" t="s">
        <v>427</v>
      </c>
      <c r="G201" s="4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EDD8-D40F-40DF-87B2-4870EF1C01FC}">
  <dimension ref="A1:S102"/>
  <sheetViews>
    <sheetView workbookViewId="0">
      <selection activeCell="H16" sqref="H16"/>
    </sheetView>
  </sheetViews>
  <sheetFormatPr defaultRowHeight="14.4" x14ac:dyDescent="0.3"/>
  <cols>
    <col min="1" max="1" width="14.6640625" bestFit="1" customWidth="1"/>
    <col min="2" max="2" width="15.44140625" bestFit="1" customWidth="1"/>
    <col min="3" max="3" width="12.33203125" bestFit="1" customWidth="1"/>
    <col min="4" max="4" width="10.6640625" bestFit="1" customWidth="1"/>
    <col min="5" max="5" width="12.5546875" bestFit="1" customWidth="1"/>
    <col min="6" max="6" width="22.33203125" bestFit="1" customWidth="1"/>
    <col min="7" max="7" width="13.88671875" bestFit="1" customWidth="1"/>
    <col min="10" max="10" width="15.44140625" bestFit="1" customWidth="1"/>
    <col min="11" max="11" width="12.21875" bestFit="1" customWidth="1"/>
    <col min="13" max="13" width="15.21875" bestFit="1" customWidth="1"/>
    <col min="14" max="14" width="15.44140625" bestFit="1" customWidth="1"/>
    <col min="15" max="15" width="12.33203125" bestFit="1" customWidth="1"/>
    <col min="16" max="16" width="7.5546875" bestFit="1" customWidth="1"/>
    <col min="17" max="17" width="12.5546875" bestFit="1" customWidth="1"/>
    <col min="18" max="18" width="22.33203125" bestFit="1" customWidth="1"/>
    <col min="19" max="19" width="13.88671875" bestFit="1" customWidth="1"/>
  </cols>
  <sheetData>
    <row r="1" spans="1:19" x14ac:dyDescent="0.3">
      <c r="A1" s="5" t="s">
        <v>430</v>
      </c>
      <c r="M1" s="5" t="s">
        <v>431</v>
      </c>
    </row>
    <row r="2" spans="1:19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J2" s="2" t="s">
        <v>1</v>
      </c>
      <c r="K2" s="4">
        <v>10000000102</v>
      </c>
      <c r="M2" s="3" t="s">
        <v>0</v>
      </c>
      <c r="N2" s="3" t="s">
        <v>1</v>
      </c>
      <c r="O2" s="3" t="s">
        <v>2</v>
      </c>
      <c r="P2" s="3" t="s">
        <v>3</v>
      </c>
      <c r="Q2" s="3" t="s">
        <v>4</v>
      </c>
      <c r="R2" s="3" t="s">
        <v>5</v>
      </c>
      <c r="S2" s="3" t="s">
        <v>6</v>
      </c>
    </row>
    <row r="3" spans="1:19" x14ac:dyDescent="0.3">
      <c r="A3" s="4" t="s">
        <v>7</v>
      </c>
      <c r="B3" s="4">
        <v>1000000001</v>
      </c>
      <c r="C3" s="4">
        <v>50000</v>
      </c>
      <c r="D3" s="4" t="s">
        <v>8</v>
      </c>
      <c r="E3" s="4" t="s">
        <v>9</v>
      </c>
      <c r="F3" s="4" t="s">
        <v>10</v>
      </c>
      <c r="G3" s="4" t="s">
        <v>11</v>
      </c>
      <c r="J3" s="2" t="s">
        <v>0</v>
      </c>
      <c r="K3" t="str">
        <f>_xlfn.XLOOKUP(K2,B2:B102,A2:A102,_xlfn.XLOOKUP(K2,N2:N102,M2:M102,"Not Found"))</f>
        <v>Not Found</v>
      </c>
      <c r="M3" s="4" t="s">
        <v>12</v>
      </c>
      <c r="N3" s="4">
        <v>1000000002</v>
      </c>
      <c r="O3" s="4">
        <v>75000</v>
      </c>
      <c r="P3" s="4" t="s">
        <v>13</v>
      </c>
      <c r="Q3" s="4" t="s">
        <v>14</v>
      </c>
      <c r="R3" s="4" t="s">
        <v>15</v>
      </c>
      <c r="S3" s="4" t="s">
        <v>16</v>
      </c>
    </row>
    <row r="4" spans="1:19" x14ac:dyDescent="0.3">
      <c r="A4" s="4" t="s">
        <v>17</v>
      </c>
      <c r="B4" s="4">
        <v>1000000003</v>
      </c>
      <c r="C4" s="4">
        <v>120000</v>
      </c>
      <c r="D4" s="4" t="s">
        <v>18</v>
      </c>
      <c r="E4" s="4" t="s">
        <v>9</v>
      </c>
      <c r="F4" s="4" t="s">
        <v>19</v>
      </c>
      <c r="G4" s="4" t="s">
        <v>20</v>
      </c>
      <c r="M4" s="4" t="s">
        <v>21</v>
      </c>
      <c r="N4" s="4">
        <v>1000000004</v>
      </c>
      <c r="O4" s="4">
        <v>45000</v>
      </c>
      <c r="P4" s="4" t="s">
        <v>22</v>
      </c>
      <c r="Q4" s="4" t="s">
        <v>14</v>
      </c>
      <c r="R4" s="4" t="s">
        <v>23</v>
      </c>
      <c r="S4" s="4" t="s">
        <v>24</v>
      </c>
    </row>
    <row r="5" spans="1:19" x14ac:dyDescent="0.3">
      <c r="A5" s="4" t="s">
        <v>25</v>
      </c>
      <c r="B5" s="4">
        <v>1000000005</v>
      </c>
      <c r="C5" s="4">
        <v>98000</v>
      </c>
      <c r="D5" s="4" t="s">
        <v>26</v>
      </c>
      <c r="E5" s="4" t="s">
        <v>9</v>
      </c>
      <c r="F5" s="4" t="s">
        <v>27</v>
      </c>
      <c r="G5" s="4" t="s">
        <v>28</v>
      </c>
      <c r="M5" s="4" t="s">
        <v>29</v>
      </c>
      <c r="N5" s="4">
        <v>1000000006</v>
      </c>
      <c r="O5" s="4">
        <v>67000</v>
      </c>
      <c r="P5" s="4" t="s">
        <v>30</v>
      </c>
      <c r="Q5" s="4" t="s">
        <v>14</v>
      </c>
      <c r="R5" s="4" t="s">
        <v>31</v>
      </c>
      <c r="S5" s="4" t="s">
        <v>32</v>
      </c>
    </row>
    <row r="6" spans="1:19" x14ac:dyDescent="0.3">
      <c r="A6" s="4" t="s">
        <v>33</v>
      </c>
      <c r="B6" s="4">
        <v>1000000007</v>
      </c>
      <c r="C6" s="4">
        <v>56000</v>
      </c>
      <c r="D6" s="4" t="s">
        <v>34</v>
      </c>
      <c r="E6" s="4" t="s">
        <v>9</v>
      </c>
      <c r="F6" s="4" t="s">
        <v>35</v>
      </c>
      <c r="G6" s="4" t="s">
        <v>36</v>
      </c>
      <c r="M6" s="4" t="s">
        <v>37</v>
      </c>
      <c r="N6" s="4">
        <v>1000000008</v>
      </c>
      <c r="O6" s="4">
        <v>89000</v>
      </c>
      <c r="P6" s="4" t="s">
        <v>38</v>
      </c>
      <c r="Q6" s="4" t="s">
        <v>14</v>
      </c>
      <c r="R6" s="4" t="s">
        <v>39</v>
      </c>
      <c r="S6" s="4" t="s">
        <v>40</v>
      </c>
    </row>
    <row r="7" spans="1:19" x14ac:dyDescent="0.3">
      <c r="A7" s="4" t="s">
        <v>41</v>
      </c>
      <c r="B7" s="4">
        <v>1000000009</v>
      </c>
      <c r="C7" s="4">
        <v>46000</v>
      </c>
      <c r="D7" s="4" t="s">
        <v>42</v>
      </c>
      <c r="E7" s="4" t="s">
        <v>9</v>
      </c>
      <c r="F7" s="4" t="s">
        <v>43</v>
      </c>
      <c r="G7" s="4" t="s">
        <v>44</v>
      </c>
      <c r="M7" s="4" t="s">
        <v>45</v>
      </c>
      <c r="N7" s="4">
        <v>1000000010</v>
      </c>
      <c r="O7" s="4">
        <v>77000</v>
      </c>
      <c r="P7" s="4" t="s">
        <v>46</v>
      </c>
      <c r="Q7" s="4" t="s">
        <v>14</v>
      </c>
      <c r="R7" s="4" t="s">
        <v>47</v>
      </c>
      <c r="S7" s="4" t="s">
        <v>48</v>
      </c>
    </row>
    <row r="8" spans="1:19" x14ac:dyDescent="0.3">
      <c r="A8" s="4" t="s">
        <v>7</v>
      </c>
      <c r="B8" s="4">
        <v>1000000011</v>
      </c>
      <c r="C8" s="4">
        <v>50000</v>
      </c>
      <c r="D8" s="4" t="s">
        <v>8</v>
      </c>
      <c r="E8" s="4" t="s">
        <v>9</v>
      </c>
      <c r="F8" s="4" t="s">
        <v>49</v>
      </c>
      <c r="G8" s="4" t="s">
        <v>50</v>
      </c>
      <c r="M8" s="4" t="s">
        <v>12</v>
      </c>
      <c r="N8" s="4">
        <v>1000000012</v>
      </c>
      <c r="O8" s="4">
        <v>75000</v>
      </c>
      <c r="P8" s="4" t="s">
        <v>13</v>
      </c>
      <c r="Q8" s="4" t="s">
        <v>14</v>
      </c>
      <c r="R8" s="4" t="s">
        <v>51</v>
      </c>
      <c r="S8" s="4" t="s">
        <v>52</v>
      </c>
    </row>
    <row r="9" spans="1:19" x14ac:dyDescent="0.3">
      <c r="A9" s="4" t="s">
        <v>17</v>
      </c>
      <c r="B9" s="4">
        <v>1000000013</v>
      </c>
      <c r="C9" s="4">
        <v>120000</v>
      </c>
      <c r="D9" s="4" t="s">
        <v>18</v>
      </c>
      <c r="E9" s="4" t="s">
        <v>9</v>
      </c>
      <c r="F9" s="4" t="s">
        <v>53</v>
      </c>
      <c r="G9" s="4" t="s">
        <v>54</v>
      </c>
      <c r="M9" s="4" t="s">
        <v>21</v>
      </c>
      <c r="N9" s="4">
        <v>1000000014</v>
      </c>
      <c r="O9" s="4">
        <v>45000</v>
      </c>
      <c r="P9" s="4" t="s">
        <v>22</v>
      </c>
      <c r="Q9" s="4" t="s">
        <v>14</v>
      </c>
      <c r="R9" s="4" t="s">
        <v>55</v>
      </c>
      <c r="S9" s="4" t="s">
        <v>56</v>
      </c>
    </row>
    <row r="10" spans="1:19" x14ac:dyDescent="0.3">
      <c r="A10" s="4" t="s">
        <v>25</v>
      </c>
      <c r="B10" s="4">
        <v>1000000015</v>
      </c>
      <c r="C10" s="4">
        <v>98000</v>
      </c>
      <c r="D10" s="4" t="s">
        <v>26</v>
      </c>
      <c r="E10" s="4" t="s">
        <v>9</v>
      </c>
      <c r="F10" s="4" t="s">
        <v>57</v>
      </c>
      <c r="G10" s="4" t="s">
        <v>58</v>
      </c>
      <c r="M10" s="4" t="s">
        <v>29</v>
      </c>
      <c r="N10" s="4">
        <v>1000000016</v>
      </c>
      <c r="O10" s="4">
        <v>67000</v>
      </c>
      <c r="P10" s="4" t="s">
        <v>30</v>
      </c>
      <c r="Q10" s="4" t="s">
        <v>14</v>
      </c>
      <c r="R10" s="4" t="s">
        <v>59</v>
      </c>
      <c r="S10" s="4" t="s">
        <v>60</v>
      </c>
    </row>
    <row r="11" spans="1:19" x14ac:dyDescent="0.3">
      <c r="A11" s="4" t="s">
        <v>33</v>
      </c>
      <c r="B11" s="4">
        <v>1000000017</v>
      </c>
      <c r="C11" s="4">
        <v>56000</v>
      </c>
      <c r="D11" s="4" t="s">
        <v>34</v>
      </c>
      <c r="E11" s="4" t="s">
        <v>9</v>
      </c>
      <c r="F11" s="4" t="s">
        <v>61</v>
      </c>
      <c r="G11" s="4" t="s">
        <v>62</v>
      </c>
      <c r="M11" s="4" t="s">
        <v>37</v>
      </c>
      <c r="N11" s="4">
        <v>1000000018</v>
      </c>
      <c r="O11" s="4">
        <v>89000</v>
      </c>
      <c r="P11" s="4" t="s">
        <v>38</v>
      </c>
      <c r="Q11" s="4" t="s">
        <v>14</v>
      </c>
      <c r="R11" s="4" t="s">
        <v>63</v>
      </c>
      <c r="S11" s="4" t="s">
        <v>64</v>
      </c>
    </row>
    <row r="12" spans="1:19" x14ac:dyDescent="0.3">
      <c r="A12" s="4" t="s">
        <v>41</v>
      </c>
      <c r="B12" s="4">
        <v>1000000019</v>
      </c>
      <c r="C12" s="4">
        <v>46000</v>
      </c>
      <c r="D12" s="4" t="s">
        <v>42</v>
      </c>
      <c r="E12" s="4" t="s">
        <v>9</v>
      </c>
      <c r="F12" s="4" t="s">
        <v>65</v>
      </c>
      <c r="G12" s="4" t="s">
        <v>66</v>
      </c>
      <c r="M12" s="4" t="s">
        <v>45</v>
      </c>
      <c r="N12" s="4">
        <v>1000000020</v>
      </c>
      <c r="O12" s="4">
        <v>77000</v>
      </c>
      <c r="P12" s="4" t="s">
        <v>46</v>
      </c>
      <c r="Q12" s="4" t="s">
        <v>14</v>
      </c>
      <c r="R12" s="4" t="s">
        <v>67</v>
      </c>
      <c r="S12" s="4" t="s">
        <v>68</v>
      </c>
    </row>
    <row r="13" spans="1:19" x14ac:dyDescent="0.3">
      <c r="A13" s="4" t="s">
        <v>7</v>
      </c>
      <c r="B13" s="4">
        <v>1000000021</v>
      </c>
      <c r="C13" s="4">
        <v>50000</v>
      </c>
      <c r="D13" s="4" t="s">
        <v>8</v>
      </c>
      <c r="E13" s="4" t="s">
        <v>9</v>
      </c>
      <c r="F13" s="4" t="s">
        <v>69</v>
      </c>
      <c r="G13" s="4" t="s">
        <v>70</v>
      </c>
      <c r="M13" s="4" t="s">
        <v>12</v>
      </c>
      <c r="N13" s="4">
        <v>1000000022</v>
      </c>
      <c r="O13" s="4">
        <v>75000</v>
      </c>
      <c r="P13" s="4" t="s">
        <v>13</v>
      </c>
      <c r="Q13" s="4" t="s">
        <v>14</v>
      </c>
      <c r="R13" s="4" t="s">
        <v>71</v>
      </c>
      <c r="S13" s="4" t="s">
        <v>72</v>
      </c>
    </row>
    <row r="14" spans="1:19" x14ac:dyDescent="0.3">
      <c r="A14" s="4" t="s">
        <v>17</v>
      </c>
      <c r="B14" s="4">
        <v>1000000023</v>
      </c>
      <c r="C14" s="4">
        <v>120000</v>
      </c>
      <c r="D14" s="4" t="s">
        <v>18</v>
      </c>
      <c r="E14" s="4" t="s">
        <v>9</v>
      </c>
      <c r="F14" s="4" t="s">
        <v>73</v>
      </c>
      <c r="G14" s="4" t="s">
        <v>74</v>
      </c>
      <c r="M14" s="4" t="s">
        <v>21</v>
      </c>
      <c r="N14" s="4">
        <v>1000000024</v>
      </c>
      <c r="O14" s="4">
        <v>45000</v>
      </c>
      <c r="P14" s="4" t="s">
        <v>22</v>
      </c>
      <c r="Q14" s="4" t="s">
        <v>14</v>
      </c>
      <c r="R14" s="4" t="s">
        <v>75</v>
      </c>
      <c r="S14" s="4" t="s">
        <v>76</v>
      </c>
    </row>
    <row r="15" spans="1:19" x14ac:dyDescent="0.3">
      <c r="A15" s="4" t="s">
        <v>25</v>
      </c>
      <c r="B15" s="4">
        <v>1000000025</v>
      </c>
      <c r="C15" s="4">
        <v>98000</v>
      </c>
      <c r="D15" s="4" t="s">
        <v>26</v>
      </c>
      <c r="E15" s="4" t="s">
        <v>9</v>
      </c>
      <c r="F15" s="4" t="s">
        <v>77</v>
      </c>
      <c r="G15" s="4" t="s">
        <v>78</v>
      </c>
      <c r="M15" s="4" t="s">
        <v>29</v>
      </c>
      <c r="N15" s="4">
        <v>1000000026</v>
      </c>
      <c r="O15" s="4">
        <v>67000</v>
      </c>
      <c r="P15" s="4" t="s">
        <v>30</v>
      </c>
      <c r="Q15" s="4" t="s">
        <v>14</v>
      </c>
      <c r="R15" s="4" t="s">
        <v>79</v>
      </c>
      <c r="S15" s="4" t="s">
        <v>80</v>
      </c>
    </row>
    <row r="16" spans="1:19" x14ac:dyDescent="0.3">
      <c r="A16" s="4" t="s">
        <v>33</v>
      </c>
      <c r="B16" s="4">
        <v>1000000027</v>
      </c>
      <c r="C16" s="4">
        <v>56000</v>
      </c>
      <c r="D16" s="4" t="s">
        <v>34</v>
      </c>
      <c r="E16" s="4" t="s">
        <v>9</v>
      </c>
      <c r="F16" s="4" t="s">
        <v>81</v>
      </c>
      <c r="G16" s="4" t="s">
        <v>82</v>
      </c>
      <c r="M16" s="4" t="s">
        <v>37</v>
      </c>
      <c r="N16" s="4">
        <v>1000000028</v>
      </c>
      <c r="O16" s="4">
        <v>89000</v>
      </c>
      <c r="P16" s="4" t="s">
        <v>38</v>
      </c>
      <c r="Q16" s="4" t="s">
        <v>14</v>
      </c>
      <c r="R16" s="4" t="s">
        <v>83</v>
      </c>
      <c r="S16" s="4" t="s">
        <v>84</v>
      </c>
    </row>
    <row r="17" spans="1:19" x14ac:dyDescent="0.3">
      <c r="A17" s="4" t="s">
        <v>41</v>
      </c>
      <c r="B17" s="4">
        <v>1000000029</v>
      </c>
      <c r="C17" s="4">
        <v>46000</v>
      </c>
      <c r="D17" s="4" t="s">
        <v>42</v>
      </c>
      <c r="E17" s="4" t="s">
        <v>9</v>
      </c>
      <c r="F17" s="4" t="s">
        <v>85</v>
      </c>
      <c r="G17" s="4" t="s">
        <v>86</v>
      </c>
      <c r="M17" s="4" t="s">
        <v>45</v>
      </c>
      <c r="N17" s="4">
        <v>1000000030</v>
      </c>
      <c r="O17" s="4">
        <v>77000</v>
      </c>
      <c r="P17" s="4" t="s">
        <v>46</v>
      </c>
      <c r="Q17" s="4" t="s">
        <v>14</v>
      </c>
      <c r="R17" s="4" t="s">
        <v>87</v>
      </c>
      <c r="S17" s="4" t="s">
        <v>88</v>
      </c>
    </row>
    <row r="18" spans="1:19" x14ac:dyDescent="0.3">
      <c r="A18" s="4" t="s">
        <v>7</v>
      </c>
      <c r="B18" s="4">
        <v>1000000031</v>
      </c>
      <c r="C18" s="4">
        <v>50000</v>
      </c>
      <c r="D18" s="4" t="s">
        <v>8</v>
      </c>
      <c r="E18" s="4" t="s">
        <v>9</v>
      </c>
      <c r="F18" s="4" t="s">
        <v>89</v>
      </c>
      <c r="G18" s="4" t="s">
        <v>90</v>
      </c>
      <c r="M18" s="4" t="s">
        <v>12</v>
      </c>
      <c r="N18" s="4">
        <v>1000000032</v>
      </c>
      <c r="O18" s="4">
        <v>75000</v>
      </c>
      <c r="P18" s="4" t="s">
        <v>13</v>
      </c>
      <c r="Q18" s="4" t="s">
        <v>14</v>
      </c>
      <c r="R18" s="4" t="s">
        <v>91</v>
      </c>
      <c r="S18" s="4" t="s">
        <v>92</v>
      </c>
    </row>
    <row r="19" spans="1:19" x14ac:dyDescent="0.3">
      <c r="A19" s="4" t="s">
        <v>17</v>
      </c>
      <c r="B19" s="4">
        <v>1000000033</v>
      </c>
      <c r="C19" s="4">
        <v>120000</v>
      </c>
      <c r="D19" s="4" t="s">
        <v>18</v>
      </c>
      <c r="E19" s="4" t="s">
        <v>9</v>
      </c>
      <c r="F19" s="4" t="s">
        <v>93</v>
      </c>
      <c r="G19" s="4" t="s">
        <v>94</v>
      </c>
      <c r="M19" s="4" t="s">
        <v>21</v>
      </c>
      <c r="N19" s="4">
        <v>1000000034</v>
      </c>
      <c r="O19" s="4">
        <v>45000</v>
      </c>
      <c r="P19" s="4" t="s">
        <v>22</v>
      </c>
      <c r="Q19" s="4" t="s">
        <v>14</v>
      </c>
      <c r="R19" s="4" t="s">
        <v>95</v>
      </c>
      <c r="S19" s="4" t="s">
        <v>96</v>
      </c>
    </row>
    <row r="20" spans="1:19" x14ac:dyDescent="0.3">
      <c r="A20" s="4" t="s">
        <v>25</v>
      </c>
      <c r="B20" s="4">
        <v>1000000035</v>
      </c>
      <c r="C20" s="4">
        <v>98000</v>
      </c>
      <c r="D20" s="4" t="s">
        <v>26</v>
      </c>
      <c r="E20" s="4" t="s">
        <v>9</v>
      </c>
      <c r="F20" s="4" t="s">
        <v>97</v>
      </c>
      <c r="G20" s="4" t="s">
        <v>98</v>
      </c>
      <c r="M20" s="4" t="s">
        <v>29</v>
      </c>
      <c r="N20" s="4">
        <v>1000000036</v>
      </c>
      <c r="O20" s="4">
        <v>67000</v>
      </c>
      <c r="P20" s="4" t="s">
        <v>30</v>
      </c>
      <c r="Q20" s="4" t="s">
        <v>14</v>
      </c>
      <c r="R20" s="4" t="s">
        <v>99</v>
      </c>
      <c r="S20" s="4" t="s">
        <v>100</v>
      </c>
    </row>
    <row r="21" spans="1:19" x14ac:dyDescent="0.3">
      <c r="A21" s="4" t="s">
        <v>33</v>
      </c>
      <c r="B21" s="4">
        <v>1000000037</v>
      </c>
      <c r="C21" s="4">
        <v>56000</v>
      </c>
      <c r="D21" s="4" t="s">
        <v>34</v>
      </c>
      <c r="E21" s="4" t="s">
        <v>9</v>
      </c>
      <c r="F21" s="4" t="s">
        <v>101</v>
      </c>
      <c r="G21" s="4" t="s">
        <v>102</v>
      </c>
      <c r="M21" s="4" t="s">
        <v>37</v>
      </c>
      <c r="N21" s="4">
        <v>1000000038</v>
      </c>
      <c r="O21" s="4">
        <v>89000</v>
      </c>
      <c r="P21" s="4" t="s">
        <v>38</v>
      </c>
      <c r="Q21" s="4" t="s">
        <v>14</v>
      </c>
      <c r="R21" s="4" t="s">
        <v>103</v>
      </c>
      <c r="S21" s="4" t="s">
        <v>104</v>
      </c>
    </row>
    <row r="22" spans="1:19" x14ac:dyDescent="0.3">
      <c r="A22" s="4" t="s">
        <v>41</v>
      </c>
      <c r="B22" s="4">
        <v>1000000039</v>
      </c>
      <c r="C22" s="4">
        <v>46000</v>
      </c>
      <c r="D22" s="4" t="s">
        <v>42</v>
      </c>
      <c r="E22" s="4" t="s">
        <v>9</v>
      </c>
      <c r="F22" s="4" t="s">
        <v>105</v>
      </c>
      <c r="G22" s="4" t="s">
        <v>106</v>
      </c>
      <c r="M22" s="4" t="s">
        <v>45</v>
      </c>
      <c r="N22" s="4">
        <v>1000000040</v>
      </c>
      <c r="O22" s="4">
        <v>77000</v>
      </c>
      <c r="P22" s="4" t="s">
        <v>46</v>
      </c>
      <c r="Q22" s="4" t="s">
        <v>14</v>
      </c>
      <c r="R22" s="4" t="s">
        <v>107</v>
      </c>
      <c r="S22" s="4" t="s">
        <v>108</v>
      </c>
    </row>
    <row r="23" spans="1:19" x14ac:dyDescent="0.3">
      <c r="A23" s="4" t="s">
        <v>7</v>
      </c>
      <c r="B23" s="4">
        <v>1000000041</v>
      </c>
      <c r="C23" s="4">
        <v>50000</v>
      </c>
      <c r="D23" s="4" t="s">
        <v>8</v>
      </c>
      <c r="E23" s="4" t="s">
        <v>9</v>
      </c>
      <c r="F23" s="4" t="s">
        <v>109</v>
      </c>
      <c r="G23" s="4" t="s">
        <v>110</v>
      </c>
      <c r="M23" s="4" t="s">
        <v>12</v>
      </c>
      <c r="N23" s="4">
        <v>1000000042</v>
      </c>
      <c r="O23" s="4">
        <v>75000</v>
      </c>
      <c r="P23" s="4" t="s">
        <v>13</v>
      </c>
      <c r="Q23" s="4" t="s">
        <v>14</v>
      </c>
      <c r="R23" s="4" t="s">
        <v>111</v>
      </c>
      <c r="S23" s="4" t="s">
        <v>112</v>
      </c>
    </row>
    <row r="24" spans="1:19" x14ac:dyDescent="0.3">
      <c r="A24" s="4" t="s">
        <v>17</v>
      </c>
      <c r="B24" s="4">
        <v>1000000043</v>
      </c>
      <c r="C24" s="4">
        <v>120000</v>
      </c>
      <c r="D24" s="4" t="s">
        <v>18</v>
      </c>
      <c r="E24" s="4" t="s">
        <v>9</v>
      </c>
      <c r="F24" s="4" t="s">
        <v>113</v>
      </c>
      <c r="G24" s="4" t="s">
        <v>114</v>
      </c>
      <c r="M24" s="4" t="s">
        <v>21</v>
      </c>
      <c r="N24" s="4">
        <v>1000000044</v>
      </c>
      <c r="O24" s="4">
        <v>45000</v>
      </c>
      <c r="P24" s="4" t="s">
        <v>22</v>
      </c>
      <c r="Q24" s="4" t="s">
        <v>14</v>
      </c>
      <c r="R24" s="4" t="s">
        <v>115</v>
      </c>
      <c r="S24" s="4" t="s">
        <v>116</v>
      </c>
    </row>
    <row r="25" spans="1:19" x14ac:dyDescent="0.3">
      <c r="A25" s="4" t="s">
        <v>25</v>
      </c>
      <c r="B25" s="4">
        <v>1000000045</v>
      </c>
      <c r="C25" s="4">
        <v>98000</v>
      </c>
      <c r="D25" s="4" t="s">
        <v>26</v>
      </c>
      <c r="E25" s="4" t="s">
        <v>9</v>
      </c>
      <c r="F25" s="4" t="s">
        <v>117</v>
      </c>
      <c r="G25" s="4" t="s">
        <v>118</v>
      </c>
      <c r="M25" s="4" t="s">
        <v>29</v>
      </c>
      <c r="N25" s="4">
        <v>1000000046</v>
      </c>
      <c r="O25" s="4">
        <v>67000</v>
      </c>
      <c r="P25" s="4" t="s">
        <v>30</v>
      </c>
      <c r="Q25" s="4" t="s">
        <v>14</v>
      </c>
      <c r="R25" s="4" t="s">
        <v>119</v>
      </c>
      <c r="S25" s="4" t="s">
        <v>120</v>
      </c>
    </row>
    <row r="26" spans="1:19" x14ac:dyDescent="0.3">
      <c r="A26" s="4" t="s">
        <v>33</v>
      </c>
      <c r="B26" s="4">
        <v>1000000047</v>
      </c>
      <c r="C26" s="4">
        <v>56000</v>
      </c>
      <c r="D26" s="4" t="s">
        <v>34</v>
      </c>
      <c r="E26" s="4" t="s">
        <v>9</v>
      </c>
      <c r="F26" s="4" t="s">
        <v>121</v>
      </c>
      <c r="G26" s="4" t="s">
        <v>122</v>
      </c>
      <c r="M26" s="4" t="s">
        <v>37</v>
      </c>
      <c r="N26" s="4">
        <v>1000000048</v>
      </c>
      <c r="O26" s="4">
        <v>89000</v>
      </c>
      <c r="P26" s="4" t="s">
        <v>38</v>
      </c>
      <c r="Q26" s="4" t="s">
        <v>14</v>
      </c>
      <c r="R26" s="4" t="s">
        <v>123</v>
      </c>
      <c r="S26" s="4" t="s">
        <v>124</v>
      </c>
    </row>
    <row r="27" spans="1:19" x14ac:dyDescent="0.3">
      <c r="A27" s="4" t="s">
        <v>41</v>
      </c>
      <c r="B27" s="4">
        <v>1000000049</v>
      </c>
      <c r="C27" s="4">
        <v>46000</v>
      </c>
      <c r="D27" s="4" t="s">
        <v>42</v>
      </c>
      <c r="E27" s="4" t="s">
        <v>9</v>
      </c>
      <c r="F27" s="4" t="s">
        <v>125</v>
      </c>
      <c r="G27" s="4" t="s">
        <v>126</v>
      </c>
      <c r="M27" s="4" t="s">
        <v>45</v>
      </c>
      <c r="N27" s="4">
        <v>1000000050</v>
      </c>
      <c r="O27" s="4">
        <v>77000</v>
      </c>
      <c r="P27" s="4" t="s">
        <v>46</v>
      </c>
      <c r="Q27" s="4" t="s">
        <v>14</v>
      </c>
      <c r="R27" s="4" t="s">
        <v>127</v>
      </c>
      <c r="S27" s="4" t="s">
        <v>128</v>
      </c>
    </row>
    <row r="28" spans="1:19" x14ac:dyDescent="0.3">
      <c r="A28" s="4" t="s">
        <v>7</v>
      </c>
      <c r="B28" s="4">
        <v>1000000051</v>
      </c>
      <c r="C28" s="4">
        <v>50000</v>
      </c>
      <c r="D28" s="4" t="s">
        <v>8</v>
      </c>
      <c r="E28" s="4" t="s">
        <v>9</v>
      </c>
      <c r="F28" s="4" t="s">
        <v>129</v>
      </c>
      <c r="G28" s="4" t="s">
        <v>130</v>
      </c>
      <c r="M28" s="4" t="s">
        <v>12</v>
      </c>
      <c r="N28" s="4">
        <v>1000000052</v>
      </c>
      <c r="O28" s="4">
        <v>75000</v>
      </c>
      <c r="P28" s="4" t="s">
        <v>13</v>
      </c>
      <c r="Q28" s="4" t="s">
        <v>14</v>
      </c>
      <c r="R28" s="4" t="s">
        <v>131</v>
      </c>
      <c r="S28" s="4" t="s">
        <v>132</v>
      </c>
    </row>
    <row r="29" spans="1:19" x14ac:dyDescent="0.3">
      <c r="A29" s="4" t="s">
        <v>17</v>
      </c>
      <c r="B29" s="4">
        <v>1000000053</v>
      </c>
      <c r="C29" s="4">
        <v>120000</v>
      </c>
      <c r="D29" s="4" t="s">
        <v>18</v>
      </c>
      <c r="E29" s="4" t="s">
        <v>9</v>
      </c>
      <c r="F29" s="4" t="s">
        <v>133</v>
      </c>
      <c r="G29" s="4" t="s">
        <v>134</v>
      </c>
      <c r="M29" s="4" t="s">
        <v>21</v>
      </c>
      <c r="N29" s="4">
        <v>1000000054</v>
      </c>
      <c r="O29" s="4">
        <v>45000</v>
      </c>
      <c r="P29" s="4" t="s">
        <v>22</v>
      </c>
      <c r="Q29" s="4" t="s">
        <v>14</v>
      </c>
      <c r="R29" s="4" t="s">
        <v>135</v>
      </c>
      <c r="S29" s="4" t="s">
        <v>136</v>
      </c>
    </row>
    <row r="30" spans="1:19" x14ac:dyDescent="0.3">
      <c r="A30" s="4" t="s">
        <v>25</v>
      </c>
      <c r="B30" s="4">
        <v>1000000055</v>
      </c>
      <c r="C30" s="4">
        <v>98000</v>
      </c>
      <c r="D30" s="4" t="s">
        <v>26</v>
      </c>
      <c r="E30" s="4" t="s">
        <v>9</v>
      </c>
      <c r="F30" s="4" t="s">
        <v>137</v>
      </c>
      <c r="G30" s="4" t="s">
        <v>138</v>
      </c>
      <c r="M30" s="4" t="s">
        <v>29</v>
      </c>
      <c r="N30" s="4">
        <v>1000000056</v>
      </c>
      <c r="O30" s="4">
        <v>67000</v>
      </c>
      <c r="P30" s="4" t="s">
        <v>30</v>
      </c>
      <c r="Q30" s="4" t="s">
        <v>14</v>
      </c>
      <c r="R30" s="4" t="s">
        <v>139</v>
      </c>
      <c r="S30" s="4" t="s">
        <v>140</v>
      </c>
    </row>
    <row r="31" spans="1:19" x14ac:dyDescent="0.3">
      <c r="A31" s="4" t="s">
        <v>33</v>
      </c>
      <c r="B31" s="4">
        <v>1000000057</v>
      </c>
      <c r="C31" s="4">
        <v>56000</v>
      </c>
      <c r="D31" s="4" t="s">
        <v>34</v>
      </c>
      <c r="E31" s="4" t="s">
        <v>9</v>
      </c>
      <c r="F31" s="4" t="s">
        <v>141</v>
      </c>
      <c r="G31" s="4" t="s">
        <v>142</v>
      </c>
      <c r="M31" s="4" t="s">
        <v>37</v>
      </c>
      <c r="N31" s="4">
        <v>1000000058</v>
      </c>
      <c r="O31" s="4">
        <v>89000</v>
      </c>
      <c r="P31" s="4" t="s">
        <v>38</v>
      </c>
      <c r="Q31" s="4" t="s">
        <v>14</v>
      </c>
      <c r="R31" s="4" t="s">
        <v>143</v>
      </c>
      <c r="S31" s="4" t="s">
        <v>144</v>
      </c>
    </row>
    <row r="32" spans="1:19" x14ac:dyDescent="0.3">
      <c r="A32" s="4" t="s">
        <v>41</v>
      </c>
      <c r="B32" s="4">
        <v>1000000059</v>
      </c>
      <c r="C32" s="4">
        <v>46000</v>
      </c>
      <c r="D32" s="4" t="s">
        <v>42</v>
      </c>
      <c r="E32" s="4" t="s">
        <v>9</v>
      </c>
      <c r="F32" s="4" t="s">
        <v>145</v>
      </c>
      <c r="G32" s="4" t="s">
        <v>146</v>
      </c>
      <c r="M32" s="4" t="s">
        <v>45</v>
      </c>
      <c r="N32" s="4">
        <v>1000000060</v>
      </c>
      <c r="O32" s="4">
        <v>77000</v>
      </c>
      <c r="P32" s="4" t="s">
        <v>46</v>
      </c>
      <c r="Q32" s="4" t="s">
        <v>14</v>
      </c>
      <c r="R32" s="4" t="s">
        <v>147</v>
      </c>
      <c r="S32" s="4" t="s">
        <v>148</v>
      </c>
    </row>
    <row r="33" spans="1:19" x14ac:dyDescent="0.3">
      <c r="A33" s="4" t="s">
        <v>7</v>
      </c>
      <c r="B33" s="4">
        <v>1000000061</v>
      </c>
      <c r="C33" s="4">
        <v>50000</v>
      </c>
      <c r="D33" s="4" t="s">
        <v>8</v>
      </c>
      <c r="E33" s="4" t="s">
        <v>9</v>
      </c>
      <c r="F33" s="4" t="s">
        <v>149</v>
      </c>
      <c r="G33" s="4" t="s">
        <v>150</v>
      </c>
      <c r="M33" s="4" t="s">
        <v>12</v>
      </c>
      <c r="N33" s="4">
        <v>1000000062</v>
      </c>
      <c r="O33" s="4">
        <v>75000</v>
      </c>
      <c r="P33" s="4" t="s">
        <v>13</v>
      </c>
      <c r="Q33" s="4" t="s">
        <v>14</v>
      </c>
      <c r="R33" s="4" t="s">
        <v>151</v>
      </c>
      <c r="S33" s="4" t="s">
        <v>152</v>
      </c>
    </row>
    <row r="34" spans="1:19" x14ac:dyDescent="0.3">
      <c r="A34" s="4" t="s">
        <v>17</v>
      </c>
      <c r="B34" s="4">
        <v>1000000063</v>
      </c>
      <c r="C34" s="4">
        <v>120000</v>
      </c>
      <c r="D34" s="4" t="s">
        <v>18</v>
      </c>
      <c r="E34" s="4" t="s">
        <v>9</v>
      </c>
      <c r="F34" s="4" t="s">
        <v>153</v>
      </c>
      <c r="G34" s="4" t="s">
        <v>154</v>
      </c>
      <c r="M34" s="4" t="s">
        <v>21</v>
      </c>
      <c r="N34" s="4">
        <v>1000000064</v>
      </c>
      <c r="O34" s="4">
        <v>45000</v>
      </c>
      <c r="P34" s="4" t="s">
        <v>22</v>
      </c>
      <c r="Q34" s="4" t="s">
        <v>14</v>
      </c>
      <c r="R34" s="4" t="s">
        <v>155</v>
      </c>
      <c r="S34" s="4" t="s">
        <v>156</v>
      </c>
    </row>
    <row r="35" spans="1:19" x14ac:dyDescent="0.3">
      <c r="A35" s="4" t="s">
        <v>25</v>
      </c>
      <c r="B35" s="4">
        <v>1000000065</v>
      </c>
      <c r="C35" s="4">
        <v>98000</v>
      </c>
      <c r="D35" s="4" t="s">
        <v>26</v>
      </c>
      <c r="E35" s="4" t="s">
        <v>9</v>
      </c>
      <c r="F35" s="4" t="s">
        <v>157</v>
      </c>
      <c r="G35" s="4" t="s">
        <v>158</v>
      </c>
      <c r="M35" s="4" t="s">
        <v>29</v>
      </c>
      <c r="N35" s="4">
        <v>1000000066</v>
      </c>
      <c r="O35" s="4">
        <v>67000</v>
      </c>
      <c r="P35" s="4" t="s">
        <v>30</v>
      </c>
      <c r="Q35" s="4" t="s">
        <v>14</v>
      </c>
      <c r="R35" s="4" t="s">
        <v>159</v>
      </c>
      <c r="S35" s="4" t="s">
        <v>160</v>
      </c>
    </row>
    <row r="36" spans="1:19" x14ac:dyDescent="0.3">
      <c r="A36" s="4" t="s">
        <v>33</v>
      </c>
      <c r="B36" s="4">
        <v>1000000067</v>
      </c>
      <c r="C36" s="4">
        <v>56000</v>
      </c>
      <c r="D36" s="4" t="s">
        <v>34</v>
      </c>
      <c r="E36" s="4" t="s">
        <v>9</v>
      </c>
      <c r="F36" s="4" t="s">
        <v>161</v>
      </c>
      <c r="G36" s="4" t="s">
        <v>162</v>
      </c>
      <c r="M36" s="4" t="s">
        <v>37</v>
      </c>
      <c r="N36" s="4">
        <v>1000000068</v>
      </c>
      <c r="O36" s="4">
        <v>89000</v>
      </c>
      <c r="P36" s="4" t="s">
        <v>38</v>
      </c>
      <c r="Q36" s="4" t="s">
        <v>14</v>
      </c>
      <c r="R36" s="4" t="s">
        <v>163</v>
      </c>
      <c r="S36" s="4" t="s">
        <v>164</v>
      </c>
    </row>
    <row r="37" spans="1:19" x14ac:dyDescent="0.3">
      <c r="A37" s="4" t="s">
        <v>41</v>
      </c>
      <c r="B37" s="4">
        <v>1000000069</v>
      </c>
      <c r="C37" s="4">
        <v>46000</v>
      </c>
      <c r="D37" s="4" t="s">
        <v>42</v>
      </c>
      <c r="E37" s="4" t="s">
        <v>9</v>
      </c>
      <c r="F37" s="4" t="s">
        <v>165</v>
      </c>
      <c r="G37" s="4" t="s">
        <v>166</v>
      </c>
      <c r="M37" s="4" t="s">
        <v>45</v>
      </c>
      <c r="N37" s="4">
        <v>1000000070</v>
      </c>
      <c r="O37" s="4">
        <v>77000</v>
      </c>
      <c r="P37" s="4" t="s">
        <v>46</v>
      </c>
      <c r="Q37" s="4" t="s">
        <v>14</v>
      </c>
      <c r="R37" s="4" t="s">
        <v>167</v>
      </c>
      <c r="S37" s="4" t="s">
        <v>168</v>
      </c>
    </row>
    <row r="38" spans="1:19" x14ac:dyDescent="0.3">
      <c r="A38" s="4" t="s">
        <v>7</v>
      </c>
      <c r="B38" s="4">
        <v>1000000071</v>
      </c>
      <c r="C38" s="4">
        <v>50000</v>
      </c>
      <c r="D38" s="4" t="s">
        <v>8</v>
      </c>
      <c r="E38" s="4" t="s">
        <v>9</v>
      </c>
      <c r="F38" s="4" t="s">
        <v>169</v>
      </c>
      <c r="G38" s="4" t="s">
        <v>170</v>
      </c>
      <c r="M38" s="4" t="s">
        <v>12</v>
      </c>
      <c r="N38" s="4">
        <v>1000000072</v>
      </c>
      <c r="O38" s="4">
        <v>75000</v>
      </c>
      <c r="P38" s="4" t="s">
        <v>13</v>
      </c>
      <c r="Q38" s="4" t="s">
        <v>14</v>
      </c>
      <c r="R38" s="4" t="s">
        <v>171</v>
      </c>
      <c r="S38" s="4" t="s">
        <v>172</v>
      </c>
    </row>
    <row r="39" spans="1:19" x14ac:dyDescent="0.3">
      <c r="A39" s="4" t="s">
        <v>17</v>
      </c>
      <c r="B39" s="4">
        <v>1000000073</v>
      </c>
      <c r="C39" s="4">
        <v>120000</v>
      </c>
      <c r="D39" s="4" t="s">
        <v>18</v>
      </c>
      <c r="E39" s="4" t="s">
        <v>9</v>
      </c>
      <c r="F39" s="4" t="s">
        <v>173</v>
      </c>
      <c r="G39" s="4" t="s">
        <v>174</v>
      </c>
      <c r="M39" s="4" t="s">
        <v>21</v>
      </c>
      <c r="N39" s="4">
        <v>1000000074</v>
      </c>
      <c r="O39" s="4">
        <v>45000</v>
      </c>
      <c r="P39" s="4" t="s">
        <v>22</v>
      </c>
      <c r="Q39" s="4" t="s">
        <v>14</v>
      </c>
      <c r="R39" s="4" t="s">
        <v>175</v>
      </c>
      <c r="S39" s="4" t="s">
        <v>176</v>
      </c>
    </row>
    <row r="40" spans="1:19" x14ac:dyDescent="0.3">
      <c r="A40" s="4" t="s">
        <v>25</v>
      </c>
      <c r="B40" s="4">
        <v>1000000075</v>
      </c>
      <c r="C40" s="4">
        <v>98000</v>
      </c>
      <c r="D40" s="4" t="s">
        <v>26</v>
      </c>
      <c r="E40" s="4" t="s">
        <v>9</v>
      </c>
      <c r="F40" s="4" t="s">
        <v>177</v>
      </c>
      <c r="G40" s="4" t="s">
        <v>178</v>
      </c>
      <c r="M40" s="4" t="s">
        <v>29</v>
      </c>
      <c r="N40" s="4">
        <v>1000000076</v>
      </c>
      <c r="O40" s="4">
        <v>67000</v>
      </c>
      <c r="P40" s="4" t="s">
        <v>30</v>
      </c>
      <c r="Q40" s="4" t="s">
        <v>14</v>
      </c>
      <c r="R40" s="4" t="s">
        <v>179</v>
      </c>
      <c r="S40" s="4" t="s">
        <v>180</v>
      </c>
    </row>
    <row r="41" spans="1:19" x14ac:dyDescent="0.3">
      <c r="A41" s="4" t="s">
        <v>33</v>
      </c>
      <c r="B41" s="4">
        <v>1000000077</v>
      </c>
      <c r="C41" s="4">
        <v>56000</v>
      </c>
      <c r="D41" s="4" t="s">
        <v>34</v>
      </c>
      <c r="E41" s="4" t="s">
        <v>9</v>
      </c>
      <c r="F41" s="4" t="s">
        <v>181</v>
      </c>
      <c r="G41" s="4" t="s">
        <v>182</v>
      </c>
      <c r="M41" s="4" t="s">
        <v>37</v>
      </c>
      <c r="N41" s="4">
        <v>1000000078</v>
      </c>
      <c r="O41" s="4">
        <v>89000</v>
      </c>
      <c r="P41" s="4" t="s">
        <v>38</v>
      </c>
      <c r="Q41" s="4" t="s">
        <v>14</v>
      </c>
      <c r="R41" s="4" t="s">
        <v>183</v>
      </c>
      <c r="S41" s="4" t="s">
        <v>184</v>
      </c>
    </row>
    <row r="42" spans="1:19" x14ac:dyDescent="0.3">
      <c r="A42" s="4" t="s">
        <v>41</v>
      </c>
      <c r="B42" s="4">
        <v>1000000079</v>
      </c>
      <c r="C42" s="4">
        <v>46000</v>
      </c>
      <c r="D42" s="4" t="s">
        <v>42</v>
      </c>
      <c r="E42" s="4" t="s">
        <v>9</v>
      </c>
      <c r="F42" s="4" t="s">
        <v>185</v>
      </c>
      <c r="G42" s="4" t="s">
        <v>186</v>
      </c>
      <c r="M42" s="4" t="s">
        <v>45</v>
      </c>
      <c r="N42" s="4">
        <v>1000000080</v>
      </c>
      <c r="O42" s="4">
        <v>77000</v>
      </c>
      <c r="P42" s="4" t="s">
        <v>46</v>
      </c>
      <c r="Q42" s="4" t="s">
        <v>14</v>
      </c>
      <c r="R42" s="4" t="s">
        <v>187</v>
      </c>
      <c r="S42" s="4" t="s">
        <v>188</v>
      </c>
    </row>
    <row r="43" spans="1:19" x14ac:dyDescent="0.3">
      <c r="A43" s="4" t="s">
        <v>7</v>
      </c>
      <c r="B43" s="4">
        <v>1000000081</v>
      </c>
      <c r="C43" s="4">
        <v>50000</v>
      </c>
      <c r="D43" s="4" t="s">
        <v>8</v>
      </c>
      <c r="E43" s="4" t="s">
        <v>9</v>
      </c>
      <c r="F43" s="4" t="s">
        <v>189</v>
      </c>
      <c r="G43" s="4" t="s">
        <v>190</v>
      </c>
      <c r="M43" s="4" t="s">
        <v>12</v>
      </c>
      <c r="N43" s="4">
        <v>1000000082</v>
      </c>
      <c r="O43" s="4">
        <v>75000</v>
      </c>
      <c r="P43" s="4" t="s">
        <v>13</v>
      </c>
      <c r="Q43" s="4" t="s">
        <v>14</v>
      </c>
      <c r="R43" s="4" t="s">
        <v>191</v>
      </c>
      <c r="S43" s="4" t="s">
        <v>192</v>
      </c>
    </row>
    <row r="44" spans="1:19" x14ac:dyDescent="0.3">
      <c r="A44" s="4" t="s">
        <v>17</v>
      </c>
      <c r="B44" s="4">
        <v>1000000083</v>
      </c>
      <c r="C44" s="4">
        <v>120000</v>
      </c>
      <c r="D44" s="4" t="s">
        <v>18</v>
      </c>
      <c r="E44" s="4" t="s">
        <v>9</v>
      </c>
      <c r="F44" s="4" t="s">
        <v>193</v>
      </c>
      <c r="G44" s="4" t="s">
        <v>194</v>
      </c>
      <c r="M44" s="4" t="s">
        <v>21</v>
      </c>
      <c r="N44" s="4">
        <v>1000000084</v>
      </c>
      <c r="O44" s="4">
        <v>45000</v>
      </c>
      <c r="P44" s="4" t="s">
        <v>22</v>
      </c>
      <c r="Q44" s="4" t="s">
        <v>14</v>
      </c>
      <c r="R44" s="4" t="s">
        <v>195</v>
      </c>
      <c r="S44" s="4" t="s">
        <v>196</v>
      </c>
    </row>
    <row r="45" spans="1:19" x14ac:dyDescent="0.3">
      <c r="A45" s="4" t="s">
        <v>25</v>
      </c>
      <c r="B45" s="4">
        <v>1000000085</v>
      </c>
      <c r="C45" s="4">
        <v>98000</v>
      </c>
      <c r="D45" s="4" t="s">
        <v>26</v>
      </c>
      <c r="E45" s="4" t="s">
        <v>9</v>
      </c>
      <c r="F45" s="4" t="s">
        <v>197</v>
      </c>
      <c r="G45" s="4" t="s">
        <v>198</v>
      </c>
      <c r="M45" s="4" t="s">
        <v>29</v>
      </c>
      <c r="N45" s="4">
        <v>1000000086</v>
      </c>
      <c r="O45" s="4">
        <v>67000</v>
      </c>
      <c r="P45" s="4" t="s">
        <v>30</v>
      </c>
      <c r="Q45" s="4" t="s">
        <v>14</v>
      </c>
      <c r="R45" s="4" t="s">
        <v>199</v>
      </c>
      <c r="S45" s="4" t="s">
        <v>200</v>
      </c>
    </row>
    <row r="46" spans="1:19" x14ac:dyDescent="0.3">
      <c r="A46" s="4" t="s">
        <v>33</v>
      </c>
      <c r="B46" s="4">
        <v>1000000087</v>
      </c>
      <c r="C46" s="4">
        <v>56000</v>
      </c>
      <c r="D46" s="4" t="s">
        <v>34</v>
      </c>
      <c r="E46" s="4" t="s">
        <v>9</v>
      </c>
      <c r="F46" s="4" t="s">
        <v>201</v>
      </c>
      <c r="G46" s="4" t="s">
        <v>202</v>
      </c>
      <c r="M46" s="4" t="s">
        <v>37</v>
      </c>
      <c r="N46" s="4">
        <v>1000000088</v>
      </c>
      <c r="O46" s="4">
        <v>89000</v>
      </c>
      <c r="P46" s="4" t="s">
        <v>38</v>
      </c>
      <c r="Q46" s="4" t="s">
        <v>14</v>
      </c>
      <c r="R46" s="4" t="s">
        <v>203</v>
      </c>
      <c r="S46" s="4" t="s">
        <v>204</v>
      </c>
    </row>
    <row r="47" spans="1:19" x14ac:dyDescent="0.3">
      <c r="A47" s="4" t="s">
        <v>41</v>
      </c>
      <c r="B47" s="4">
        <v>1000000089</v>
      </c>
      <c r="C47" s="4">
        <v>46000</v>
      </c>
      <c r="D47" s="4" t="s">
        <v>42</v>
      </c>
      <c r="E47" s="4" t="s">
        <v>9</v>
      </c>
      <c r="F47" s="4" t="s">
        <v>205</v>
      </c>
      <c r="G47" s="4" t="s">
        <v>206</v>
      </c>
      <c r="M47" s="4" t="s">
        <v>45</v>
      </c>
      <c r="N47" s="4">
        <v>1000000090</v>
      </c>
      <c r="O47" s="4">
        <v>77000</v>
      </c>
      <c r="P47" s="4" t="s">
        <v>46</v>
      </c>
      <c r="Q47" s="4" t="s">
        <v>14</v>
      </c>
      <c r="R47" s="4" t="s">
        <v>207</v>
      </c>
      <c r="S47" s="4" t="s">
        <v>208</v>
      </c>
    </row>
    <row r="48" spans="1:19" x14ac:dyDescent="0.3">
      <c r="A48" s="4" t="s">
        <v>7</v>
      </c>
      <c r="B48" s="4">
        <v>1000000091</v>
      </c>
      <c r="C48" s="4">
        <v>50000</v>
      </c>
      <c r="D48" s="4" t="s">
        <v>8</v>
      </c>
      <c r="E48" s="4" t="s">
        <v>9</v>
      </c>
      <c r="F48" s="4" t="s">
        <v>209</v>
      </c>
      <c r="G48" s="4" t="s">
        <v>210</v>
      </c>
      <c r="M48" s="4" t="s">
        <v>12</v>
      </c>
      <c r="N48" s="4">
        <v>1000000092</v>
      </c>
      <c r="O48" s="4">
        <v>75000</v>
      </c>
      <c r="P48" s="4" t="s">
        <v>13</v>
      </c>
      <c r="Q48" s="4" t="s">
        <v>14</v>
      </c>
      <c r="R48" s="4" t="s">
        <v>211</v>
      </c>
      <c r="S48" s="4" t="s">
        <v>212</v>
      </c>
    </row>
    <row r="49" spans="1:19" x14ac:dyDescent="0.3">
      <c r="A49" s="4" t="s">
        <v>17</v>
      </c>
      <c r="B49" s="4">
        <v>1000000093</v>
      </c>
      <c r="C49" s="4">
        <v>120000</v>
      </c>
      <c r="D49" s="4" t="s">
        <v>18</v>
      </c>
      <c r="E49" s="4" t="s">
        <v>9</v>
      </c>
      <c r="F49" s="4" t="s">
        <v>213</v>
      </c>
      <c r="G49" s="4" t="s">
        <v>214</v>
      </c>
      <c r="M49" s="4" t="s">
        <v>21</v>
      </c>
      <c r="N49" s="4">
        <v>1000000094</v>
      </c>
      <c r="O49" s="4">
        <v>45000</v>
      </c>
      <c r="P49" s="4" t="s">
        <v>22</v>
      </c>
      <c r="Q49" s="4" t="s">
        <v>14</v>
      </c>
      <c r="R49" s="4" t="s">
        <v>215</v>
      </c>
      <c r="S49" s="4" t="s">
        <v>216</v>
      </c>
    </row>
    <row r="50" spans="1:19" x14ac:dyDescent="0.3">
      <c r="A50" s="4" t="s">
        <v>25</v>
      </c>
      <c r="B50" s="4">
        <v>1000000095</v>
      </c>
      <c r="C50" s="4">
        <v>98000</v>
      </c>
      <c r="D50" s="4" t="s">
        <v>26</v>
      </c>
      <c r="E50" s="4" t="s">
        <v>9</v>
      </c>
      <c r="F50" s="4" t="s">
        <v>217</v>
      </c>
      <c r="G50" s="4" t="s">
        <v>218</v>
      </c>
      <c r="M50" s="4" t="s">
        <v>29</v>
      </c>
      <c r="N50" s="4">
        <v>1000000096</v>
      </c>
      <c r="O50" s="4">
        <v>67000</v>
      </c>
      <c r="P50" s="4" t="s">
        <v>30</v>
      </c>
      <c r="Q50" s="4" t="s">
        <v>14</v>
      </c>
      <c r="R50" s="4" t="s">
        <v>219</v>
      </c>
      <c r="S50" s="4" t="s">
        <v>220</v>
      </c>
    </row>
    <row r="51" spans="1:19" x14ac:dyDescent="0.3">
      <c r="A51" s="4" t="s">
        <v>33</v>
      </c>
      <c r="B51" s="4">
        <v>1000000097</v>
      </c>
      <c r="C51" s="4">
        <v>56000</v>
      </c>
      <c r="D51" s="4" t="s">
        <v>34</v>
      </c>
      <c r="E51" s="4" t="s">
        <v>9</v>
      </c>
      <c r="F51" s="4" t="s">
        <v>221</v>
      </c>
      <c r="G51" s="4" t="s">
        <v>222</v>
      </c>
      <c r="M51" s="4" t="s">
        <v>37</v>
      </c>
      <c r="N51" s="4">
        <v>1000000098</v>
      </c>
      <c r="O51" s="4">
        <v>89000</v>
      </c>
      <c r="P51" s="4" t="s">
        <v>38</v>
      </c>
      <c r="Q51" s="4" t="s">
        <v>14</v>
      </c>
      <c r="R51" s="4" t="s">
        <v>223</v>
      </c>
      <c r="S51" s="4" t="s">
        <v>224</v>
      </c>
    </row>
    <row r="52" spans="1:19" x14ac:dyDescent="0.3">
      <c r="A52" s="4" t="s">
        <v>41</v>
      </c>
      <c r="B52" s="4">
        <v>1000000099</v>
      </c>
      <c r="C52" s="4">
        <v>46000</v>
      </c>
      <c r="D52" s="4" t="s">
        <v>42</v>
      </c>
      <c r="E52" s="4" t="s">
        <v>9</v>
      </c>
      <c r="F52" s="4" t="s">
        <v>225</v>
      </c>
      <c r="G52" s="4" t="s">
        <v>226</v>
      </c>
      <c r="M52" s="4" t="s">
        <v>45</v>
      </c>
      <c r="N52" s="4">
        <v>1000000100</v>
      </c>
      <c r="O52" s="4">
        <v>77000</v>
      </c>
      <c r="P52" s="4" t="s">
        <v>46</v>
      </c>
      <c r="Q52" s="4" t="s">
        <v>14</v>
      </c>
      <c r="R52" s="4" t="s">
        <v>227</v>
      </c>
      <c r="S52" s="4" t="s">
        <v>228</v>
      </c>
    </row>
    <row r="53" spans="1:19" x14ac:dyDescent="0.3">
      <c r="A53" s="4" t="s">
        <v>7</v>
      </c>
      <c r="B53" s="4">
        <v>1000000101</v>
      </c>
      <c r="C53" s="4">
        <v>50000</v>
      </c>
      <c r="D53" s="4" t="s">
        <v>8</v>
      </c>
      <c r="E53" s="4" t="s">
        <v>9</v>
      </c>
      <c r="F53" s="4" t="s">
        <v>229</v>
      </c>
      <c r="G53" s="4" t="s">
        <v>230</v>
      </c>
      <c r="M53" s="4" t="s">
        <v>12</v>
      </c>
      <c r="N53" s="4">
        <v>1000000102</v>
      </c>
      <c r="O53" s="4">
        <v>75000</v>
      </c>
      <c r="P53" s="4" t="s">
        <v>13</v>
      </c>
      <c r="Q53" s="4" t="s">
        <v>14</v>
      </c>
      <c r="R53" s="4" t="s">
        <v>231</v>
      </c>
      <c r="S53" s="4" t="s">
        <v>232</v>
      </c>
    </row>
    <row r="54" spans="1:19" x14ac:dyDescent="0.3">
      <c r="A54" s="4" t="s">
        <v>17</v>
      </c>
      <c r="B54" s="4">
        <v>1000000103</v>
      </c>
      <c r="C54" s="4">
        <v>120000</v>
      </c>
      <c r="D54" s="4" t="s">
        <v>18</v>
      </c>
      <c r="E54" s="4" t="s">
        <v>9</v>
      </c>
      <c r="F54" s="4" t="s">
        <v>233</v>
      </c>
      <c r="G54" s="4" t="s">
        <v>234</v>
      </c>
      <c r="M54" s="4" t="s">
        <v>21</v>
      </c>
      <c r="N54" s="4">
        <v>1000000104</v>
      </c>
      <c r="O54" s="4">
        <v>45000</v>
      </c>
      <c r="P54" s="4" t="s">
        <v>22</v>
      </c>
      <c r="Q54" s="4" t="s">
        <v>14</v>
      </c>
      <c r="R54" s="4" t="s">
        <v>235</v>
      </c>
      <c r="S54" s="4" t="s">
        <v>236</v>
      </c>
    </row>
    <row r="55" spans="1:19" x14ac:dyDescent="0.3">
      <c r="A55" s="4" t="s">
        <v>25</v>
      </c>
      <c r="B55" s="4">
        <v>1000000105</v>
      </c>
      <c r="C55" s="4">
        <v>98000</v>
      </c>
      <c r="D55" s="4" t="s">
        <v>26</v>
      </c>
      <c r="E55" s="4" t="s">
        <v>9</v>
      </c>
      <c r="F55" s="4" t="s">
        <v>237</v>
      </c>
      <c r="G55" s="4" t="s">
        <v>238</v>
      </c>
      <c r="M55" s="4" t="s">
        <v>29</v>
      </c>
      <c r="N55" s="4">
        <v>1000000106</v>
      </c>
      <c r="O55" s="4">
        <v>67000</v>
      </c>
      <c r="P55" s="4" t="s">
        <v>30</v>
      </c>
      <c r="Q55" s="4" t="s">
        <v>14</v>
      </c>
      <c r="R55" s="4" t="s">
        <v>239</v>
      </c>
      <c r="S55" s="4" t="s">
        <v>240</v>
      </c>
    </row>
    <row r="56" spans="1:19" x14ac:dyDescent="0.3">
      <c r="A56" s="4" t="s">
        <v>33</v>
      </c>
      <c r="B56" s="4">
        <v>1000000107</v>
      </c>
      <c r="C56" s="4">
        <v>56000</v>
      </c>
      <c r="D56" s="4" t="s">
        <v>34</v>
      </c>
      <c r="E56" s="4" t="s">
        <v>9</v>
      </c>
      <c r="F56" s="4" t="s">
        <v>241</v>
      </c>
      <c r="G56" s="4" t="s">
        <v>242</v>
      </c>
      <c r="M56" s="4" t="s">
        <v>37</v>
      </c>
      <c r="N56" s="4">
        <v>1000000108</v>
      </c>
      <c r="O56" s="4">
        <v>89000</v>
      </c>
      <c r="P56" s="4" t="s">
        <v>38</v>
      </c>
      <c r="Q56" s="4" t="s">
        <v>14</v>
      </c>
      <c r="R56" s="4" t="s">
        <v>243</v>
      </c>
      <c r="S56" s="4" t="s">
        <v>244</v>
      </c>
    </row>
    <row r="57" spans="1:19" x14ac:dyDescent="0.3">
      <c r="A57" s="4" t="s">
        <v>41</v>
      </c>
      <c r="B57" s="4">
        <v>1000000109</v>
      </c>
      <c r="C57" s="4">
        <v>46000</v>
      </c>
      <c r="D57" s="4" t="s">
        <v>42</v>
      </c>
      <c r="E57" s="4" t="s">
        <v>9</v>
      </c>
      <c r="F57" s="4" t="s">
        <v>245</v>
      </c>
      <c r="G57" s="4" t="s">
        <v>246</v>
      </c>
      <c r="M57" s="4" t="s">
        <v>45</v>
      </c>
      <c r="N57" s="4">
        <v>1000000110</v>
      </c>
      <c r="O57" s="4">
        <v>77000</v>
      </c>
      <c r="P57" s="4" t="s">
        <v>46</v>
      </c>
      <c r="Q57" s="4" t="s">
        <v>14</v>
      </c>
      <c r="R57" s="4" t="s">
        <v>247</v>
      </c>
      <c r="S57" s="4" t="s">
        <v>248</v>
      </c>
    </row>
    <row r="58" spans="1:19" x14ac:dyDescent="0.3">
      <c r="A58" s="4" t="s">
        <v>7</v>
      </c>
      <c r="B58" s="4">
        <v>1000000111</v>
      </c>
      <c r="C58" s="4">
        <v>50000</v>
      </c>
      <c r="D58" s="4" t="s">
        <v>8</v>
      </c>
      <c r="E58" s="4" t="s">
        <v>9</v>
      </c>
      <c r="F58" s="4" t="s">
        <v>249</v>
      </c>
      <c r="G58" s="4" t="s">
        <v>250</v>
      </c>
      <c r="M58" s="4" t="s">
        <v>12</v>
      </c>
      <c r="N58" s="4">
        <v>1000000112</v>
      </c>
      <c r="O58" s="4">
        <v>75000</v>
      </c>
      <c r="P58" s="4" t="s">
        <v>13</v>
      </c>
      <c r="Q58" s="4" t="s">
        <v>14</v>
      </c>
      <c r="R58" s="4" t="s">
        <v>251</v>
      </c>
      <c r="S58" s="4" t="s">
        <v>252</v>
      </c>
    </row>
    <row r="59" spans="1:19" x14ac:dyDescent="0.3">
      <c r="A59" s="4" t="s">
        <v>17</v>
      </c>
      <c r="B59" s="4">
        <v>1000000113</v>
      </c>
      <c r="C59" s="4">
        <v>120000</v>
      </c>
      <c r="D59" s="4" t="s">
        <v>18</v>
      </c>
      <c r="E59" s="4" t="s">
        <v>9</v>
      </c>
      <c r="F59" s="4" t="s">
        <v>253</v>
      </c>
      <c r="G59" s="4" t="s">
        <v>254</v>
      </c>
      <c r="M59" s="4" t="s">
        <v>21</v>
      </c>
      <c r="N59" s="4">
        <v>1000000114</v>
      </c>
      <c r="O59" s="4">
        <v>45000</v>
      </c>
      <c r="P59" s="4" t="s">
        <v>22</v>
      </c>
      <c r="Q59" s="4" t="s">
        <v>14</v>
      </c>
      <c r="R59" s="4" t="s">
        <v>255</v>
      </c>
      <c r="S59" s="4" t="s">
        <v>256</v>
      </c>
    </row>
    <row r="60" spans="1:19" x14ac:dyDescent="0.3">
      <c r="A60" s="4" t="s">
        <v>25</v>
      </c>
      <c r="B60" s="4">
        <v>1000000115</v>
      </c>
      <c r="C60" s="4">
        <v>98000</v>
      </c>
      <c r="D60" s="4" t="s">
        <v>26</v>
      </c>
      <c r="E60" s="4" t="s">
        <v>9</v>
      </c>
      <c r="F60" s="4" t="s">
        <v>257</v>
      </c>
      <c r="G60" s="4" t="s">
        <v>258</v>
      </c>
      <c r="M60" s="4" t="s">
        <v>29</v>
      </c>
      <c r="N60" s="4">
        <v>1000000116</v>
      </c>
      <c r="O60" s="4">
        <v>67000</v>
      </c>
      <c r="P60" s="4" t="s">
        <v>30</v>
      </c>
      <c r="Q60" s="4" t="s">
        <v>14</v>
      </c>
      <c r="R60" s="4" t="s">
        <v>259</v>
      </c>
      <c r="S60" s="4" t="s">
        <v>260</v>
      </c>
    </row>
    <row r="61" spans="1:19" x14ac:dyDescent="0.3">
      <c r="A61" s="4" t="s">
        <v>33</v>
      </c>
      <c r="B61" s="4">
        <v>1000000117</v>
      </c>
      <c r="C61" s="4">
        <v>56000</v>
      </c>
      <c r="D61" s="4" t="s">
        <v>34</v>
      </c>
      <c r="E61" s="4" t="s">
        <v>9</v>
      </c>
      <c r="F61" s="4" t="s">
        <v>261</v>
      </c>
      <c r="G61" s="4" t="s">
        <v>262</v>
      </c>
      <c r="M61" s="4" t="s">
        <v>37</v>
      </c>
      <c r="N61" s="4">
        <v>1000000118</v>
      </c>
      <c r="O61" s="4">
        <v>89000</v>
      </c>
      <c r="P61" s="4" t="s">
        <v>38</v>
      </c>
      <c r="Q61" s="4" t="s">
        <v>14</v>
      </c>
      <c r="R61" s="4" t="s">
        <v>263</v>
      </c>
      <c r="S61" s="4" t="s">
        <v>264</v>
      </c>
    </row>
    <row r="62" spans="1:19" x14ac:dyDescent="0.3">
      <c r="A62" s="4" t="s">
        <v>41</v>
      </c>
      <c r="B62" s="4">
        <v>1000000119</v>
      </c>
      <c r="C62" s="4">
        <v>46000</v>
      </c>
      <c r="D62" s="4" t="s">
        <v>42</v>
      </c>
      <c r="E62" s="4" t="s">
        <v>9</v>
      </c>
      <c r="F62" s="4" t="s">
        <v>265</v>
      </c>
      <c r="G62" s="4" t="s">
        <v>266</v>
      </c>
      <c r="M62" s="4" t="s">
        <v>45</v>
      </c>
      <c r="N62" s="4">
        <v>1000000120</v>
      </c>
      <c r="O62" s="4">
        <v>77000</v>
      </c>
      <c r="P62" s="4" t="s">
        <v>46</v>
      </c>
      <c r="Q62" s="4" t="s">
        <v>14</v>
      </c>
      <c r="R62" s="4" t="s">
        <v>267</v>
      </c>
      <c r="S62" s="4" t="s">
        <v>268</v>
      </c>
    </row>
    <row r="63" spans="1:19" x14ac:dyDescent="0.3">
      <c r="A63" s="4" t="s">
        <v>7</v>
      </c>
      <c r="B63" s="4">
        <v>1000000121</v>
      </c>
      <c r="C63" s="4">
        <v>50000</v>
      </c>
      <c r="D63" s="4" t="s">
        <v>8</v>
      </c>
      <c r="E63" s="4" t="s">
        <v>9</v>
      </c>
      <c r="F63" s="4" t="s">
        <v>269</v>
      </c>
      <c r="G63" s="4" t="s">
        <v>270</v>
      </c>
      <c r="M63" s="4" t="s">
        <v>12</v>
      </c>
      <c r="N63" s="4">
        <v>1000000122</v>
      </c>
      <c r="O63" s="4">
        <v>75000</v>
      </c>
      <c r="P63" s="4" t="s">
        <v>13</v>
      </c>
      <c r="Q63" s="4" t="s">
        <v>14</v>
      </c>
      <c r="R63" s="4" t="s">
        <v>271</v>
      </c>
      <c r="S63" s="4" t="s">
        <v>272</v>
      </c>
    </row>
    <row r="64" spans="1:19" x14ac:dyDescent="0.3">
      <c r="A64" s="4" t="s">
        <v>17</v>
      </c>
      <c r="B64" s="4">
        <v>1000000123</v>
      </c>
      <c r="C64" s="4">
        <v>120000</v>
      </c>
      <c r="D64" s="4" t="s">
        <v>18</v>
      </c>
      <c r="E64" s="4" t="s">
        <v>9</v>
      </c>
      <c r="F64" s="4" t="s">
        <v>273</v>
      </c>
      <c r="G64" s="4" t="s">
        <v>274</v>
      </c>
      <c r="M64" s="4" t="s">
        <v>21</v>
      </c>
      <c r="N64" s="4">
        <v>1000000124</v>
      </c>
      <c r="O64" s="4">
        <v>45000</v>
      </c>
      <c r="P64" s="4" t="s">
        <v>22</v>
      </c>
      <c r="Q64" s="4" t="s">
        <v>14</v>
      </c>
      <c r="R64" s="4" t="s">
        <v>275</v>
      </c>
      <c r="S64" s="4" t="s">
        <v>276</v>
      </c>
    </row>
    <row r="65" spans="1:19" x14ac:dyDescent="0.3">
      <c r="A65" s="4" t="s">
        <v>25</v>
      </c>
      <c r="B65" s="4">
        <v>1000000125</v>
      </c>
      <c r="C65" s="4">
        <v>98000</v>
      </c>
      <c r="D65" s="4" t="s">
        <v>26</v>
      </c>
      <c r="E65" s="4" t="s">
        <v>9</v>
      </c>
      <c r="F65" s="4" t="s">
        <v>277</v>
      </c>
      <c r="G65" s="4" t="s">
        <v>278</v>
      </c>
      <c r="M65" s="4" t="s">
        <v>29</v>
      </c>
      <c r="N65" s="4">
        <v>1000000126</v>
      </c>
      <c r="O65" s="4">
        <v>67000</v>
      </c>
      <c r="P65" s="4" t="s">
        <v>30</v>
      </c>
      <c r="Q65" s="4" t="s">
        <v>14</v>
      </c>
      <c r="R65" s="4" t="s">
        <v>279</v>
      </c>
      <c r="S65" s="4" t="s">
        <v>280</v>
      </c>
    </row>
    <row r="66" spans="1:19" x14ac:dyDescent="0.3">
      <c r="A66" s="4" t="s">
        <v>33</v>
      </c>
      <c r="B66" s="4">
        <v>1000000127</v>
      </c>
      <c r="C66" s="4">
        <v>56000</v>
      </c>
      <c r="D66" s="4" t="s">
        <v>34</v>
      </c>
      <c r="E66" s="4" t="s">
        <v>9</v>
      </c>
      <c r="F66" s="4" t="s">
        <v>281</v>
      </c>
      <c r="G66" s="4" t="s">
        <v>282</v>
      </c>
      <c r="M66" s="4" t="s">
        <v>37</v>
      </c>
      <c r="N66" s="4">
        <v>1000000128</v>
      </c>
      <c r="O66" s="4">
        <v>89000</v>
      </c>
      <c r="P66" s="4" t="s">
        <v>38</v>
      </c>
      <c r="Q66" s="4" t="s">
        <v>14</v>
      </c>
      <c r="R66" s="4" t="s">
        <v>283</v>
      </c>
      <c r="S66" s="4" t="s">
        <v>284</v>
      </c>
    </row>
    <row r="67" spans="1:19" x14ac:dyDescent="0.3">
      <c r="A67" s="4" t="s">
        <v>41</v>
      </c>
      <c r="B67" s="4">
        <v>1000000129</v>
      </c>
      <c r="C67" s="4">
        <v>46000</v>
      </c>
      <c r="D67" s="4" t="s">
        <v>42</v>
      </c>
      <c r="E67" s="4" t="s">
        <v>9</v>
      </c>
      <c r="F67" s="4" t="s">
        <v>285</v>
      </c>
      <c r="G67" s="4" t="s">
        <v>286</v>
      </c>
      <c r="M67" s="4" t="s">
        <v>45</v>
      </c>
      <c r="N67" s="4">
        <v>1000000130</v>
      </c>
      <c r="O67" s="4">
        <v>77000</v>
      </c>
      <c r="P67" s="4" t="s">
        <v>46</v>
      </c>
      <c r="Q67" s="4" t="s">
        <v>14</v>
      </c>
      <c r="R67" s="4" t="s">
        <v>287</v>
      </c>
      <c r="S67" s="4" t="s">
        <v>288</v>
      </c>
    </row>
    <row r="68" spans="1:19" x14ac:dyDescent="0.3">
      <c r="A68" s="4" t="s">
        <v>7</v>
      </c>
      <c r="B68" s="4">
        <v>1000000131</v>
      </c>
      <c r="C68" s="4">
        <v>50000</v>
      </c>
      <c r="D68" s="4" t="s">
        <v>8</v>
      </c>
      <c r="E68" s="4" t="s">
        <v>9</v>
      </c>
      <c r="F68" s="4" t="s">
        <v>289</v>
      </c>
      <c r="G68" s="4" t="s">
        <v>290</v>
      </c>
      <c r="M68" s="4" t="s">
        <v>12</v>
      </c>
      <c r="N68" s="4">
        <v>1000000132</v>
      </c>
      <c r="O68" s="4">
        <v>75000</v>
      </c>
      <c r="P68" s="4" t="s">
        <v>13</v>
      </c>
      <c r="Q68" s="4" t="s">
        <v>14</v>
      </c>
      <c r="R68" s="4" t="s">
        <v>291</v>
      </c>
      <c r="S68" s="4" t="s">
        <v>292</v>
      </c>
    </row>
    <row r="69" spans="1:19" x14ac:dyDescent="0.3">
      <c r="A69" s="4" t="s">
        <v>17</v>
      </c>
      <c r="B69" s="4">
        <v>1000000133</v>
      </c>
      <c r="C69" s="4">
        <v>120000</v>
      </c>
      <c r="D69" s="4" t="s">
        <v>18</v>
      </c>
      <c r="E69" s="4" t="s">
        <v>9</v>
      </c>
      <c r="F69" s="4" t="s">
        <v>293</v>
      </c>
      <c r="G69" s="4" t="s">
        <v>294</v>
      </c>
      <c r="M69" s="4" t="s">
        <v>21</v>
      </c>
      <c r="N69" s="4">
        <v>1000000134</v>
      </c>
      <c r="O69" s="4">
        <v>45000</v>
      </c>
      <c r="P69" s="4" t="s">
        <v>22</v>
      </c>
      <c r="Q69" s="4" t="s">
        <v>14</v>
      </c>
      <c r="R69" s="4" t="s">
        <v>295</v>
      </c>
      <c r="S69" s="4" t="s">
        <v>296</v>
      </c>
    </row>
    <row r="70" spans="1:19" x14ac:dyDescent="0.3">
      <c r="A70" s="4" t="s">
        <v>25</v>
      </c>
      <c r="B70" s="4">
        <v>1000000135</v>
      </c>
      <c r="C70" s="4">
        <v>98000</v>
      </c>
      <c r="D70" s="4" t="s">
        <v>26</v>
      </c>
      <c r="E70" s="4" t="s">
        <v>9</v>
      </c>
      <c r="F70" s="4" t="s">
        <v>297</v>
      </c>
      <c r="G70" s="4" t="s">
        <v>298</v>
      </c>
      <c r="M70" s="4" t="s">
        <v>29</v>
      </c>
      <c r="N70" s="4">
        <v>1000000136</v>
      </c>
      <c r="O70" s="4">
        <v>67000</v>
      </c>
      <c r="P70" s="4" t="s">
        <v>30</v>
      </c>
      <c r="Q70" s="4" t="s">
        <v>14</v>
      </c>
      <c r="R70" s="4" t="s">
        <v>299</v>
      </c>
      <c r="S70" s="4" t="s">
        <v>300</v>
      </c>
    </row>
    <row r="71" spans="1:19" x14ac:dyDescent="0.3">
      <c r="A71" s="4" t="s">
        <v>33</v>
      </c>
      <c r="B71" s="4">
        <v>1000000137</v>
      </c>
      <c r="C71" s="4">
        <v>56000</v>
      </c>
      <c r="D71" s="4" t="s">
        <v>34</v>
      </c>
      <c r="E71" s="4" t="s">
        <v>9</v>
      </c>
      <c r="F71" s="4" t="s">
        <v>301</v>
      </c>
      <c r="G71" s="4" t="s">
        <v>302</v>
      </c>
      <c r="M71" s="4" t="s">
        <v>37</v>
      </c>
      <c r="N71" s="4">
        <v>1000000138</v>
      </c>
      <c r="O71" s="4">
        <v>89000</v>
      </c>
      <c r="P71" s="4" t="s">
        <v>38</v>
      </c>
      <c r="Q71" s="4" t="s">
        <v>14</v>
      </c>
      <c r="R71" s="4" t="s">
        <v>303</v>
      </c>
      <c r="S71" s="4" t="s">
        <v>304</v>
      </c>
    </row>
    <row r="72" spans="1:19" x14ac:dyDescent="0.3">
      <c r="A72" s="4" t="s">
        <v>41</v>
      </c>
      <c r="B72" s="4">
        <v>1000000139</v>
      </c>
      <c r="C72" s="4">
        <v>46000</v>
      </c>
      <c r="D72" s="4" t="s">
        <v>42</v>
      </c>
      <c r="E72" s="4" t="s">
        <v>9</v>
      </c>
      <c r="F72" s="4" t="s">
        <v>305</v>
      </c>
      <c r="G72" s="4" t="s">
        <v>306</v>
      </c>
      <c r="M72" s="4" t="s">
        <v>45</v>
      </c>
      <c r="N72" s="4">
        <v>1000000140</v>
      </c>
      <c r="O72" s="4">
        <v>77000</v>
      </c>
      <c r="P72" s="4" t="s">
        <v>46</v>
      </c>
      <c r="Q72" s="4" t="s">
        <v>14</v>
      </c>
      <c r="R72" s="4" t="s">
        <v>307</v>
      </c>
      <c r="S72" s="4" t="s">
        <v>308</v>
      </c>
    </row>
    <row r="73" spans="1:19" x14ac:dyDescent="0.3">
      <c r="A73" s="4" t="s">
        <v>7</v>
      </c>
      <c r="B73" s="4">
        <v>1000000141</v>
      </c>
      <c r="C73" s="4">
        <v>50000</v>
      </c>
      <c r="D73" s="4" t="s">
        <v>8</v>
      </c>
      <c r="E73" s="4" t="s">
        <v>9</v>
      </c>
      <c r="F73" s="4" t="s">
        <v>309</v>
      </c>
      <c r="G73" s="4" t="s">
        <v>310</v>
      </c>
      <c r="M73" s="4" t="s">
        <v>12</v>
      </c>
      <c r="N73" s="4">
        <v>1000000142</v>
      </c>
      <c r="O73" s="4">
        <v>75000</v>
      </c>
      <c r="P73" s="4" t="s">
        <v>13</v>
      </c>
      <c r="Q73" s="4" t="s">
        <v>14</v>
      </c>
      <c r="R73" s="4" t="s">
        <v>311</v>
      </c>
      <c r="S73" s="4" t="s">
        <v>312</v>
      </c>
    </row>
    <row r="74" spans="1:19" x14ac:dyDescent="0.3">
      <c r="A74" s="4" t="s">
        <v>17</v>
      </c>
      <c r="B74" s="4">
        <v>1000000143</v>
      </c>
      <c r="C74" s="4">
        <v>120000</v>
      </c>
      <c r="D74" s="4" t="s">
        <v>18</v>
      </c>
      <c r="E74" s="4" t="s">
        <v>9</v>
      </c>
      <c r="F74" s="4" t="s">
        <v>313</v>
      </c>
      <c r="G74" s="4" t="s">
        <v>314</v>
      </c>
      <c r="M74" s="4" t="s">
        <v>21</v>
      </c>
      <c r="N74" s="4">
        <v>1000000144</v>
      </c>
      <c r="O74" s="4">
        <v>45000</v>
      </c>
      <c r="P74" s="4" t="s">
        <v>22</v>
      </c>
      <c r="Q74" s="4" t="s">
        <v>14</v>
      </c>
      <c r="R74" s="4" t="s">
        <v>315</v>
      </c>
      <c r="S74" s="4" t="s">
        <v>316</v>
      </c>
    </row>
    <row r="75" spans="1:19" x14ac:dyDescent="0.3">
      <c r="A75" s="4" t="s">
        <v>25</v>
      </c>
      <c r="B75" s="4">
        <v>1000000145</v>
      </c>
      <c r="C75" s="4">
        <v>98000</v>
      </c>
      <c r="D75" s="4" t="s">
        <v>26</v>
      </c>
      <c r="E75" s="4" t="s">
        <v>9</v>
      </c>
      <c r="F75" s="4" t="s">
        <v>317</v>
      </c>
      <c r="G75" s="4" t="s">
        <v>318</v>
      </c>
      <c r="M75" s="4" t="s">
        <v>29</v>
      </c>
      <c r="N75" s="4">
        <v>1000000146</v>
      </c>
      <c r="O75" s="4">
        <v>67000</v>
      </c>
      <c r="P75" s="4" t="s">
        <v>30</v>
      </c>
      <c r="Q75" s="4" t="s">
        <v>14</v>
      </c>
      <c r="R75" s="4" t="s">
        <v>319</v>
      </c>
      <c r="S75" s="4" t="s">
        <v>320</v>
      </c>
    </row>
    <row r="76" spans="1:19" x14ac:dyDescent="0.3">
      <c r="A76" s="4" t="s">
        <v>33</v>
      </c>
      <c r="B76" s="4">
        <v>1000000147</v>
      </c>
      <c r="C76" s="4">
        <v>56000</v>
      </c>
      <c r="D76" s="4" t="s">
        <v>34</v>
      </c>
      <c r="E76" s="4" t="s">
        <v>9</v>
      </c>
      <c r="F76" s="4" t="s">
        <v>321</v>
      </c>
      <c r="G76" s="4" t="s">
        <v>322</v>
      </c>
      <c r="M76" s="4" t="s">
        <v>37</v>
      </c>
      <c r="N76" s="4">
        <v>1000000148</v>
      </c>
      <c r="O76" s="4">
        <v>89000</v>
      </c>
      <c r="P76" s="4" t="s">
        <v>38</v>
      </c>
      <c r="Q76" s="4" t="s">
        <v>14</v>
      </c>
      <c r="R76" s="4" t="s">
        <v>323</v>
      </c>
      <c r="S76" s="4" t="s">
        <v>324</v>
      </c>
    </row>
    <row r="77" spans="1:19" x14ac:dyDescent="0.3">
      <c r="A77" s="4" t="s">
        <v>41</v>
      </c>
      <c r="B77" s="4">
        <v>1000000149</v>
      </c>
      <c r="C77" s="4">
        <v>46000</v>
      </c>
      <c r="D77" s="4" t="s">
        <v>42</v>
      </c>
      <c r="E77" s="4" t="s">
        <v>9</v>
      </c>
      <c r="F77" s="4" t="s">
        <v>325</v>
      </c>
      <c r="G77" s="4" t="s">
        <v>326</v>
      </c>
      <c r="M77" s="4" t="s">
        <v>45</v>
      </c>
      <c r="N77" s="4">
        <v>1000000150</v>
      </c>
      <c r="O77" s="4">
        <v>77000</v>
      </c>
      <c r="P77" s="4" t="s">
        <v>46</v>
      </c>
      <c r="Q77" s="4" t="s">
        <v>14</v>
      </c>
      <c r="R77" s="4" t="s">
        <v>327</v>
      </c>
      <c r="S77" s="4" t="s">
        <v>328</v>
      </c>
    </row>
    <row r="78" spans="1:19" x14ac:dyDescent="0.3">
      <c r="A78" s="4" t="s">
        <v>7</v>
      </c>
      <c r="B78" s="4">
        <v>1000000151</v>
      </c>
      <c r="C78" s="4">
        <v>50000</v>
      </c>
      <c r="D78" s="4" t="s">
        <v>8</v>
      </c>
      <c r="E78" s="4" t="s">
        <v>9</v>
      </c>
      <c r="F78" s="4" t="s">
        <v>329</v>
      </c>
      <c r="G78" s="4" t="s">
        <v>330</v>
      </c>
      <c r="M78" s="4" t="s">
        <v>12</v>
      </c>
      <c r="N78" s="4">
        <v>1000000152</v>
      </c>
      <c r="O78" s="4">
        <v>75000</v>
      </c>
      <c r="P78" s="4" t="s">
        <v>13</v>
      </c>
      <c r="Q78" s="4" t="s">
        <v>14</v>
      </c>
      <c r="R78" s="4" t="s">
        <v>331</v>
      </c>
      <c r="S78" s="4" t="s">
        <v>332</v>
      </c>
    </row>
    <row r="79" spans="1:19" x14ac:dyDescent="0.3">
      <c r="A79" s="4" t="s">
        <v>17</v>
      </c>
      <c r="B79" s="4">
        <v>1000000153</v>
      </c>
      <c r="C79" s="4">
        <v>120000</v>
      </c>
      <c r="D79" s="4" t="s">
        <v>18</v>
      </c>
      <c r="E79" s="4" t="s">
        <v>9</v>
      </c>
      <c r="F79" s="4" t="s">
        <v>333</v>
      </c>
      <c r="G79" s="4" t="s">
        <v>334</v>
      </c>
      <c r="M79" s="4" t="s">
        <v>21</v>
      </c>
      <c r="N79" s="4">
        <v>1000000154</v>
      </c>
      <c r="O79" s="4">
        <v>45000</v>
      </c>
      <c r="P79" s="4" t="s">
        <v>22</v>
      </c>
      <c r="Q79" s="4" t="s">
        <v>14</v>
      </c>
      <c r="R79" s="4" t="s">
        <v>335</v>
      </c>
      <c r="S79" s="4" t="s">
        <v>336</v>
      </c>
    </row>
    <row r="80" spans="1:19" x14ac:dyDescent="0.3">
      <c r="A80" s="4" t="s">
        <v>25</v>
      </c>
      <c r="B80" s="4">
        <v>1000000155</v>
      </c>
      <c r="C80" s="4">
        <v>98000</v>
      </c>
      <c r="D80" s="4" t="s">
        <v>26</v>
      </c>
      <c r="E80" s="4" t="s">
        <v>9</v>
      </c>
      <c r="F80" s="4" t="s">
        <v>337</v>
      </c>
      <c r="G80" s="4" t="s">
        <v>338</v>
      </c>
      <c r="M80" s="4" t="s">
        <v>29</v>
      </c>
      <c r="N80" s="4">
        <v>1000000156</v>
      </c>
      <c r="O80" s="4">
        <v>67000</v>
      </c>
      <c r="P80" s="4" t="s">
        <v>30</v>
      </c>
      <c r="Q80" s="4" t="s">
        <v>14</v>
      </c>
      <c r="R80" s="4" t="s">
        <v>339</v>
      </c>
      <c r="S80" s="4" t="s">
        <v>340</v>
      </c>
    </row>
    <row r="81" spans="1:19" x14ac:dyDescent="0.3">
      <c r="A81" s="4" t="s">
        <v>33</v>
      </c>
      <c r="B81" s="4">
        <v>1000000157</v>
      </c>
      <c r="C81" s="4">
        <v>56000</v>
      </c>
      <c r="D81" s="4" t="s">
        <v>34</v>
      </c>
      <c r="E81" s="4" t="s">
        <v>9</v>
      </c>
      <c r="F81" s="4" t="s">
        <v>341</v>
      </c>
      <c r="G81" s="4" t="s">
        <v>342</v>
      </c>
      <c r="M81" s="4" t="s">
        <v>37</v>
      </c>
      <c r="N81" s="4">
        <v>1000000158</v>
      </c>
      <c r="O81" s="4">
        <v>89000</v>
      </c>
      <c r="P81" s="4" t="s">
        <v>38</v>
      </c>
      <c r="Q81" s="4" t="s">
        <v>14</v>
      </c>
      <c r="R81" s="4" t="s">
        <v>343</v>
      </c>
      <c r="S81" s="4" t="s">
        <v>344</v>
      </c>
    </row>
    <row r="82" spans="1:19" x14ac:dyDescent="0.3">
      <c r="A82" s="4" t="s">
        <v>41</v>
      </c>
      <c r="B82" s="4">
        <v>1000000159</v>
      </c>
      <c r="C82" s="4">
        <v>46000</v>
      </c>
      <c r="D82" s="4" t="s">
        <v>42</v>
      </c>
      <c r="E82" s="4" t="s">
        <v>9</v>
      </c>
      <c r="F82" s="4" t="s">
        <v>345</v>
      </c>
      <c r="G82" s="4" t="s">
        <v>346</v>
      </c>
      <c r="M82" s="4" t="s">
        <v>45</v>
      </c>
      <c r="N82" s="4">
        <v>1000000160</v>
      </c>
      <c r="O82" s="4">
        <v>77000</v>
      </c>
      <c r="P82" s="4" t="s">
        <v>46</v>
      </c>
      <c r="Q82" s="4" t="s">
        <v>14</v>
      </c>
      <c r="R82" s="4" t="s">
        <v>347</v>
      </c>
      <c r="S82" s="4" t="s">
        <v>348</v>
      </c>
    </row>
    <row r="83" spans="1:19" x14ac:dyDescent="0.3">
      <c r="A83" s="4" t="s">
        <v>7</v>
      </c>
      <c r="B83" s="4">
        <v>1000000161</v>
      </c>
      <c r="C83" s="4">
        <v>50000</v>
      </c>
      <c r="D83" s="4" t="s">
        <v>8</v>
      </c>
      <c r="E83" s="4" t="s">
        <v>9</v>
      </c>
      <c r="F83" s="4" t="s">
        <v>349</v>
      </c>
      <c r="G83" s="4" t="s">
        <v>350</v>
      </c>
      <c r="M83" s="4" t="s">
        <v>12</v>
      </c>
      <c r="N83" s="4">
        <v>1000000162</v>
      </c>
      <c r="O83" s="4">
        <v>75000</v>
      </c>
      <c r="P83" s="4" t="s">
        <v>13</v>
      </c>
      <c r="Q83" s="4" t="s">
        <v>14</v>
      </c>
      <c r="R83" s="4" t="s">
        <v>351</v>
      </c>
      <c r="S83" s="4" t="s">
        <v>352</v>
      </c>
    </row>
    <row r="84" spans="1:19" x14ac:dyDescent="0.3">
      <c r="A84" s="4" t="s">
        <v>17</v>
      </c>
      <c r="B84" s="4">
        <v>1000000163</v>
      </c>
      <c r="C84" s="4">
        <v>120000</v>
      </c>
      <c r="D84" s="4" t="s">
        <v>18</v>
      </c>
      <c r="E84" s="4" t="s">
        <v>9</v>
      </c>
      <c r="F84" s="4" t="s">
        <v>353</v>
      </c>
      <c r="G84" s="4" t="s">
        <v>354</v>
      </c>
      <c r="M84" s="4" t="s">
        <v>21</v>
      </c>
      <c r="N84" s="4">
        <v>1000000164</v>
      </c>
      <c r="O84" s="4">
        <v>45000</v>
      </c>
      <c r="P84" s="4" t="s">
        <v>22</v>
      </c>
      <c r="Q84" s="4" t="s">
        <v>14</v>
      </c>
      <c r="R84" s="4" t="s">
        <v>355</v>
      </c>
      <c r="S84" s="4" t="s">
        <v>356</v>
      </c>
    </row>
    <row r="85" spans="1:19" x14ac:dyDescent="0.3">
      <c r="A85" s="4" t="s">
        <v>25</v>
      </c>
      <c r="B85" s="4">
        <v>1000000165</v>
      </c>
      <c r="C85" s="4">
        <v>98000</v>
      </c>
      <c r="D85" s="4" t="s">
        <v>26</v>
      </c>
      <c r="E85" s="4" t="s">
        <v>9</v>
      </c>
      <c r="F85" s="4" t="s">
        <v>357</v>
      </c>
      <c r="G85" s="4" t="s">
        <v>358</v>
      </c>
      <c r="M85" s="4" t="s">
        <v>29</v>
      </c>
      <c r="N85" s="4">
        <v>1000000166</v>
      </c>
      <c r="O85" s="4">
        <v>67000</v>
      </c>
      <c r="P85" s="4" t="s">
        <v>30</v>
      </c>
      <c r="Q85" s="4" t="s">
        <v>14</v>
      </c>
      <c r="R85" s="4" t="s">
        <v>359</v>
      </c>
      <c r="S85" s="4" t="s">
        <v>360</v>
      </c>
    </row>
    <row r="86" spans="1:19" x14ac:dyDescent="0.3">
      <c r="A86" s="4" t="s">
        <v>33</v>
      </c>
      <c r="B86" s="4">
        <v>1000000167</v>
      </c>
      <c r="C86" s="4">
        <v>56000</v>
      </c>
      <c r="D86" s="4" t="s">
        <v>34</v>
      </c>
      <c r="E86" s="4" t="s">
        <v>9</v>
      </c>
      <c r="F86" s="4" t="s">
        <v>361</v>
      </c>
      <c r="G86" s="4" t="s">
        <v>362</v>
      </c>
      <c r="M86" s="4" t="s">
        <v>37</v>
      </c>
      <c r="N86" s="4">
        <v>1000000168</v>
      </c>
      <c r="O86" s="4">
        <v>89000</v>
      </c>
      <c r="P86" s="4" t="s">
        <v>38</v>
      </c>
      <c r="Q86" s="4" t="s">
        <v>14</v>
      </c>
      <c r="R86" s="4" t="s">
        <v>363</v>
      </c>
      <c r="S86" s="4" t="s">
        <v>364</v>
      </c>
    </row>
    <row r="87" spans="1:19" x14ac:dyDescent="0.3">
      <c r="A87" s="4" t="s">
        <v>41</v>
      </c>
      <c r="B87" s="4">
        <v>1000000169</v>
      </c>
      <c r="C87" s="4">
        <v>46000</v>
      </c>
      <c r="D87" s="4" t="s">
        <v>42</v>
      </c>
      <c r="E87" s="4" t="s">
        <v>9</v>
      </c>
      <c r="F87" s="4" t="s">
        <v>365</v>
      </c>
      <c r="G87" s="4" t="s">
        <v>366</v>
      </c>
      <c r="M87" s="4" t="s">
        <v>45</v>
      </c>
      <c r="N87" s="4">
        <v>1000000170</v>
      </c>
      <c r="O87" s="4">
        <v>77000</v>
      </c>
      <c r="P87" s="4" t="s">
        <v>46</v>
      </c>
      <c r="Q87" s="4" t="s">
        <v>14</v>
      </c>
      <c r="R87" s="4" t="s">
        <v>367</v>
      </c>
      <c r="S87" s="4" t="s">
        <v>368</v>
      </c>
    </row>
    <row r="88" spans="1:19" x14ac:dyDescent="0.3">
      <c r="A88" s="4" t="s">
        <v>7</v>
      </c>
      <c r="B88" s="4">
        <v>1000000171</v>
      </c>
      <c r="C88" s="4">
        <v>50000</v>
      </c>
      <c r="D88" s="4" t="s">
        <v>8</v>
      </c>
      <c r="E88" s="4" t="s">
        <v>9</v>
      </c>
      <c r="F88" s="4" t="s">
        <v>369</v>
      </c>
      <c r="G88" s="4" t="s">
        <v>370</v>
      </c>
      <c r="M88" s="4" t="s">
        <v>12</v>
      </c>
      <c r="N88" s="4">
        <v>1000000172</v>
      </c>
      <c r="O88" s="4">
        <v>75000</v>
      </c>
      <c r="P88" s="4" t="s">
        <v>13</v>
      </c>
      <c r="Q88" s="4" t="s">
        <v>14</v>
      </c>
      <c r="R88" s="4" t="s">
        <v>371</v>
      </c>
      <c r="S88" s="4" t="s">
        <v>372</v>
      </c>
    </row>
    <row r="89" spans="1:19" x14ac:dyDescent="0.3">
      <c r="A89" s="4" t="s">
        <v>17</v>
      </c>
      <c r="B89" s="4">
        <v>1000000173</v>
      </c>
      <c r="C89" s="4">
        <v>120000</v>
      </c>
      <c r="D89" s="4" t="s">
        <v>18</v>
      </c>
      <c r="E89" s="4" t="s">
        <v>9</v>
      </c>
      <c r="F89" s="4" t="s">
        <v>373</v>
      </c>
      <c r="G89" s="4" t="s">
        <v>374</v>
      </c>
      <c r="M89" s="4" t="s">
        <v>21</v>
      </c>
      <c r="N89" s="4">
        <v>1000000174</v>
      </c>
      <c r="O89" s="4">
        <v>45000</v>
      </c>
      <c r="P89" s="4" t="s">
        <v>22</v>
      </c>
      <c r="Q89" s="4" t="s">
        <v>14</v>
      </c>
      <c r="R89" s="4" t="s">
        <v>375</v>
      </c>
      <c r="S89" s="4" t="s">
        <v>376</v>
      </c>
    </row>
    <row r="90" spans="1:19" x14ac:dyDescent="0.3">
      <c r="A90" s="4" t="s">
        <v>25</v>
      </c>
      <c r="B90" s="4">
        <v>1000000175</v>
      </c>
      <c r="C90" s="4">
        <v>98000</v>
      </c>
      <c r="D90" s="4" t="s">
        <v>26</v>
      </c>
      <c r="E90" s="4" t="s">
        <v>9</v>
      </c>
      <c r="F90" s="4" t="s">
        <v>377</v>
      </c>
      <c r="G90" s="4" t="s">
        <v>378</v>
      </c>
      <c r="M90" s="4" t="s">
        <v>29</v>
      </c>
      <c r="N90" s="4">
        <v>1000000176</v>
      </c>
      <c r="O90" s="4">
        <v>67000</v>
      </c>
      <c r="P90" s="4" t="s">
        <v>30</v>
      </c>
      <c r="Q90" s="4" t="s">
        <v>14</v>
      </c>
      <c r="R90" s="4" t="s">
        <v>379</v>
      </c>
      <c r="S90" s="4" t="s">
        <v>380</v>
      </c>
    </row>
    <row r="91" spans="1:19" x14ac:dyDescent="0.3">
      <c r="A91" s="4" t="s">
        <v>33</v>
      </c>
      <c r="B91" s="4">
        <v>1000000177</v>
      </c>
      <c r="C91" s="4">
        <v>56000</v>
      </c>
      <c r="D91" s="4" t="s">
        <v>34</v>
      </c>
      <c r="E91" s="4" t="s">
        <v>9</v>
      </c>
      <c r="F91" s="4" t="s">
        <v>381</v>
      </c>
      <c r="G91" s="4" t="s">
        <v>382</v>
      </c>
      <c r="M91" s="4" t="s">
        <v>37</v>
      </c>
      <c r="N91" s="4">
        <v>1000000178</v>
      </c>
      <c r="O91" s="4">
        <v>89000</v>
      </c>
      <c r="P91" s="4" t="s">
        <v>38</v>
      </c>
      <c r="Q91" s="4" t="s">
        <v>14</v>
      </c>
      <c r="R91" s="4" t="s">
        <v>383</v>
      </c>
      <c r="S91" s="4" t="s">
        <v>384</v>
      </c>
    </row>
    <row r="92" spans="1:19" x14ac:dyDescent="0.3">
      <c r="A92" s="4" t="s">
        <v>41</v>
      </c>
      <c r="B92" s="4">
        <v>1000000179</v>
      </c>
      <c r="C92" s="4">
        <v>46000</v>
      </c>
      <c r="D92" s="4" t="s">
        <v>42</v>
      </c>
      <c r="E92" s="4" t="s">
        <v>9</v>
      </c>
      <c r="F92" s="4" t="s">
        <v>385</v>
      </c>
      <c r="G92" s="4" t="s">
        <v>386</v>
      </c>
      <c r="M92" s="4" t="s">
        <v>45</v>
      </c>
      <c r="N92" s="4">
        <v>1000000180</v>
      </c>
      <c r="O92" s="4">
        <v>77000</v>
      </c>
      <c r="P92" s="4" t="s">
        <v>46</v>
      </c>
      <c r="Q92" s="4" t="s">
        <v>14</v>
      </c>
      <c r="R92" s="4" t="s">
        <v>387</v>
      </c>
      <c r="S92" s="4" t="s">
        <v>388</v>
      </c>
    </row>
    <row r="93" spans="1:19" x14ac:dyDescent="0.3">
      <c r="A93" s="4" t="s">
        <v>7</v>
      </c>
      <c r="B93" s="4">
        <v>1000000181</v>
      </c>
      <c r="C93" s="4">
        <v>50000</v>
      </c>
      <c r="D93" s="4" t="s">
        <v>8</v>
      </c>
      <c r="E93" s="4" t="s">
        <v>9</v>
      </c>
      <c r="F93" s="4" t="s">
        <v>389</v>
      </c>
      <c r="G93" s="4" t="s">
        <v>390</v>
      </c>
      <c r="M93" s="4" t="s">
        <v>12</v>
      </c>
      <c r="N93" s="4">
        <v>1000000182</v>
      </c>
      <c r="O93" s="4">
        <v>75000</v>
      </c>
      <c r="P93" s="4" t="s">
        <v>13</v>
      </c>
      <c r="Q93" s="4" t="s">
        <v>14</v>
      </c>
      <c r="R93" s="4" t="s">
        <v>391</v>
      </c>
      <c r="S93" s="4" t="s">
        <v>392</v>
      </c>
    </row>
    <row r="94" spans="1:19" x14ac:dyDescent="0.3">
      <c r="A94" s="4" t="s">
        <v>17</v>
      </c>
      <c r="B94" s="4">
        <v>1000000183</v>
      </c>
      <c r="C94" s="4">
        <v>120000</v>
      </c>
      <c r="D94" s="4" t="s">
        <v>18</v>
      </c>
      <c r="E94" s="4" t="s">
        <v>9</v>
      </c>
      <c r="F94" s="4" t="s">
        <v>393</v>
      </c>
      <c r="G94" s="4" t="s">
        <v>394</v>
      </c>
      <c r="M94" s="4" t="s">
        <v>21</v>
      </c>
      <c r="N94" s="4">
        <v>1000000184</v>
      </c>
      <c r="O94" s="4">
        <v>45000</v>
      </c>
      <c r="P94" s="4" t="s">
        <v>22</v>
      </c>
      <c r="Q94" s="4" t="s">
        <v>14</v>
      </c>
      <c r="R94" s="4" t="s">
        <v>395</v>
      </c>
      <c r="S94" s="4" t="s">
        <v>396</v>
      </c>
    </row>
    <row r="95" spans="1:19" x14ac:dyDescent="0.3">
      <c r="A95" s="4" t="s">
        <v>25</v>
      </c>
      <c r="B95" s="4">
        <v>1000000185</v>
      </c>
      <c r="C95" s="4">
        <v>98000</v>
      </c>
      <c r="D95" s="4" t="s">
        <v>26</v>
      </c>
      <c r="E95" s="4" t="s">
        <v>9</v>
      </c>
      <c r="F95" s="4" t="s">
        <v>397</v>
      </c>
      <c r="G95" s="4" t="s">
        <v>398</v>
      </c>
      <c r="M95" s="4" t="s">
        <v>29</v>
      </c>
      <c r="N95" s="4">
        <v>1000000186</v>
      </c>
      <c r="O95" s="4">
        <v>67000</v>
      </c>
      <c r="P95" s="4" t="s">
        <v>30</v>
      </c>
      <c r="Q95" s="4" t="s">
        <v>14</v>
      </c>
      <c r="R95" s="4" t="s">
        <v>399</v>
      </c>
      <c r="S95" s="4" t="s">
        <v>400</v>
      </c>
    </row>
    <row r="96" spans="1:19" x14ac:dyDescent="0.3">
      <c r="A96" s="4" t="s">
        <v>33</v>
      </c>
      <c r="B96" s="4">
        <v>1000000187</v>
      </c>
      <c r="C96" s="4">
        <v>56000</v>
      </c>
      <c r="D96" s="4" t="s">
        <v>34</v>
      </c>
      <c r="E96" s="4" t="s">
        <v>9</v>
      </c>
      <c r="F96" s="4" t="s">
        <v>401</v>
      </c>
      <c r="G96" s="4" t="s">
        <v>402</v>
      </c>
      <c r="M96" s="4" t="s">
        <v>37</v>
      </c>
      <c r="N96" s="4">
        <v>1000000188</v>
      </c>
      <c r="O96" s="4">
        <v>89000</v>
      </c>
      <c r="P96" s="4" t="s">
        <v>38</v>
      </c>
      <c r="Q96" s="4" t="s">
        <v>14</v>
      </c>
      <c r="R96" s="4" t="s">
        <v>403</v>
      </c>
      <c r="S96" s="4" t="s">
        <v>404</v>
      </c>
    </row>
    <row r="97" spans="1:19" x14ac:dyDescent="0.3">
      <c r="A97" s="4" t="s">
        <v>41</v>
      </c>
      <c r="B97" s="4">
        <v>1000000189</v>
      </c>
      <c r="C97" s="4">
        <v>46000</v>
      </c>
      <c r="D97" s="4" t="s">
        <v>42</v>
      </c>
      <c r="E97" s="4" t="s">
        <v>9</v>
      </c>
      <c r="F97" s="4" t="s">
        <v>405</v>
      </c>
      <c r="G97" s="4" t="s">
        <v>406</v>
      </c>
      <c r="M97" s="4" t="s">
        <v>45</v>
      </c>
      <c r="N97" s="4">
        <v>1000000190</v>
      </c>
      <c r="O97" s="4">
        <v>77000</v>
      </c>
      <c r="P97" s="4" t="s">
        <v>46</v>
      </c>
      <c r="Q97" s="4" t="s">
        <v>14</v>
      </c>
      <c r="R97" s="4" t="s">
        <v>407</v>
      </c>
      <c r="S97" s="4" t="s">
        <v>408</v>
      </c>
    </row>
    <row r="98" spans="1:19" x14ac:dyDescent="0.3">
      <c r="A98" s="4" t="s">
        <v>7</v>
      </c>
      <c r="B98" s="4">
        <v>1000000191</v>
      </c>
      <c r="C98" s="4">
        <v>50000</v>
      </c>
      <c r="D98" s="4" t="s">
        <v>8</v>
      </c>
      <c r="E98" s="4" t="s">
        <v>9</v>
      </c>
      <c r="F98" s="4" t="s">
        <v>409</v>
      </c>
      <c r="G98" s="4" t="s">
        <v>410</v>
      </c>
      <c r="M98" s="4" t="s">
        <v>12</v>
      </c>
      <c r="N98" s="4">
        <v>1000000192</v>
      </c>
      <c r="O98" s="4">
        <v>75000</v>
      </c>
      <c r="P98" s="4" t="s">
        <v>13</v>
      </c>
      <c r="Q98" s="4" t="s">
        <v>14</v>
      </c>
      <c r="R98" s="4" t="s">
        <v>411</v>
      </c>
      <c r="S98" s="4" t="s">
        <v>412</v>
      </c>
    </row>
    <row r="99" spans="1:19" x14ac:dyDescent="0.3">
      <c r="A99" s="4" t="s">
        <v>17</v>
      </c>
      <c r="B99" s="4">
        <v>1000000193</v>
      </c>
      <c r="C99" s="4">
        <v>120000</v>
      </c>
      <c r="D99" s="4" t="s">
        <v>18</v>
      </c>
      <c r="E99" s="4" t="s">
        <v>9</v>
      </c>
      <c r="F99" s="4" t="s">
        <v>413</v>
      </c>
      <c r="G99" s="4" t="s">
        <v>414</v>
      </c>
      <c r="M99" s="4" t="s">
        <v>21</v>
      </c>
      <c r="N99" s="4">
        <v>1000000194</v>
      </c>
      <c r="O99" s="4">
        <v>45000</v>
      </c>
      <c r="P99" s="4" t="s">
        <v>22</v>
      </c>
      <c r="Q99" s="4" t="s">
        <v>14</v>
      </c>
      <c r="R99" s="4" t="s">
        <v>415</v>
      </c>
      <c r="S99" s="4" t="s">
        <v>416</v>
      </c>
    </row>
    <row r="100" spans="1:19" x14ac:dyDescent="0.3">
      <c r="A100" s="4" t="s">
        <v>25</v>
      </c>
      <c r="B100" s="4">
        <v>1000000195</v>
      </c>
      <c r="C100" s="4">
        <v>98000</v>
      </c>
      <c r="D100" s="4" t="s">
        <v>26</v>
      </c>
      <c r="E100" s="4" t="s">
        <v>9</v>
      </c>
      <c r="F100" s="4" t="s">
        <v>417</v>
      </c>
      <c r="G100" s="4" t="s">
        <v>418</v>
      </c>
      <c r="M100" s="4" t="s">
        <v>29</v>
      </c>
      <c r="N100" s="4">
        <v>1000000196</v>
      </c>
      <c r="O100" s="4">
        <v>67000</v>
      </c>
      <c r="P100" s="4" t="s">
        <v>30</v>
      </c>
      <c r="Q100" s="4" t="s">
        <v>14</v>
      </c>
      <c r="R100" s="4" t="s">
        <v>419</v>
      </c>
      <c r="S100" s="4" t="s">
        <v>420</v>
      </c>
    </row>
    <row r="101" spans="1:19" x14ac:dyDescent="0.3">
      <c r="A101" s="4" t="s">
        <v>33</v>
      </c>
      <c r="B101" s="4">
        <v>1000000197</v>
      </c>
      <c r="C101" s="4">
        <v>56000</v>
      </c>
      <c r="D101" s="4" t="s">
        <v>34</v>
      </c>
      <c r="E101" s="4" t="s">
        <v>9</v>
      </c>
      <c r="F101" s="4" t="s">
        <v>421</v>
      </c>
      <c r="G101" s="4" t="s">
        <v>422</v>
      </c>
      <c r="M101" s="4" t="s">
        <v>37</v>
      </c>
      <c r="N101" s="4">
        <v>1000000198</v>
      </c>
      <c r="O101" s="4">
        <v>89000</v>
      </c>
      <c r="P101" s="4" t="s">
        <v>38</v>
      </c>
      <c r="Q101" s="4" t="s">
        <v>14</v>
      </c>
      <c r="R101" s="4" t="s">
        <v>423</v>
      </c>
      <c r="S101" s="4" t="s">
        <v>424</v>
      </c>
    </row>
    <row r="102" spans="1:19" x14ac:dyDescent="0.3">
      <c r="A102" s="4" t="s">
        <v>41</v>
      </c>
      <c r="B102" s="4">
        <v>1000000199</v>
      </c>
      <c r="C102" s="4">
        <v>46000</v>
      </c>
      <c r="D102" s="4" t="s">
        <v>42</v>
      </c>
      <c r="E102" s="4" t="s">
        <v>9</v>
      </c>
      <c r="F102" s="4" t="s">
        <v>425</v>
      </c>
      <c r="G102" s="4" t="s">
        <v>426</v>
      </c>
      <c r="M102" s="4" t="s">
        <v>45</v>
      </c>
      <c r="N102" s="4">
        <v>1000000200</v>
      </c>
      <c r="O102" s="4">
        <v>77000</v>
      </c>
      <c r="P102" s="4" t="s">
        <v>46</v>
      </c>
      <c r="Q102" s="4" t="s">
        <v>14</v>
      </c>
      <c r="R102" s="4" t="s">
        <v>427</v>
      </c>
      <c r="S102" s="4" t="s">
        <v>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BF14-1127-41D1-993A-66C71712E9C1}">
  <dimension ref="A1:H17"/>
  <sheetViews>
    <sheetView workbookViewId="0">
      <selection activeCell="G15" sqref="G15"/>
    </sheetView>
  </sheetViews>
  <sheetFormatPr defaultRowHeight="14.4" x14ac:dyDescent="0.3"/>
  <cols>
    <col min="1" max="1" width="27.5546875" bestFit="1" customWidth="1"/>
    <col min="2" max="2" width="12.33203125" bestFit="1" customWidth="1"/>
    <col min="3" max="3" width="15" bestFit="1" customWidth="1"/>
    <col min="7" max="7" width="14.6640625" bestFit="1" customWidth="1"/>
    <col min="8" max="8" width="15" bestFit="1" customWidth="1"/>
  </cols>
  <sheetData>
    <row r="1" spans="1:8" x14ac:dyDescent="0.3">
      <c r="A1" s="5" t="s">
        <v>432</v>
      </c>
    </row>
    <row r="2" spans="1:8" x14ac:dyDescent="0.3">
      <c r="A2" s="1" t="s">
        <v>0</v>
      </c>
      <c r="B2" s="1" t="s">
        <v>2</v>
      </c>
      <c r="C2" s="5" t="s">
        <v>433</v>
      </c>
      <c r="G2" s="1" t="s">
        <v>2</v>
      </c>
      <c r="H2" s="5" t="s">
        <v>433</v>
      </c>
    </row>
    <row r="3" spans="1:8" x14ac:dyDescent="0.3">
      <c r="A3" t="s">
        <v>7</v>
      </c>
      <c r="B3">
        <v>45000</v>
      </c>
      <c r="C3">
        <f>_xlfn.XLOOKUP(B3,$G$2:$G$8,$H$2:$H$8,,-1)</f>
        <v>0</v>
      </c>
      <c r="G3">
        <v>0</v>
      </c>
      <c r="H3">
        <v>0</v>
      </c>
    </row>
    <row r="4" spans="1:8" x14ac:dyDescent="0.3">
      <c r="A4" t="s">
        <v>17</v>
      </c>
      <c r="B4">
        <v>120000</v>
      </c>
      <c r="C4">
        <f t="shared" ref="C4:C17" si="0">_xlfn.XLOOKUP(B4,$G$2:$G$8,$H$2:$H$8,,-1)</f>
        <v>150000</v>
      </c>
      <c r="G4">
        <v>50000</v>
      </c>
      <c r="H4">
        <v>80000</v>
      </c>
    </row>
    <row r="5" spans="1:8" x14ac:dyDescent="0.3">
      <c r="A5" t="s">
        <v>25</v>
      </c>
      <c r="B5">
        <v>98000</v>
      </c>
      <c r="C5">
        <f t="shared" si="0"/>
        <v>80000</v>
      </c>
      <c r="G5">
        <v>100000</v>
      </c>
      <c r="H5">
        <v>150000</v>
      </c>
    </row>
    <row r="6" spans="1:8" x14ac:dyDescent="0.3">
      <c r="A6" t="s">
        <v>33</v>
      </c>
      <c r="B6">
        <v>56000</v>
      </c>
      <c r="C6">
        <f t="shared" si="0"/>
        <v>80000</v>
      </c>
      <c r="G6">
        <v>150000</v>
      </c>
      <c r="H6">
        <v>300000</v>
      </c>
    </row>
    <row r="7" spans="1:8" x14ac:dyDescent="0.3">
      <c r="A7" t="s">
        <v>41</v>
      </c>
      <c r="B7">
        <v>46000</v>
      </c>
      <c r="C7">
        <f t="shared" si="0"/>
        <v>0</v>
      </c>
      <c r="G7">
        <v>200000</v>
      </c>
      <c r="H7">
        <v>400000</v>
      </c>
    </row>
    <row r="8" spans="1:8" x14ac:dyDescent="0.3">
      <c r="A8" t="s">
        <v>434</v>
      </c>
      <c r="B8">
        <v>50000</v>
      </c>
      <c r="C8">
        <f t="shared" si="0"/>
        <v>80000</v>
      </c>
      <c r="G8">
        <v>300000</v>
      </c>
      <c r="H8">
        <v>500000</v>
      </c>
    </row>
    <row r="9" spans="1:8" x14ac:dyDescent="0.3">
      <c r="A9" t="s">
        <v>435</v>
      </c>
      <c r="B9">
        <v>120000</v>
      </c>
      <c r="C9">
        <f t="shared" si="0"/>
        <v>150000</v>
      </c>
      <c r="G9" t="s">
        <v>444</v>
      </c>
    </row>
    <row r="10" spans="1:8" x14ac:dyDescent="0.3">
      <c r="A10" t="s">
        <v>436</v>
      </c>
      <c r="B10">
        <v>50000</v>
      </c>
      <c r="C10">
        <f t="shared" si="0"/>
        <v>80000</v>
      </c>
      <c r="G10" s="1" t="s">
        <v>0</v>
      </c>
      <c r="H10" s="1" t="s">
        <v>2</v>
      </c>
    </row>
    <row r="11" spans="1:8" x14ac:dyDescent="0.3">
      <c r="A11" t="s">
        <v>437</v>
      </c>
      <c r="B11">
        <v>56000</v>
      </c>
      <c r="C11">
        <f t="shared" si="0"/>
        <v>80000</v>
      </c>
      <c r="G11" t="s">
        <v>445</v>
      </c>
      <c r="H11">
        <f>_xlfn.XLOOKUP("*"&amp;G11&amp;"*",A2:A17,B2:B17,,2,1)</f>
        <v>50000</v>
      </c>
    </row>
    <row r="12" spans="1:8" x14ac:dyDescent="0.3">
      <c r="A12" t="s">
        <v>438</v>
      </c>
      <c r="B12">
        <v>46000</v>
      </c>
      <c r="C12">
        <f t="shared" si="0"/>
        <v>0</v>
      </c>
    </row>
    <row r="13" spans="1:8" x14ac:dyDescent="0.3">
      <c r="A13" t="s">
        <v>439</v>
      </c>
      <c r="B13">
        <v>50000</v>
      </c>
      <c r="C13">
        <f t="shared" si="0"/>
        <v>80000</v>
      </c>
    </row>
    <row r="14" spans="1:8" x14ac:dyDescent="0.3">
      <c r="A14" t="s">
        <v>440</v>
      </c>
      <c r="B14">
        <v>120000</v>
      </c>
      <c r="C14">
        <f t="shared" si="0"/>
        <v>150000</v>
      </c>
    </row>
    <row r="15" spans="1:8" x14ac:dyDescent="0.3">
      <c r="A15" t="s">
        <v>441</v>
      </c>
      <c r="B15">
        <v>220000</v>
      </c>
      <c r="C15">
        <f t="shared" si="0"/>
        <v>400000</v>
      </c>
    </row>
    <row r="16" spans="1:8" x14ac:dyDescent="0.3">
      <c r="A16" t="s">
        <v>442</v>
      </c>
      <c r="B16">
        <v>56000</v>
      </c>
      <c r="C16">
        <f t="shared" si="0"/>
        <v>80000</v>
      </c>
    </row>
    <row r="17" spans="1:3" x14ac:dyDescent="0.3">
      <c r="A17" t="s">
        <v>443</v>
      </c>
      <c r="B17">
        <v>46000</v>
      </c>
      <c r="C17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3404-EA0F-4355-A6E6-FF76E12A7993}">
  <dimension ref="A1:F16"/>
  <sheetViews>
    <sheetView tabSelected="1" workbookViewId="0">
      <selection activeCell="H12" sqref="H12"/>
    </sheetView>
  </sheetViews>
  <sheetFormatPr defaultRowHeight="14.4" x14ac:dyDescent="0.3"/>
  <cols>
    <col min="1" max="1" width="14.88671875" bestFit="1" customWidth="1"/>
    <col min="2" max="2" width="12.33203125" bestFit="1" customWidth="1"/>
    <col min="5" max="5" width="6" bestFit="1" customWidth="1"/>
    <col min="6" max="6" width="10.33203125" bestFit="1" customWidth="1"/>
  </cols>
  <sheetData>
    <row r="1" spans="1:6" x14ac:dyDescent="0.3">
      <c r="A1" s="1" t="s">
        <v>0</v>
      </c>
      <c r="B1" s="1" t="s">
        <v>2</v>
      </c>
    </row>
    <row r="2" spans="1:6" x14ac:dyDescent="0.3">
      <c r="A2" t="s">
        <v>7</v>
      </c>
      <c r="B2">
        <v>50000</v>
      </c>
    </row>
    <row r="3" spans="1:6" x14ac:dyDescent="0.3">
      <c r="A3" t="s">
        <v>17</v>
      </c>
      <c r="B3">
        <v>120000</v>
      </c>
    </row>
    <row r="4" spans="1:6" x14ac:dyDescent="0.3">
      <c r="A4" t="s">
        <v>25</v>
      </c>
      <c r="B4">
        <v>98000</v>
      </c>
      <c r="E4">
        <v>50000</v>
      </c>
      <c r="F4" t="str">
        <f>_xlfn.XLOOKUP(E4,B1:B16,A1:A16,,,-1)</f>
        <v>Sohail Khan</v>
      </c>
    </row>
    <row r="5" spans="1:6" x14ac:dyDescent="0.3">
      <c r="A5" t="s">
        <v>33</v>
      </c>
      <c r="B5">
        <v>56000</v>
      </c>
    </row>
    <row r="6" spans="1:6" x14ac:dyDescent="0.3">
      <c r="A6" t="s">
        <v>41</v>
      </c>
      <c r="B6">
        <v>46000</v>
      </c>
    </row>
    <row r="7" spans="1:6" x14ac:dyDescent="0.3">
      <c r="A7" t="s">
        <v>434</v>
      </c>
      <c r="B7">
        <v>50000</v>
      </c>
    </row>
    <row r="8" spans="1:6" x14ac:dyDescent="0.3">
      <c r="A8" t="s">
        <v>435</v>
      </c>
      <c r="B8">
        <v>120000</v>
      </c>
    </row>
    <row r="9" spans="1:6" x14ac:dyDescent="0.3">
      <c r="A9" t="s">
        <v>436</v>
      </c>
      <c r="B9">
        <v>98000</v>
      </c>
    </row>
    <row r="10" spans="1:6" x14ac:dyDescent="0.3">
      <c r="A10" t="s">
        <v>437</v>
      </c>
      <c r="B10">
        <v>56000</v>
      </c>
    </row>
    <row r="11" spans="1:6" x14ac:dyDescent="0.3">
      <c r="A11" t="s">
        <v>438</v>
      </c>
      <c r="B11">
        <v>46000</v>
      </c>
    </row>
    <row r="12" spans="1:6" x14ac:dyDescent="0.3">
      <c r="A12" t="s">
        <v>439</v>
      </c>
      <c r="B12">
        <v>50000</v>
      </c>
    </row>
    <row r="13" spans="1:6" x14ac:dyDescent="0.3">
      <c r="A13" t="s">
        <v>440</v>
      </c>
      <c r="B13">
        <v>120000</v>
      </c>
    </row>
    <row r="14" spans="1:6" x14ac:dyDescent="0.3">
      <c r="A14" t="s">
        <v>441</v>
      </c>
      <c r="B14">
        <v>220000</v>
      </c>
    </row>
    <row r="15" spans="1:6" x14ac:dyDescent="0.3">
      <c r="A15" t="s">
        <v>442</v>
      </c>
      <c r="B15">
        <v>56000</v>
      </c>
    </row>
    <row r="16" spans="1:6" x14ac:dyDescent="0.3">
      <c r="A16" t="s">
        <v>443</v>
      </c>
      <c r="B16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Xlookup 1</vt:lpstr>
      <vt:lpstr>Xlookup Dynamic</vt:lpstr>
      <vt:lpstr>If Not Found</vt:lpstr>
      <vt:lpstr>Match Type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2025-11-25T07:08:54Z</dcterms:modified>
</cp:coreProperties>
</file>