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9) What If Analysis - Goal Seek, Data Table, Scenario Manager Projects\"/>
    </mc:Choice>
  </mc:AlternateContent>
  <xr:revisionPtr revIDLastSave="0" documentId="13_ncr:1_{86FBB62C-D9FB-4F3B-B99F-6534147CF5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n Repay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F11" i="1" l="1"/>
</calcChain>
</file>

<file path=xl/sharedStrings.xml><?xml version="1.0" encoding="utf-8"?>
<sst xmlns="http://schemas.openxmlformats.org/spreadsheetml/2006/main" count="13" uniqueCount="13">
  <si>
    <t>Principal (₹)</t>
  </si>
  <si>
    <t>Loan amount (1 Lakh = ₹1,00,000)</t>
  </si>
  <si>
    <t>Term (Years)</t>
  </si>
  <si>
    <t>Loan tenure = 5 years</t>
  </si>
  <si>
    <t>Annual Interest Rate</t>
  </si>
  <si>
    <t>Starting interest rate</t>
  </si>
  <si>
    <t>Monthly Payment (₹)</t>
  </si>
  <si>
    <t>Formula to calculate EMI</t>
  </si>
  <si>
    <t>Total Payment (₹)</t>
  </si>
  <si>
    <t>Total money paid over all months</t>
  </si>
  <si>
    <t>Total Interest (₹)</t>
  </si>
  <si>
    <t>Interest amount you pay overall</t>
  </si>
  <si>
    <t>Annual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</si>
</sst>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43" formatCode="_ * #,##0.00_ ;_ * \-#,##0.00_ ;_ * &quot;-&quot;??_ ;_ @_ 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vertical="center"/>
    </xf>
    <xf numFmtId="8" fontId="2" fillId="0" borderId="1" xfId="0" applyNumberFormat="1" applyFont="1" applyBorder="1" applyAlignment="1">
      <alignment vertical="center"/>
    </xf>
    <xf numFmtId="43" fontId="0" fillId="0" borderId="1" xfId="1" applyFont="1" applyBorder="1" applyAlignment="1">
      <alignment vertical="center"/>
    </xf>
    <xf numFmtId="0" fontId="0" fillId="0" borderId="0" xfId="0" applyAlignment="1">
      <alignment wrapText="1"/>
    </xf>
    <xf numFmtId="8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M10" sqref="M10"/>
    </sheetView>
  </sheetViews>
  <sheetFormatPr defaultRowHeight="14.4"/>
  <cols>
    <col min="1" max="1" width="18.109375" bestFit="1" customWidth="1"/>
    <col min="2" max="2" width="13.33203125" bestFit="1" customWidth="1"/>
    <col min="3" max="3" width="28.77734375" bestFit="1" customWidth="1"/>
    <col min="5" max="5" width="10.77734375" bestFit="1" customWidth="1"/>
    <col min="6" max="6" width="11.5546875" bestFit="1" customWidth="1"/>
  </cols>
  <sheetData>
    <row r="1" spans="1:6">
      <c r="A1" s="1" t="s">
        <v>0</v>
      </c>
      <c r="B1" s="4">
        <v>1000000</v>
      </c>
      <c r="C1" s="1" t="s">
        <v>1</v>
      </c>
    </row>
    <row r="2" spans="1:6">
      <c r="A2" s="1" t="s">
        <v>2</v>
      </c>
      <c r="B2" s="1">
        <v>5</v>
      </c>
      <c r="C2" s="1" t="s">
        <v>3</v>
      </c>
    </row>
    <row r="3" spans="1:6">
      <c r="A3" s="1" t="s">
        <v>4</v>
      </c>
      <c r="B3" s="2">
        <v>0.08</v>
      </c>
      <c r="C3" s="1" t="s">
        <v>5</v>
      </c>
    </row>
    <row r="4" spans="1:6">
      <c r="A4" s="1" t="s">
        <v>6</v>
      </c>
      <c r="B4" s="3">
        <f>-PMT(B3/12,B2*12,B1)</f>
        <v>20276.394288413681</v>
      </c>
      <c r="C4" s="1" t="s">
        <v>7</v>
      </c>
    </row>
    <row r="5" spans="1:6">
      <c r="A5" s="1" t="s">
        <v>8</v>
      </c>
      <c r="B5" s="3">
        <f>B4*B2*12</f>
        <v>1216583.6573048208</v>
      </c>
      <c r="C5" s="1" t="s">
        <v>9</v>
      </c>
    </row>
    <row r="6" spans="1:6">
      <c r="A6" s="1" t="s">
        <v>10</v>
      </c>
      <c r="B6" s="3">
        <f>B5-B1</f>
        <v>216583.65730482084</v>
      </c>
      <c r="C6" s="1" t="s">
        <v>11</v>
      </c>
    </row>
    <row r="11" spans="1:6" s="5" customFormat="1">
      <c r="E11" s="1" t="s">
        <v>12</v>
      </c>
      <c r="F11" s="6">
        <f>B4</f>
        <v>20276.394288413681</v>
      </c>
    </row>
    <row r="12" spans="1:6">
      <c r="E12" s="7">
        <v>0.03</v>
      </c>
      <c r="F12" s="8">
        <f t="dataTable" ref="F12:F21" dt2D="0" dtr="0" r1="B3"/>
        <v>17968.690664063139</v>
      </c>
    </row>
    <row r="13" spans="1:6">
      <c r="E13" s="7">
        <v>0.04</v>
      </c>
      <c r="F13" s="8">
        <v>18416.522055266352</v>
      </c>
    </row>
    <row r="14" spans="1:6">
      <c r="E14" s="7">
        <v>0.05</v>
      </c>
      <c r="F14" s="8">
        <v>18871.233644010932</v>
      </c>
    </row>
    <row r="15" spans="1:6">
      <c r="E15" s="7">
        <v>0.06</v>
      </c>
      <c r="F15" s="8">
        <v>19332.801529427914</v>
      </c>
    </row>
    <row r="16" spans="1:6">
      <c r="E16" s="7">
        <v>7.0000000000000007E-2</v>
      </c>
      <c r="F16" s="8">
        <v>19801.198540349535</v>
      </c>
    </row>
    <row r="17" spans="5:6">
      <c r="E17" s="7">
        <v>0.08</v>
      </c>
      <c r="F17" s="8">
        <v>20276.394288413681</v>
      </c>
    </row>
    <row r="18" spans="5:6">
      <c r="E18" s="7">
        <v>0.09</v>
      </c>
      <c r="F18" s="8">
        <v>20758.355226354008</v>
      </c>
    </row>
    <row r="19" spans="5:6">
      <c r="E19" s="7">
        <v>0.1</v>
      </c>
      <c r="F19" s="8">
        <v>21247.044711268278</v>
      </c>
    </row>
    <row r="20" spans="5:6">
      <c r="E20" s="7">
        <v>0.11</v>
      </c>
      <c r="F20" s="8">
        <v>21742.423072643305</v>
      </c>
    </row>
    <row r="21" spans="5:6">
      <c r="E21" s="7">
        <v>0.12</v>
      </c>
      <c r="F21" s="8">
        <v>22244.44768490177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Repayment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2025-11-10T08:53:45Z</dcterms:modified>
</cp:coreProperties>
</file>