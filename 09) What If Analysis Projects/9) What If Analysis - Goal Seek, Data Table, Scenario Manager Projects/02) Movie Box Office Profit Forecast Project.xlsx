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9) What If Analysis - Goal Seek, Data Table, Scenario Manager Projects\"/>
    </mc:Choice>
  </mc:AlternateContent>
  <xr:revisionPtr revIDLastSave="0" documentId="13_ncr:1_{8E1EE22A-6ABB-4BD5-AF34-263C2596868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vie Dataset - Goal Seek" sheetId="1" r:id="rId1"/>
    <sheet name="Movie Dataset - Data Table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" l="1"/>
  <c r="H2" i="3" s="1"/>
  <c r="G2" i="3"/>
  <c r="F2" i="2"/>
  <c r="H2" i="2" s="1"/>
  <c r="C7" i="2" s="1"/>
  <c r="G2" i="2"/>
  <c r="F3" i="1"/>
  <c r="G3" i="1"/>
  <c r="H3" i="1"/>
  <c r="F4" i="1"/>
  <c r="G4" i="1"/>
  <c r="H4" i="1"/>
  <c r="F5" i="1"/>
  <c r="H5" i="1" s="1"/>
  <c r="G5" i="1"/>
  <c r="F6" i="1"/>
  <c r="H6" i="1" s="1"/>
  <c r="G6" i="1"/>
  <c r="F7" i="1"/>
  <c r="H7" i="1" s="1"/>
  <c r="G7" i="1"/>
  <c r="E7" i="2" l="1"/>
</calcChain>
</file>

<file path=xl/sharedStrings.xml><?xml version="1.0" encoding="utf-8"?>
<sst xmlns="http://schemas.openxmlformats.org/spreadsheetml/2006/main" count="43" uniqueCount="21">
  <si>
    <t>Movie Name</t>
  </si>
  <si>
    <t>Ticket Price (₹)</t>
  </si>
  <si>
    <t>Tickets Sold</t>
  </si>
  <si>
    <t>Production Cost (₹)</t>
  </si>
  <si>
    <t>Marketing Cost (₹)</t>
  </si>
  <si>
    <t>Total Revenue (₹)</t>
  </si>
  <si>
    <t>Total Cost (₹)</t>
  </si>
  <si>
    <t>Profit (₹)</t>
  </si>
  <si>
    <t>Action Hero</t>
  </si>
  <si>
    <t>Romantic Saga</t>
  </si>
  <si>
    <t>Comedy Nights</t>
  </si>
  <si>
    <t>Sci-Fi Future</t>
  </si>
  <si>
    <t>Family Time</t>
  </si>
  <si>
    <t>Goal Seek</t>
  </si>
  <si>
    <t>Profit Target</t>
  </si>
  <si>
    <t>Profit Per Price</t>
  </si>
  <si>
    <t>Profit Per Price and Ticket sold</t>
  </si>
  <si>
    <t>Scenario</t>
  </si>
  <si>
    <t>Best Case</t>
  </si>
  <si>
    <t>Average Case</t>
  </si>
  <si>
    <t>Worst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</si>
</sst>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43" fontId="0" fillId="0" borderId="1" xfId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G14" sqref="G14"/>
    </sheetView>
  </sheetViews>
  <sheetFormatPr defaultRowHeight="14.4" x14ac:dyDescent="0.3"/>
  <cols>
    <col min="1" max="1" width="13.33203125" bestFit="1" customWidth="1"/>
    <col min="2" max="2" width="13.44140625" bestFit="1" customWidth="1"/>
    <col min="3" max="3" width="10.88671875" bestFit="1" customWidth="1"/>
    <col min="4" max="4" width="17.44140625" bestFit="1" customWidth="1"/>
    <col min="5" max="5" width="16.6640625" bestFit="1" customWidth="1"/>
    <col min="6" max="6" width="15.88671875" bestFit="1" customWidth="1"/>
    <col min="7" max="7" width="12.109375" bestFit="1" customWidth="1"/>
    <col min="8" max="8" width="9" bestFit="1" customWidth="1"/>
    <col min="10" max="10" width="11.44140625" bestFit="1" customWidth="1"/>
  </cols>
  <sheetData>
    <row r="1" spans="1:10" x14ac:dyDescent="0.3">
      <c r="A1" s="4" t="s">
        <v>13</v>
      </c>
      <c r="B1" s="4"/>
      <c r="C1" s="4"/>
      <c r="D1" s="4"/>
      <c r="E1" s="4"/>
      <c r="F1" s="4"/>
      <c r="G1" s="4"/>
      <c r="H1" s="4"/>
    </row>
    <row r="2" spans="1:10" s="3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5" t="s">
        <v>14</v>
      </c>
    </row>
    <row r="3" spans="1:10" x14ac:dyDescent="0.3">
      <c r="A3" s="2" t="s">
        <v>8</v>
      </c>
      <c r="B3" s="2">
        <v>280</v>
      </c>
      <c r="C3" s="2">
        <v>100000</v>
      </c>
      <c r="D3" s="2">
        <v>15000000</v>
      </c>
      <c r="E3" s="2">
        <v>3000000</v>
      </c>
      <c r="F3" s="2">
        <f>B3*C3</f>
        <v>28000000</v>
      </c>
      <c r="G3" s="2">
        <f>D3+E3</f>
        <v>18000000</v>
      </c>
      <c r="H3" s="2">
        <f>F3-G3</f>
        <v>10000000</v>
      </c>
      <c r="J3" s="6">
        <v>10000000</v>
      </c>
    </row>
    <row r="4" spans="1:10" x14ac:dyDescent="0.3">
      <c r="A4" s="2" t="s">
        <v>9</v>
      </c>
      <c r="B4" s="2">
        <v>287.5</v>
      </c>
      <c r="C4" s="2">
        <v>120000</v>
      </c>
      <c r="D4" s="2">
        <v>12000000</v>
      </c>
      <c r="E4" s="2">
        <v>2500000</v>
      </c>
      <c r="F4" s="2">
        <f>B4*C4</f>
        <v>34500000</v>
      </c>
      <c r="G4" s="2">
        <f>D4+E4</f>
        <v>14500000</v>
      </c>
      <c r="H4" s="2">
        <f>F4-G4</f>
        <v>20000000</v>
      </c>
      <c r="J4" s="6">
        <v>20000000</v>
      </c>
    </row>
    <row r="5" spans="1:10" x14ac:dyDescent="0.3">
      <c r="A5" s="2" t="s">
        <v>10</v>
      </c>
      <c r="B5" s="2">
        <v>466.66666666666669</v>
      </c>
      <c r="C5" s="2">
        <v>90000</v>
      </c>
      <c r="D5" s="2">
        <v>10000000</v>
      </c>
      <c r="E5" s="2">
        <v>2000000</v>
      </c>
      <c r="F5" s="2">
        <f>B5*C5</f>
        <v>42000000</v>
      </c>
      <c r="G5" s="2">
        <f>D5+E5</f>
        <v>12000000</v>
      </c>
      <c r="H5" s="2">
        <f>F5-G5</f>
        <v>30000000</v>
      </c>
      <c r="J5" s="6">
        <v>30000000</v>
      </c>
    </row>
    <row r="6" spans="1:10" x14ac:dyDescent="0.3">
      <c r="A6" s="2" t="s">
        <v>11</v>
      </c>
      <c r="B6" s="2">
        <v>800</v>
      </c>
      <c r="C6" s="2">
        <v>80000</v>
      </c>
      <c r="D6" s="2">
        <v>20000000</v>
      </c>
      <c r="E6" s="2">
        <v>4000000</v>
      </c>
      <c r="F6" s="2">
        <f>B6*C6</f>
        <v>64000000</v>
      </c>
      <c r="G6" s="2">
        <f>D6+E6</f>
        <v>24000000</v>
      </c>
      <c r="H6" s="2">
        <f>F6-G6</f>
        <v>40000000</v>
      </c>
      <c r="J6" s="6">
        <v>40000000</v>
      </c>
    </row>
    <row r="7" spans="1:10" x14ac:dyDescent="0.3">
      <c r="A7" s="2" t="s">
        <v>12</v>
      </c>
      <c r="B7" s="2">
        <v>457.69230769230768</v>
      </c>
      <c r="C7" s="2">
        <v>130000</v>
      </c>
      <c r="D7" s="2">
        <v>8000000</v>
      </c>
      <c r="E7" s="2">
        <v>1500000</v>
      </c>
      <c r="F7" s="2">
        <f>B7*C7</f>
        <v>59500000</v>
      </c>
      <c r="G7" s="2">
        <f>D7+E7</f>
        <v>9500000</v>
      </c>
      <c r="H7" s="2">
        <f>F7-G7</f>
        <v>50000000</v>
      </c>
      <c r="J7" s="6">
        <v>50000000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60F0-6B4F-4B20-8B81-DF1EAE9B01A7}">
  <dimension ref="A1:I22"/>
  <sheetViews>
    <sheetView workbookViewId="0">
      <selection activeCell="H14" sqref="H14"/>
    </sheetView>
  </sheetViews>
  <sheetFormatPr defaultRowHeight="14.4" x14ac:dyDescent="0.3"/>
  <cols>
    <col min="1" max="1" width="13.109375" bestFit="1" customWidth="1"/>
    <col min="2" max="2" width="13.44140625" bestFit="1" customWidth="1"/>
    <col min="3" max="3" width="13.88671875" bestFit="1" customWidth="1"/>
    <col min="4" max="4" width="17.44140625" bestFit="1" customWidth="1"/>
    <col min="5" max="5" width="16.6640625" bestFit="1" customWidth="1"/>
    <col min="6" max="6" width="15.88671875" bestFit="1" customWidth="1"/>
    <col min="7" max="7" width="12.109375" bestFit="1" customWidth="1"/>
    <col min="8" max="9" width="9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s="2" t="s">
        <v>9</v>
      </c>
      <c r="B2" s="2">
        <v>200</v>
      </c>
      <c r="C2" s="2">
        <v>120000</v>
      </c>
      <c r="D2" s="2">
        <v>12000000</v>
      </c>
      <c r="E2" s="2">
        <v>2500000</v>
      </c>
      <c r="F2" s="2">
        <f>B2*C2</f>
        <v>24000000</v>
      </c>
      <c r="G2" s="2">
        <f>D2+E2</f>
        <v>14500000</v>
      </c>
      <c r="H2" s="2">
        <f>F2-G2</f>
        <v>9500000</v>
      </c>
    </row>
    <row r="6" spans="1:9" x14ac:dyDescent="0.3">
      <c r="B6" s="11" t="s">
        <v>15</v>
      </c>
      <c r="C6" s="11"/>
      <c r="E6" s="11" t="s">
        <v>16</v>
      </c>
      <c r="F6" s="11"/>
      <c r="G6" s="11"/>
      <c r="H6" s="11"/>
      <c r="I6" s="11"/>
    </row>
    <row r="7" spans="1:9" x14ac:dyDescent="0.3">
      <c r="B7" s="1" t="s">
        <v>1</v>
      </c>
      <c r="C7" s="7">
        <f>H2</f>
        <v>9500000</v>
      </c>
      <c r="E7" s="8">
        <f>H2</f>
        <v>9500000</v>
      </c>
      <c r="F7" s="8">
        <v>150</v>
      </c>
      <c r="G7" s="8">
        <v>200</v>
      </c>
      <c r="H7" s="8">
        <v>250</v>
      </c>
      <c r="I7" s="8">
        <v>300</v>
      </c>
    </row>
    <row r="8" spans="1:9" x14ac:dyDescent="0.3">
      <c r="B8" s="2">
        <v>200</v>
      </c>
      <c r="C8" s="7">
        <f t="dataTable" ref="C8:C22" dt2D="0" dtr="0" r1="B2" ca="1"/>
        <v>9500000</v>
      </c>
      <c r="E8" s="9">
        <v>80000</v>
      </c>
      <c r="F8" s="10">
        <f t="dataTable" ref="F8:I11" dt2D="1" dtr="1" r1="B2" r2="C2"/>
        <v>-2500000</v>
      </c>
      <c r="G8" s="10">
        <v>1500000</v>
      </c>
      <c r="H8" s="10">
        <v>5500000</v>
      </c>
      <c r="I8" s="10">
        <v>9500000</v>
      </c>
    </row>
    <row r="9" spans="1:9" x14ac:dyDescent="0.3">
      <c r="B9" s="6">
        <v>250</v>
      </c>
      <c r="C9" s="7">
        <v>15500000</v>
      </c>
      <c r="E9" s="9">
        <v>100000</v>
      </c>
      <c r="F9" s="10">
        <v>500000</v>
      </c>
      <c r="G9" s="10">
        <v>5500000</v>
      </c>
      <c r="H9" s="10">
        <v>10500000</v>
      </c>
      <c r="I9" s="10">
        <v>15500000</v>
      </c>
    </row>
    <row r="10" spans="1:9" x14ac:dyDescent="0.3">
      <c r="B10" s="2">
        <v>300</v>
      </c>
      <c r="C10" s="7">
        <v>21500000</v>
      </c>
      <c r="E10" s="9">
        <v>120000</v>
      </c>
      <c r="F10" s="10">
        <v>3500000</v>
      </c>
      <c r="G10" s="10">
        <v>9500000</v>
      </c>
      <c r="H10" s="10">
        <v>15500000</v>
      </c>
      <c r="I10" s="10">
        <v>21500000</v>
      </c>
    </row>
    <row r="11" spans="1:9" x14ac:dyDescent="0.3">
      <c r="B11" s="6">
        <v>350</v>
      </c>
      <c r="C11" s="7">
        <v>27500000</v>
      </c>
      <c r="E11" s="9">
        <v>140000</v>
      </c>
      <c r="F11" s="10">
        <v>6500000</v>
      </c>
      <c r="G11" s="10">
        <v>13500000</v>
      </c>
      <c r="H11" s="10">
        <v>20500000</v>
      </c>
      <c r="I11" s="10">
        <v>27500000</v>
      </c>
    </row>
    <row r="12" spans="1:9" x14ac:dyDescent="0.3">
      <c r="B12" s="2">
        <v>400</v>
      </c>
      <c r="C12" s="7">
        <v>33500000</v>
      </c>
    </row>
    <row r="13" spans="1:9" x14ac:dyDescent="0.3">
      <c r="B13" s="6">
        <v>450</v>
      </c>
      <c r="C13" s="7">
        <v>39500000</v>
      </c>
    </row>
    <row r="14" spans="1:9" x14ac:dyDescent="0.3">
      <c r="B14" s="2">
        <v>500</v>
      </c>
      <c r="C14" s="7">
        <v>45500000</v>
      </c>
    </row>
    <row r="15" spans="1:9" x14ac:dyDescent="0.3">
      <c r="B15" s="6">
        <v>550</v>
      </c>
      <c r="C15" s="7">
        <v>51500000</v>
      </c>
    </row>
    <row r="16" spans="1:9" x14ac:dyDescent="0.3">
      <c r="B16" s="2">
        <v>600</v>
      </c>
      <c r="C16" s="7">
        <v>57500000</v>
      </c>
    </row>
    <row r="17" spans="2:3" x14ac:dyDescent="0.3">
      <c r="B17" s="6">
        <v>650</v>
      </c>
      <c r="C17" s="7">
        <v>63500000</v>
      </c>
    </row>
    <row r="18" spans="2:3" x14ac:dyDescent="0.3">
      <c r="B18" s="2">
        <v>700</v>
      </c>
      <c r="C18" s="7">
        <v>69500000</v>
      </c>
    </row>
    <row r="19" spans="2:3" x14ac:dyDescent="0.3">
      <c r="B19" s="6">
        <v>750</v>
      </c>
      <c r="C19" s="7">
        <v>75500000</v>
      </c>
    </row>
    <row r="20" spans="2:3" x14ac:dyDescent="0.3">
      <c r="B20" s="2">
        <v>800</v>
      </c>
      <c r="C20" s="7">
        <v>81500000</v>
      </c>
    </row>
    <row r="21" spans="2:3" x14ac:dyDescent="0.3">
      <c r="B21" s="6">
        <v>850</v>
      </c>
      <c r="C21" s="7">
        <v>87500000</v>
      </c>
    </row>
    <row r="22" spans="2:3" x14ac:dyDescent="0.3">
      <c r="B22" s="2">
        <v>900</v>
      </c>
      <c r="C22" s="7">
        <v>93500000</v>
      </c>
    </row>
  </sheetData>
  <mergeCells count="2">
    <mergeCell ref="B6:C6"/>
    <mergeCell ref="E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9820-DB93-49DC-802C-CC76C0214B86}">
  <dimension ref="A1:H10"/>
  <sheetViews>
    <sheetView tabSelected="1" workbookViewId="0">
      <selection activeCell="J19" sqref="J19"/>
    </sheetView>
  </sheetViews>
  <sheetFormatPr defaultRowHeight="14.4" x14ac:dyDescent="0.3"/>
  <cols>
    <col min="1" max="1" width="11.77734375" bestFit="1" customWidth="1"/>
    <col min="2" max="2" width="13.44140625" bestFit="1" customWidth="1"/>
    <col min="3" max="3" width="10.88671875" bestFit="1" customWidth="1"/>
    <col min="4" max="4" width="17.44140625" bestFit="1" customWidth="1"/>
    <col min="5" max="5" width="16.6640625" bestFit="1" customWidth="1"/>
    <col min="6" max="6" width="15.88671875" bestFit="1" customWidth="1"/>
    <col min="7" max="7" width="12.109375" bestFit="1" customWidth="1"/>
    <col min="8" max="8" width="9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11</v>
      </c>
      <c r="B2" s="2">
        <v>250</v>
      </c>
      <c r="C2" s="2">
        <v>70000</v>
      </c>
      <c r="D2" s="2">
        <v>50000000</v>
      </c>
      <c r="E2" s="2">
        <v>4000000</v>
      </c>
      <c r="F2" s="2">
        <f>B2*C2</f>
        <v>17500000</v>
      </c>
      <c r="G2" s="2">
        <f>D2+E2</f>
        <v>54000000</v>
      </c>
      <c r="H2" s="2">
        <f>F2-G2</f>
        <v>-36500000</v>
      </c>
    </row>
    <row r="7" spans="1:8" x14ac:dyDescent="0.3">
      <c r="A7" s="1" t="s">
        <v>17</v>
      </c>
      <c r="B7" s="1" t="s">
        <v>1</v>
      </c>
      <c r="C7" s="1" t="s">
        <v>2</v>
      </c>
      <c r="D7" s="1" t="s">
        <v>4</v>
      </c>
    </row>
    <row r="8" spans="1:8" x14ac:dyDescent="0.3">
      <c r="A8" s="2" t="s">
        <v>18</v>
      </c>
      <c r="B8" s="2">
        <v>350</v>
      </c>
      <c r="C8" s="2">
        <v>90000</v>
      </c>
      <c r="D8" s="2">
        <v>3500000</v>
      </c>
    </row>
    <row r="9" spans="1:8" x14ac:dyDescent="0.3">
      <c r="A9" s="2" t="s">
        <v>19</v>
      </c>
      <c r="B9" s="2">
        <v>300</v>
      </c>
      <c r="C9" s="2">
        <v>80000</v>
      </c>
      <c r="D9" s="2">
        <v>4000000</v>
      </c>
    </row>
    <row r="10" spans="1:8" x14ac:dyDescent="0.3">
      <c r="A10" s="2" t="s">
        <v>20</v>
      </c>
      <c r="B10" s="2">
        <v>250</v>
      </c>
      <c r="C10" s="2">
        <v>70000</v>
      </c>
      <c r="D10" s="2">
        <v>5000000</v>
      </c>
    </row>
  </sheetData>
  <scenarios current="2" show="2">
    <scenario name="Best Case" locked="1" count="3" user="ASUS" comment="Created by ASUS on 10-11-2025">
      <inputCells r="B2" val="350"/>
      <inputCells r="C2" val="90000"/>
      <inputCells r="D2" val="3500000"/>
    </scenario>
    <scenario name="Average CAse" locked="1" count="3" user="ASUS" comment="Created by ASUS on 10-11-2025">
      <inputCells r="B2" val="300"/>
      <inputCells r="C2" val="80000"/>
      <inputCells r="D2" val="40000000"/>
    </scenario>
    <scenario name="Worst Case" locked="1" count="3" user="ASUS" comment="Created by ASUS on 10-11-2025">
      <inputCells r="B2" val="250"/>
      <inputCells r="C2" val="70000"/>
      <inputCells r="D2" val="5000000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 Dataset - Goal Seek</vt:lpstr>
      <vt:lpstr>Movie Dataset - Data 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2025-11-10T08:11:40Z</dcterms:modified>
</cp:coreProperties>
</file>